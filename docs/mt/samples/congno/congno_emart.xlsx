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D77E2C6E-0027-4BDC-9F61-FA643FE931F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4" sheetId="2" r:id="rId1"/>
  </sheets>
  <definedNames>
    <definedName name="_xlnm._FilterDatabase" localSheetId="0" hidden="1">'2024'!$A$8:$V$908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1" i="2" l="1"/>
  <c r="F712" i="2"/>
  <c r="F713" i="2"/>
  <c r="F714" i="2"/>
  <c r="F715" i="2"/>
  <c r="F716" i="2"/>
  <c r="F626" i="2"/>
  <c r="G626" i="2" s="1"/>
  <c r="J626" i="2" s="1"/>
  <c r="F625" i="2"/>
  <c r="G625" i="2" s="1"/>
  <c r="J625" i="2" s="1"/>
  <c r="F624" i="2"/>
  <c r="G624" i="2" s="1"/>
  <c r="J624" i="2" s="1"/>
  <c r="G715" i="2" l="1"/>
  <c r="J715" i="2" s="1"/>
  <c r="G716" i="2"/>
  <c r="G714" i="2"/>
  <c r="J714" i="2" s="1"/>
  <c r="G713" i="2"/>
  <c r="J713" i="2" s="1"/>
  <c r="G712" i="2"/>
  <c r="J712" i="2" s="1"/>
  <c r="G711" i="2"/>
  <c r="J711" i="2" s="1"/>
  <c r="J899" i="2"/>
  <c r="J900" i="2"/>
  <c r="J901" i="2"/>
  <c r="J902" i="2"/>
  <c r="J903" i="2"/>
  <c r="J904" i="2"/>
  <c r="J905" i="2"/>
  <c r="J906" i="2"/>
  <c r="J907" i="2"/>
  <c r="J908" i="2"/>
  <c r="F480" i="2"/>
  <c r="G480" i="2" s="1"/>
  <c r="J480" i="2" s="1"/>
  <c r="F481" i="2"/>
  <c r="G481" i="2" s="1"/>
  <c r="J481" i="2" s="1"/>
  <c r="F482" i="2"/>
  <c r="G482" i="2" s="1"/>
  <c r="J482" i="2" s="1"/>
  <c r="F483" i="2"/>
  <c r="G483" i="2" s="1"/>
  <c r="J483" i="2" s="1"/>
  <c r="F484" i="2"/>
  <c r="G484" i="2" s="1"/>
  <c r="J484" i="2" s="1"/>
  <c r="F485" i="2"/>
  <c r="G485" i="2" s="1"/>
  <c r="J485" i="2" s="1"/>
  <c r="F486" i="2"/>
  <c r="G486" i="2" s="1"/>
  <c r="J486" i="2" s="1"/>
  <c r="F487" i="2"/>
  <c r="G487" i="2" s="1"/>
  <c r="J487" i="2" s="1"/>
  <c r="F488" i="2"/>
  <c r="G488" i="2" s="1"/>
  <c r="J488" i="2" s="1"/>
  <c r="F489" i="2"/>
  <c r="G489" i="2" s="1"/>
  <c r="J489" i="2" s="1"/>
  <c r="F490" i="2"/>
  <c r="G490" i="2" s="1"/>
  <c r="J490" i="2" s="1"/>
  <c r="F491" i="2"/>
  <c r="G491" i="2" s="1"/>
  <c r="J491" i="2" s="1"/>
  <c r="F492" i="2"/>
  <c r="G492" i="2" s="1"/>
  <c r="J492" i="2" s="1"/>
  <c r="F493" i="2"/>
  <c r="G493" i="2" s="1"/>
  <c r="J493" i="2" s="1"/>
  <c r="F494" i="2"/>
  <c r="G494" i="2" s="1"/>
  <c r="J494" i="2" s="1"/>
  <c r="F495" i="2"/>
  <c r="G495" i="2" s="1"/>
  <c r="J495" i="2" s="1"/>
  <c r="F496" i="2"/>
  <c r="G496" i="2" s="1"/>
  <c r="J496" i="2" s="1"/>
  <c r="F497" i="2"/>
  <c r="G497" i="2" s="1"/>
  <c r="J497" i="2" s="1"/>
  <c r="F498" i="2"/>
  <c r="G498" i="2" s="1"/>
  <c r="J498" i="2" s="1"/>
  <c r="F499" i="2"/>
  <c r="G499" i="2" s="1"/>
  <c r="J499" i="2" s="1"/>
  <c r="F500" i="2"/>
  <c r="G500" i="2" s="1"/>
  <c r="J500" i="2" s="1"/>
  <c r="F501" i="2"/>
  <c r="G501" i="2" s="1"/>
  <c r="J501" i="2" s="1"/>
  <c r="F502" i="2"/>
  <c r="G502" i="2" s="1"/>
  <c r="J502" i="2" s="1"/>
  <c r="F503" i="2"/>
  <c r="G503" i="2" s="1"/>
  <c r="J503" i="2" s="1"/>
  <c r="F504" i="2"/>
  <c r="G504" i="2" s="1"/>
  <c r="J504" i="2" s="1"/>
  <c r="F505" i="2"/>
  <c r="G505" i="2" s="1"/>
  <c r="J505" i="2" s="1"/>
  <c r="F506" i="2"/>
  <c r="G506" i="2" s="1"/>
  <c r="J506" i="2" s="1"/>
  <c r="F507" i="2"/>
  <c r="G507" i="2" s="1"/>
  <c r="J507" i="2" s="1"/>
  <c r="F508" i="2"/>
  <c r="G508" i="2" s="1"/>
  <c r="J508" i="2" s="1"/>
  <c r="F509" i="2"/>
  <c r="G509" i="2" s="1"/>
  <c r="J509" i="2" s="1"/>
  <c r="F510" i="2"/>
  <c r="G510" i="2" s="1"/>
  <c r="J510" i="2" s="1"/>
  <c r="F511" i="2"/>
  <c r="G511" i="2" s="1"/>
  <c r="J511" i="2" s="1"/>
  <c r="F512" i="2"/>
  <c r="G512" i="2" s="1"/>
  <c r="J512" i="2" s="1"/>
  <c r="F513" i="2"/>
  <c r="G513" i="2" s="1"/>
  <c r="J513" i="2" s="1"/>
  <c r="F514" i="2"/>
  <c r="G514" i="2" s="1"/>
  <c r="J514" i="2" s="1"/>
  <c r="F515" i="2"/>
  <c r="G515" i="2" s="1"/>
  <c r="J515" i="2" s="1"/>
  <c r="F516" i="2"/>
  <c r="G516" i="2" s="1"/>
  <c r="J516" i="2" s="1"/>
  <c r="F517" i="2"/>
  <c r="G517" i="2" s="1"/>
  <c r="J517" i="2" s="1"/>
  <c r="F518" i="2"/>
  <c r="G518" i="2" s="1"/>
  <c r="J518" i="2" s="1"/>
  <c r="F519" i="2"/>
  <c r="G519" i="2" s="1"/>
  <c r="J519" i="2" s="1"/>
  <c r="F520" i="2"/>
  <c r="G520" i="2" s="1"/>
  <c r="J520" i="2" s="1"/>
  <c r="F521" i="2"/>
  <c r="G521" i="2" s="1"/>
  <c r="J521" i="2" s="1"/>
  <c r="F522" i="2"/>
  <c r="G522" i="2" s="1"/>
  <c r="J522" i="2" s="1"/>
  <c r="F523" i="2"/>
  <c r="G523" i="2" s="1"/>
  <c r="J523" i="2" s="1"/>
  <c r="F524" i="2"/>
  <c r="G524" i="2" s="1"/>
  <c r="J524" i="2" s="1"/>
  <c r="F525" i="2"/>
  <c r="G525" i="2" s="1"/>
  <c r="J525" i="2" s="1"/>
  <c r="F526" i="2"/>
  <c r="G526" i="2" s="1"/>
  <c r="J526" i="2" s="1"/>
  <c r="F527" i="2"/>
  <c r="G527" i="2" s="1"/>
  <c r="J527" i="2" s="1"/>
  <c r="F528" i="2"/>
  <c r="G528" i="2" s="1"/>
  <c r="J528" i="2" s="1"/>
  <c r="F529" i="2"/>
  <c r="G529" i="2" s="1"/>
  <c r="J529" i="2" s="1"/>
  <c r="F530" i="2"/>
  <c r="G530" i="2" s="1"/>
  <c r="J530" i="2" s="1"/>
  <c r="F531" i="2"/>
  <c r="G531" i="2" s="1"/>
  <c r="J531" i="2" s="1"/>
  <c r="F532" i="2"/>
  <c r="G532" i="2" s="1"/>
  <c r="J532" i="2" s="1"/>
  <c r="F533" i="2"/>
  <c r="G533" i="2" s="1"/>
  <c r="J533" i="2" s="1"/>
  <c r="F534" i="2"/>
  <c r="G534" i="2" s="1"/>
  <c r="J534" i="2" s="1"/>
  <c r="F535" i="2"/>
  <c r="G535" i="2" s="1"/>
  <c r="J535" i="2" s="1"/>
  <c r="F536" i="2"/>
  <c r="G536" i="2" s="1"/>
  <c r="J536" i="2" s="1"/>
  <c r="F537" i="2"/>
  <c r="G537" i="2" s="1"/>
  <c r="J537" i="2" s="1"/>
  <c r="F538" i="2"/>
  <c r="G538" i="2" s="1"/>
  <c r="J538" i="2" s="1"/>
  <c r="F539" i="2"/>
  <c r="G539" i="2" s="1"/>
  <c r="J539" i="2" s="1"/>
  <c r="F540" i="2"/>
  <c r="G540" i="2" s="1"/>
  <c r="J540" i="2" s="1"/>
  <c r="F541" i="2"/>
  <c r="G541" i="2" s="1"/>
  <c r="J541" i="2" s="1"/>
  <c r="F542" i="2"/>
  <c r="G542" i="2" s="1"/>
  <c r="J542" i="2" s="1"/>
  <c r="F543" i="2"/>
  <c r="G543" i="2" s="1"/>
  <c r="J543" i="2" s="1"/>
  <c r="F544" i="2"/>
  <c r="G544" i="2" s="1"/>
  <c r="J544" i="2" s="1"/>
  <c r="F545" i="2"/>
  <c r="G545" i="2" s="1"/>
  <c r="J545" i="2" s="1"/>
  <c r="F546" i="2"/>
  <c r="G546" i="2" s="1"/>
  <c r="J546" i="2" s="1"/>
  <c r="F547" i="2"/>
  <c r="G547" i="2" s="1"/>
  <c r="J547" i="2" s="1"/>
  <c r="F548" i="2"/>
  <c r="G548" i="2" s="1"/>
  <c r="J548" i="2" s="1"/>
  <c r="F549" i="2"/>
  <c r="G549" i="2" s="1"/>
  <c r="J549" i="2" s="1"/>
  <c r="F550" i="2"/>
  <c r="G550" i="2" s="1"/>
  <c r="J550" i="2" s="1"/>
  <c r="F551" i="2"/>
  <c r="G551" i="2" s="1"/>
  <c r="J551" i="2" s="1"/>
  <c r="F552" i="2"/>
  <c r="G552" i="2" s="1"/>
  <c r="J552" i="2" s="1"/>
  <c r="F553" i="2"/>
  <c r="G553" i="2" s="1"/>
  <c r="J553" i="2" s="1"/>
  <c r="F554" i="2"/>
  <c r="G554" i="2" s="1"/>
  <c r="J554" i="2" s="1"/>
  <c r="F555" i="2"/>
  <c r="G555" i="2" s="1"/>
  <c r="J555" i="2" s="1"/>
  <c r="F556" i="2"/>
  <c r="G556" i="2" s="1"/>
  <c r="J556" i="2" s="1"/>
  <c r="F557" i="2"/>
  <c r="G557" i="2" s="1"/>
  <c r="J557" i="2" s="1"/>
  <c r="F558" i="2"/>
  <c r="G558" i="2" s="1"/>
  <c r="J558" i="2" s="1"/>
  <c r="F559" i="2"/>
  <c r="G559" i="2" s="1"/>
  <c r="J559" i="2" s="1"/>
  <c r="F560" i="2"/>
  <c r="G560" i="2" s="1"/>
  <c r="J560" i="2" s="1"/>
  <c r="F561" i="2"/>
  <c r="G561" i="2" s="1"/>
  <c r="J561" i="2" s="1"/>
  <c r="F562" i="2"/>
  <c r="G562" i="2" s="1"/>
  <c r="J562" i="2" s="1"/>
  <c r="F563" i="2"/>
  <c r="G563" i="2" s="1"/>
  <c r="J563" i="2" s="1"/>
  <c r="F564" i="2"/>
  <c r="G564" i="2" s="1"/>
  <c r="J564" i="2" s="1"/>
  <c r="F565" i="2"/>
  <c r="G565" i="2" s="1"/>
  <c r="J565" i="2" s="1"/>
  <c r="F566" i="2"/>
  <c r="G566" i="2" s="1"/>
  <c r="J566" i="2" s="1"/>
  <c r="F567" i="2"/>
  <c r="G567" i="2" s="1"/>
  <c r="J567" i="2" s="1"/>
  <c r="F568" i="2"/>
  <c r="G568" i="2" s="1"/>
  <c r="J568" i="2" s="1"/>
  <c r="F569" i="2"/>
  <c r="G569" i="2" s="1"/>
  <c r="J569" i="2" s="1"/>
  <c r="F570" i="2"/>
  <c r="G570" i="2" s="1"/>
  <c r="J570" i="2" s="1"/>
  <c r="F571" i="2"/>
  <c r="G571" i="2" s="1"/>
  <c r="J571" i="2" s="1"/>
  <c r="F572" i="2"/>
  <c r="G572" i="2" s="1"/>
  <c r="J572" i="2" s="1"/>
  <c r="F573" i="2"/>
  <c r="G573" i="2" s="1"/>
  <c r="J573" i="2" s="1"/>
  <c r="F574" i="2"/>
  <c r="G574" i="2" s="1"/>
  <c r="J574" i="2" s="1"/>
  <c r="F575" i="2"/>
  <c r="G575" i="2" s="1"/>
  <c r="J575" i="2" s="1"/>
  <c r="F576" i="2"/>
  <c r="G576" i="2" s="1"/>
  <c r="J576" i="2" s="1"/>
  <c r="F577" i="2"/>
  <c r="G577" i="2" s="1"/>
  <c r="J577" i="2" s="1"/>
  <c r="F578" i="2"/>
  <c r="G578" i="2" s="1"/>
  <c r="J578" i="2" s="1"/>
  <c r="F579" i="2"/>
  <c r="G579" i="2" s="1"/>
  <c r="J579" i="2" s="1"/>
  <c r="F580" i="2"/>
  <c r="G580" i="2" s="1"/>
  <c r="J580" i="2" s="1"/>
  <c r="F581" i="2"/>
  <c r="G581" i="2" s="1"/>
  <c r="J581" i="2" s="1"/>
  <c r="F582" i="2"/>
  <c r="G582" i="2" s="1"/>
  <c r="J582" i="2" s="1"/>
  <c r="F583" i="2"/>
  <c r="G583" i="2" s="1"/>
  <c r="J583" i="2" s="1"/>
  <c r="F584" i="2"/>
  <c r="G584" i="2" s="1"/>
  <c r="J584" i="2" s="1"/>
  <c r="F585" i="2"/>
  <c r="G585" i="2" s="1"/>
  <c r="J585" i="2" s="1"/>
  <c r="F586" i="2"/>
  <c r="G586" i="2" s="1"/>
  <c r="J586" i="2" s="1"/>
  <c r="F587" i="2"/>
  <c r="G587" i="2" s="1"/>
  <c r="J587" i="2" s="1"/>
  <c r="F588" i="2"/>
  <c r="G588" i="2" s="1"/>
  <c r="J588" i="2" s="1"/>
  <c r="F589" i="2"/>
  <c r="G589" i="2" s="1"/>
  <c r="J589" i="2" s="1"/>
  <c r="F590" i="2"/>
  <c r="G590" i="2" s="1"/>
  <c r="J590" i="2" s="1"/>
  <c r="F591" i="2"/>
  <c r="G591" i="2" s="1"/>
  <c r="J591" i="2" s="1"/>
  <c r="F592" i="2"/>
  <c r="G592" i="2" s="1"/>
  <c r="J592" i="2" s="1"/>
  <c r="F593" i="2"/>
  <c r="G593" i="2" s="1"/>
  <c r="J593" i="2" s="1"/>
  <c r="F594" i="2"/>
  <c r="G594" i="2" s="1"/>
  <c r="J594" i="2" s="1"/>
  <c r="F595" i="2"/>
  <c r="G595" i="2" s="1"/>
  <c r="J595" i="2" s="1"/>
  <c r="F596" i="2"/>
  <c r="G596" i="2" s="1"/>
  <c r="J596" i="2" s="1"/>
  <c r="F597" i="2"/>
  <c r="G597" i="2" s="1"/>
  <c r="J597" i="2" s="1"/>
  <c r="F598" i="2"/>
  <c r="G598" i="2" s="1"/>
  <c r="J598" i="2" s="1"/>
  <c r="F599" i="2"/>
  <c r="G599" i="2" s="1"/>
  <c r="J599" i="2" s="1"/>
  <c r="F600" i="2"/>
  <c r="G600" i="2" s="1"/>
  <c r="J600" i="2" s="1"/>
  <c r="F601" i="2"/>
  <c r="G601" i="2" s="1"/>
  <c r="J601" i="2" s="1"/>
  <c r="F602" i="2"/>
  <c r="G602" i="2" s="1"/>
  <c r="J602" i="2" s="1"/>
  <c r="F603" i="2"/>
  <c r="G603" i="2" s="1"/>
  <c r="J603" i="2" s="1"/>
  <c r="F604" i="2"/>
  <c r="G604" i="2" s="1"/>
  <c r="J604" i="2" s="1"/>
  <c r="F605" i="2"/>
  <c r="G605" i="2" s="1"/>
  <c r="J605" i="2" s="1"/>
  <c r="F606" i="2"/>
  <c r="G606" i="2" s="1"/>
  <c r="J606" i="2" s="1"/>
  <c r="F607" i="2"/>
  <c r="G607" i="2" s="1"/>
  <c r="J607" i="2" s="1"/>
  <c r="F608" i="2"/>
  <c r="G608" i="2" s="1"/>
  <c r="J608" i="2" s="1"/>
  <c r="F609" i="2"/>
  <c r="G609" i="2" s="1"/>
  <c r="J609" i="2" s="1"/>
  <c r="F610" i="2"/>
  <c r="G610" i="2" s="1"/>
  <c r="J610" i="2" s="1"/>
  <c r="F611" i="2"/>
  <c r="G611" i="2" s="1"/>
  <c r="J611" i="2" s="1"/>
  <c r="F612" i="2"/>
  <c r="G612" i="2" s="1"/>
  <c r="J612" i="2" s="1"/>
  <c r="F613" i="2"/>
  <c r="G613" i="2" s="1"/>
  <c r="J613" i="2" s="1"/>
  <c r="F614" i="2"/>
  <c r="G614" i="2" s="1"/>
  <c r="J614" i="2" s="1"/>
  <c r="F615" i="2"/>
  <c r="G615" i="2" s="1"/>
  <c r="J615" i="2" s="1"/>
  <c r="F616" i="2"/>
  <c r="G616" i="2" s="1"/>
  <c r="J616" i="2" s="1"/>
  <c r="F617" i="2"/>
  <c r="G617" i="2" s="1"/>
  <c r="J617" i="2" s="1"/>
  <c r="F618" i="2"/>
  <c r="G618" i="2" s="1"/>
  <c r="J618" i="2" s="1"/>
  <c r="F619" i="2"/>
  <c r="G619" i="2" s="1"/>
  <c r="J619" i="2" s="1"/>
  <c r="F620" i="2"/>
  <c r="G620" i="2" s="1"/>
  <c r="J620" i="2" s="1"/>
  <c r="F621" i="2"/>
  <c r="G621" i="2" s="1"/>
  <c r="J621" i="2" s="1"/>
  <c r="F622" i="2"/>
  <c r="G622" i="2" s="1"/>
  <c r="J622" i="2" s="1"/>
  <c r="F623" i="2"/>
  <c r="G623" i="2" s="1"/>
  <c r="J623" i="2" s="1"/>
  <c r="F627" i="2"/>
  <c r="G627" i="2" s="1"/>
  <c r="J627" i="2" s="1"/>
  <c r="F628" i="2"/>
  <c r="G628" i="2" s="1"/>
  <c r="J628" i="2" s="1"/>
  <c r="F629" i="2"/>
  <c r="G629" i="2" s="1"/>
  <c r="J629" i="2" s="1"/>
  <c r="F630" i="2"/>
  <c r="G630" i="2" s="1"/>
  <c r="J630" i="2" s="1"/>
  <c r="F631" i="2"/>
  <c r="G631" i="2" s="1"/>
  <c r="J631" i="2" s="1"/>
  <c r="F632" i="2"/>
  <c r="G632" i="2" s="1"/>
  <c r="J632" i="2" s="1"/>
  <c r="F633" i="2"/>
  <c r="G633" i="2" s="1"/>
  <c r="J633" i="2" s="1"/>
  <c r="F634" i="2"/>
  <c r="G634" i="2" s="1"/>
  <c r="J634" i="2" s="1"/>
  <c r="F635" i="2"/>
  <c r="G635" i="2" s="1"/>
  <c r="J635" i="2" s="1"/>
  <c r="F636" i="2"/>
  <c r="G636" i="2" s="1"/>
  <c r="J636" i="2" s="1"/>
  <c r="F637" i="2"/>
  <c r="G637" i="2" s="1"/>
  <c r="J637" i="2" s="1"/>
  <c r="J638" i="2"/>
  <c r="F639" i="2"/>
  <c r="G639" i="2" s="1"/>
  <c r="J639" i="2" s="1"/>
  <c r="F640" i="2"/>
  <c r="G640" i="2" s="1"/>
  <c r="J640" i="2" s="1"/>
  <c r="F641" i="2"/>
  <c r="G641" i="2" s="1"/>
  <c r="J641" i="2" s="1"/>
  <c r="F642" i="2"/>
  <c r="G642" i="2" s="1"/>
  <c r="J642" i="2" s="1"/>
  <c r="F643" i="2"/>
  <c r="G643" i="2" s="1"/>
  <c r="J643" i="2" s="1"/>
  <c r="F644" i="2"/>
  <c r="G644" i="2" s="1"/>
  <c r="J644" i="2" s="1"/>
  <c r="F645" i="2"/>
  <c r="G645" i="2" s="1"/>
  <c r="J645" i="2" s="1"/>
  <c r="F646" i="2"/>
  <c r="G646" i="2" s="1"/>
  <c r="J646" i="2" s="1"/>
  <c r="F647" i="2"/>
  <c r="G647" i="2" s="1"/>
  <c r="J647" i="2" s="1"/>
  <c r="F648" i="2"/>
  <c r="G648" i="2" s="1"/>
  <c r="J648" i="2" s="1"/>
  <c r="F649" i="2"/>
  <c r="G649" i="2" s="1"/>
  <c r="J649" i="2" s="1"/>
  <c r="F650" i="2"/>
  <c r="G650" i="2" s="1"/>
  <c r="J650" i="2" s="1"/>
  <c r="F651" i="2"/>
  <c r="G651" i="2" s="1"/>
  <c r="J651" i="2" s="1"/>
  <c r="F652" i="2"/>
  <c r="G652" i="2" s="1"/>
  <c r="J652" i="2" s="1"/>
  <c r="F653" i="2"/>
  <c r="G653" i="2" s="1"/>
  <c r="J653" i="2" s="1"/>
  <c r="F654" i="2"/>
  <c r="G654" i="2" s="1"/>
  <c r="J654" i="2" s="1"/>
  <c r="F655" i="2"/>
  <c r="G655" i="2" s="1"/>
  <c r="J655" i="2" s="1"/>
  <c r="F656" i="2"/>
  <c r="G656" i="2" s="1"/>
  <c r="J656" i="2" s="1"/>
  <c r="F657" i="2"/>
  <c r="G657" i="2" s="1"/>
  <c r="J657" i="2" s="1"/>
  <c r="F658" i="2"/>
  <c r="G658" i="2" s="1"/>
  <c r="J658" i="2" s="1"/>
  <c r="F659" i="2"/>
  <c r="G659" i="2" s="1"/>
  <c r="J659" i="2" s="1"/>
  <c r="F660" i="2"/>
  <c r="G660" i="2" s="1"/>
  <c r="J660" i="2" s="1"/>
  <c r="F661" i="2"/>
  <c r="G661" i="2" s="1"/>
  <c r="J661" i="2" s="1"/>
  <c r="F662" i="2"/>
  <c r="G662" i="2" s="1"/>
  <c r="J662" i="2" s="1"/>
  <c r="F663" i="2"/>
  <c r="G663" i="2" s="1"/>
  <c r="J663" i="2" s="1"/>
  <c r="F664" i="2"/>
  <c r="G664" i="2" s="1"/>
  <c r="J664" i="2" s="1"/>
  <c r="F665" i="2"/>
  <c r="G665" i="2" s="1"/>
  <c r="J665" i="2" s="1"/>
  <c r="F666" i="2"/>
  <c r="G666" i="2" s="1"/>
  <c r="J666" i="2" s="1"/>
  <c r="F667" i="2"/>
  <c r="G667" i="2" s="1"/>
  <c r="J667" i="2" s="1"/>
  <c r="F668" i="2"/>
  <c r="G668" i="2" s="1"/>
  <c r="J668" i="2" s="1"/>
  <c r="F669" i="2"/>
  <c r="G669" i="2" s="1"/>
  <c r="J669" i="2" s="1"/>
  <c r="F670" i="2"/>
  <c r="G670" i="2" s="1"/>
  <c r="J670" i="2" s="1"/>
  <c r="F671" i="2"/>
  <c r="G671" i="2" s="1"/>
  <c r="J671" i="2" s="1"/>
  <c r="F672" i="2"/>
  <c r="G672" i="2" s="1"/>
  <c r="J672" i="2" s="1"/>
  <c r="F673" i="2"/>
  <c r="G673" i="2" s="1"/>
  <c r="J673" i="2" s="1"/>
  <c r="F674" i="2"/>
  <c r="G674" i="2" s="1"/>
  <c r="J674" i="2" s="1"/>
  <c r="F675" i="2"/>
  <c r="G675" i="2" s="1"/>
  <c r="J675" i="2" s="1"/>
  <c r="F676" i="2"/>
  <c r="G676" i="2" s="1"/>
  <c r="J676" i="2" s="1"/>
  <c r="F677" i="2"/>
  <c r="G677" i="2" s="1"/>
  <c r="J677" i="2" s="1"/>
  <c r="F678" i="2"/>
  <c r="G678" i="2" s="1"/>
  <c r="J678" i="2" s="1"/>
  <c r="F679" i="2"/>
  <c r="G679" i="2" s="1"/>
  <c r="J679" i="2" s="1"/>
  <c r="F680" i="2"/>
  <c r="G680" i="2" s="1"/>
  <c r="J680" i="2" s="1"/>
  <c r="F681" i="2"/>
  <c r="G681" i="2" s="1"/>
  <c r="J681" i="2" s="1"/>
  <c r="F682" i="2"/>
  <c r="G682" i="2" s="1"/>
  <c r="J682" i="2" s="1"/>
  <c r="F683" i="2"/>
  <c r="G683" i="2" s="1"/>
  <c r="J683" i="2" s="1"/>
  <c r="F684" i="2"/>
  <c r="G684" i="2" s="1"/>
  <c r="J684" i="2" s="1"/>
  <c r="F685" i="2"/>
  <c r="G685" i="2" s="1"/>
  <c r="J685" i="2" s="1"/>
  <c r="F686" i="2"/>
  <c r="G686" i="2" s="1"/>
  <c r="J686" i="2" s="1"/>
  <c r="F687" i="2"/>
  <c r="G687" i="2" s="1"/>
  <c r="J687" i="2" s="1"/>
  <c r="F688" i="2"/>
  <c r="G688" i="2" s="1"/>
  <c r="J688" i="2" s="1"/>
  <c r="F689" i="2"/>
  <c r="G689" i="2" s="1"/>
  <c r="J689" i="2" s="1"/>
  <c r="F690" i="2"/>
  <c r="G690" i="2" s="1"/>
  <c r="J690" i="2" s="1"/>
  <c r="F691" i="2"/>
  <c r="G691" i="2" s="1"/>
  <c r="J691" i="2" s="1"/>
  <c r="F692" i="2"/>
  <c r="G692" i="2" s="1"/>
  <c r="J692" i="2" s="1"/>
  <c r="F693" i="2"/>
  <c r="G693" i="2" s="1"/>
  <c r="J693" i="2" s="1"/>
  <c r="F694" i="2"/>
  <c r="G694" i="2" s="1"/>
  <c r="J694" i="2" s="1"/>
  <c r="F695" i="2"/>
  <c r="G695" i="2" s="1"/>
  <c r="J695" i="2" s="1"/>
  <c r="F696" i="2"/>
  <c r="G696" i="2" s="1"/>
  <c r="J696" i="2" s="1"/>
  <c r="F697" i="2"/>
  <c r="G697" i="2" s="1"/>
  <c r="J697" i="2" s="1"/>
  <c r="F698" i="2"/>
  <c r="G698" i="2" s="1"/>
  <c r="J698" i="2" s="1"/>
  <c r="F699" i="2"/>
  <c r="G699" i="2" s="1"/>
  <c r="J699" i="2" s="1"/>
  <c r="F700" i="2"/>
  <c r="G700" i="2" s="1"/>
  <c r="J700" i="2" s="1"/>
  <c r="F701" i="2"/>
  <c r="G701" i="2" s="1"/>
  <c r="J701" i="2" s="1"/>
  <c r="F702" i="2"/>
  <c r="G702" i="2" s="1"/>
  <c r="J702" i="2" s="1"/>
  <c r="F703" i="2"/>
  <c r="G703" i="2" s="1"/>
  <c r="J703" i="2" s="1"/>
  <c r="F704" i="2"/>
  <c r="G704" i="2" s="1"/>
  <c r="J704" i="2" s="1"/>
  <c r="F705" i="2"/>
  <c r="G705" i="2" s="1"/>
  <c r="J705" i="2" s="1"/>
  <c r="F706" i="2"/>
  <c r="G706" i="2" s="1"/>
  <c r="J706" i="2" s="1"/>
  <c r="F707" i="2"/>
  <c r="G707" i="2" s="1"/>
  <c r="J707" i="2" s="1"/>
  <c r="F708" i="2"/>
  <c r="G708" i="2" s="1"/>
  <c r="J708" i="2" s="1"/>
  <c r="F709" i="2"/>
  <c r="G709" i="2" s="1"/>
  <c r="J709" i="2" s="1"/>
  <c r="F710" i="2"/>
  <c r="G710" i="2" s="1"/>
  <c r="J710" i="2" s="1"/>
  <c r="F717" i="2"/>
  <c r="G717" i="2" s="1"/>
  <c r="J717" i="2" s="1"/>
  <c r="F718" i="2"/>
  <c r="G718" i="2" s="1"/>
  <c r="J718" i="2" s="1"/>
  <c r="F719" i="2"/>
  <c r="G719" i="2" s="1"/>
  <c r="J719" i="2" s="1"/>
  <c r="F720" i="2"/>
  <c r="G720" i="2" s="1"/>
  <c r="J720" i="2" s="1"/>
  <c r="F721" i="2"/>
  <c r="G721" i="2" s="1"/>
  <c r="J721" i="2" s="1"/>
  <c r="F722" i="2"/>
  <c r="G722" i="2" s="1"/>
  <c r="J722" i="2" s="1"/>
  <c r="F723" i="2"/>
  <c r="G723" i="2" s="1"/>
  <c r="J723" i="2" s="1"/>
  <c r="F724" i="2"/>
  <c r="G724" i="2" s="1"/>
  <c r="J724" i="2" s="1"/>
  <c r="F725" i="2"/>
  <c r="G725" i="2" s="1"/>
  <c r="J725" i="2" s="1"/>
  <c r="F726" i="2"/>
  <c r="G726" i="2" s="1"/>
  <c r="J726" i="2" s="1"/>
  <c r="F727" i="2"/>
  <c r="G727" i="2" s="1"/>
  <c r="J727" i="2" s="1"/>
  <c r="F728" i="2"/>
  <c r="G728" i="2" s="1"/>
  <c r="J728" i="2" s="1"/>
  <c r="F729" i="2"/>
  <c r="G729" i="2" s="1"/>
  <c r="J729" i="2" s="1"/>
  <c r="F730" i="2"/>
  <c r="G730" i="2" s="1"/>
  <c r="J730" i="2" s="1"/>
  <c r="F731" i="2"/>
  <c r="G731" i="2" s="1"/>
  <c r="J731" i="2" s="1"/>
  <c r="F732" i="2"/>
  <c r="G732" i="2" s="1"/>
  <c r="J732" i="2" s="1"/>
  <c r="F733" i="2"/>
  <c r="G733" i="2" s="1"/>
  <c r="J733" i="2" s="1"/>
  <c r="F734" i="2"/>
  <c r="G734" i="2" s="1"/>
  <c r="J734" i="2" s="1"/>
  <c r="F735" i="2"/>
  <c r="G735" i="2" s="1"/>
  <c r="J735" i="2" s="1"/>
  <c r="F736" i="2"/>
  <c r="G736" i="2" s="1"/>
  <c r="J736" i="2" s="1"/>
  <c r="F737" i="2"/>
  <c r="G737" i="2" s="1"/>
  <c r="J737" i="2" s="1"/>
  <c r="F738" i="2"/>
  <c r="G738" i="2" s="1"/>
  <c r="J738" i="2" s="1"/>
  <c r="F739" i="2"/>
  <c r="G739" i="2" s="1"/>
  <c r="J739" i="2" s="1"/>
  <c r="F740" i="2"/>
  <c r="G740" i="2" s="1"/>
  <c r="J740" i="2" s="1"/>
  <c r="F741" i="2"/>
  <c r="G741" i="2" s="1"/>
  <c r="J741" i="2" s="1"/>
  <c r="F742" i="2"/>
  <c r="G742" i="2" s="1"/>
  <c r="J742" i="2" s="1"/>
  <c r="F743" i="2"/>
  <c r="G743" i="2" s="1"/>
  <c r="J743" i="2" s="1"/>
  <c r="F744" i="2"/>
  <c r="G744" i="2" s="1"/>
  <c r="J744" i="2" s="1"/>
  <c r="F745" i="2"/>
  <c r="G745" i="2" s="1"/>
  <c r="J745" i="2" s="1"/>
  <c r="F746" i="2"/>
  <c r="G746" i="2" s="1"/>
  <c r="J746" i="2" s="1"/>
  <c r="F747" i="2"/>
  <c r="G747" i="2" s="1"/>
  <c r="J747" i="2" s="1"/>
  <c r="F748" i="2"/>
  <c r="G748" i="2" s="1"/>
  <c r="J748" i="2" s="1"/>
  <c r="F749" i="2"/>
  <c r="G749" i="2" s="1"/>
  <c r="J749" i="2" s="1"/>
  <c r="F750" i="2"/>
  <c r="G750" i="2" s="1"/>
  <c r="J750" i="2" s="1"/>
  <c r="F751" i="2"/>
  <c r="G751" i="2" s="1"/>
  <c r="J751" i="2" s="1"/>
  <c r="F752" i="2"/>
  <c r="G752" i="2" s="1"/>
  <c r="J752" i="2" s="1"/>
  <c r="F753" i="2"/>
  <c r="G753" i="2" s="1"/>
  <c r="J753" i="2" s="1"/>
  <c r="F754" i="2"/>
  <c r="G754" i="2" s="1"/>
  <c r="J754" i="2" s="1"/>
  <c r="F755" i="2"/>
  <c r="G755" i="2" s="1"/>
  <c r="J755" i="2" s="1"/>
  <c r="F756" i="2"/>
  <c r="G756" i="2" s="1"/>
  <c r="J756" i="2" s="1"/>
  <c r="F757" i="2"/>
  <c r="G757" i="2" s="1"/>
  <c r="J757" i="2" s="1"/>
  <c r="F758" i="2"/>
  <c r="G758" i="2" s="1"/>
  <c r="J758" i="2" s="1"/>
  <c r="F759" i="2"/>
  <c r="G759" i="2" s="1"/>
  <c r="J759" i="2" s="1"/>
  <c r="F760" i="2"/>
  <c r="G760" i="2" s="1"/>
  <c r="J760" i="2" s="1"/>
  <c r="F761" i="2"/>
  <c r="G761" i="2" s="1"/>
  <c r="J761" i="2" s="1"/>
  <c r="F762" i="2"/>
  <c r="G762" i="2" s="1"/>
  <c r="J762" i="2" s="1"/>
  <c r="F763" i="2"/>
  <c r="G763" i="2" s="1"/>
  <c r="J763" i="2" s="1"/>
  <c r="F764" i="2"/>
  <c r="G764" i="2" s="1"/>
  <c r="J764" i="2" s="1"/>
  <c r="F765" i="2"/>
  <c r="G765" i="2" s="1"/>
  <c r="J765" i="2" s="1"/>
  <c r="F766" i="2"/>
  <c r="G766" i="2" s="1"/>
  <c r="J766" i="2" s="1"/>
  <c r="F767" i="2"/>
  <c r="G767" i="2" s="1"/>
  <c r="J767" i="2" s="1"/>
  <c r="F768" i="2"/>
  <c r="G768" i="2" s="1"/>
  <c r="J768" i="2" s="1"/>
  <c r="F769" i="2"/>
  <c r="G769" i="2" s="1"/>
  <c r="J769" i="2" s="1"/>
  <c r="F770" i="2"/>
  <c r="G770" i="2" s="1"/>
  <c r="J770" i="2" s="1"/>
  <c r="F771" i="2"/>
  <c r="G771" i="2" s="1"/>
  <c r="J771" i="2" s="1"/>
  <c r="F772" i="2"/>
  <c r="G772" i="2" s="1"/>
  <c r="J772" i="2" s="1"/>
  <c r="F773" i="2"/>
  <c r="G773" i="2" s="1"/>
  <c r="J773" i="2" s="1"/>
  <c r="F774" i="2"/>
  <c r="G774" i="2" s="1"/>
  <c r="J774" i="2" s="1"/>
  <c r="F775" i="2"/>
  <c r="G775" i="2" s="1"/>
  <c r="J775" i="2" s="1"/>
  <c r="F776" i="2"/>
  <c r="G776" i="2" s="1"/>
  <c r="J776" i="2" s="1"/>
  <c r="F777" i="2"/>
  <c r="G777" i="2" s="1"/>
  <c r="J777" i="2" s="1"/>
  <c r="F778" i="2"/>
  <c r="G778" i="2" s="1"/>
  <c r="J778" i="2" s="1"/>
  <c r="F779" i="2"/>
  <c r="G779" i="2" s="1"/>
  <c r="J779" i="2" s="1"/>
  <c r="F780" i="2"/>
  <c r="G780" i="2" s="1"/>
  <c r="J780" i="2" s="1"/>
  <c r="F781" i="2"/>
  <c r="G781" i="2" s="1"/>
  <c r="J781" i="2" s="1"/>
  <c r="F782" i="2"/>
  <c r="G782" i="2" s="1"/>
  <c r="J782" i="2" s="1"/>
  <c r="F783" i="2"/>
  <c r="G783" i="2" s="1"/>
  <c r="J783" i="2" s="1"/>
  <c r="F784" i="2"/>
  <c r="G784" i="2" s="1"/>
  <c r="J784" i="2" s="1"/>
  <c r="F785" i="2"/>
  <c r="G785" i="2" s="1"/>
  <c r="J785" i="2" s="1"/>
  <c r="F786" i="2"/>
  <c r="G786" i="2" s="1"/>
  <c r="J786" i="2" s="1"/>
  <c r="F787" i="2"/>
  <c r="G787" i="2" s="1"/>
  <c r="J787" i="2" s="1"/>
  <c r="F788" i="2"/>
  <c r="G788" i="2" s="1"/>
  <c r="J788" i="2" s="1"/>
  <c r="F789" i="2"/>
  <c r="G789" i="2" s="1"/>
  <c r="J789" i="2" s="1"/>
  <c r="F790" i="2"/>
  <c r="G790" i="2" s="1"/>
  <c r="J790" i="2" s="1"/>
  <c r="F791" i="2"/>
  <c r="G791" i="2" s="1"/>
  <c r="J791" i="2" s="1"/>
  <c r="F792" i="2"/>
  <c r="G792" i="2" s="1"/>
  <c r="J792" i="2" s="1"/>
  <c r="F793" i="2"/>
  <c r="G793" i="2" s="1"/>
  <c r="J793" i="2" s="1"/>
  <c r="F794" i="2"/>
  <c r="G794" i="2" s="1"/>
  <c r="J794" i="2" s="1"/>
  <c r="F795" i="2"/>
  <c r="G795" i="2" s="1"/>
  <c r="J795" i="2" s="1"/>
  <c r="F796" i="2"/>
  <c r="G796" i="2" s="1"/>
  <c r="J796" i="2" s="1"/>
  <c r="F797" i="2"/>
  <c r="G797" i="2" s="1"/>
  <c r="J797" i="2" s="1"/>
  <c r="F798" i="2"/>
  <c r="G798" i="2" s="1"/>
  <c r="J798" i="2" s="1"/>
  <c r="F799" i="2"/>
  <c r="G799" i="2" s="1"/>
  <c r="J799" i="2" s="1"/>
  <c r="F800" i="2"/>
  <c r="G800" i="2" s="1"/>
  <c r="J800" i="2" s="1"/>
  <c r="F801" i="2"/>
  <c r="G801" i="2" s="1"/>
  <c r="J801" i="2" s="1"/>
  <c r="F802" i="2"/>
  <c r="G802" i="2" s="1"/>
  <c r="J802" i="2" s="1"/>
  <c r="F803" i="2"/>
  <c r="G803" i="2" s="1"/>
  <c r="J803" i="2" s="1"/>
  <c r="F804" i="2"/>
  <c r="G804" i="2" s="1"/>
  <c r="J804" i="2" s="1"/>
  <c r="F805" i="2"/>
  <c r="G805" i="2" s="1"/>
  <c r="J805" i="2" s="1"/>
  <c r="F806" i="2"/>
  <c r="G806" i="2" s="1"/>
  <c r="J806" i="2" s="1"/>
  <c r="F807" i="2"/>
  <c r="G807" i="2" s="1"/>
  <c r="J807" i="2" s="1"/>
  <c r="F808" i="2"/>
  <c r="G808" i="2" s="1"/>
  <c r="J808" i="2" s="1"/>
  <c r="F809" i="2"/>
  <c r="G809" i="2" s="1"/>
  <c r="J809" i="2" s="1"/>
  <c r="F810" i="2"/>
  <c r="G810" i="2" s="1"/>
  <c r="J810" i="2" s="1"/>
  <c r="F811" i="2"/>
  <c r="G811" i="2" s="1"/>
  <c r="J811" i="2" s="1"/>
  <c r="F812" i="2"/>
  <c r="G812" i="2" s="1"/>
  <c r="J812" i="2" s="1"/>
  <c r="F813" i="2"/>
  <c r="G813" i="2" s="1"/>
  <c r="J813" i="2" s="1"/>
  <c r="F814" i="2"/>
  <c r="G814" i="2" s="1"/>
  <c r="J814" i="2" s="1"/>
  <c r="F815" i="2"/>
  <c r="G815" i="2" s="1"/>
  <c r="J815" i="2" s="1"/>
  <c r="F816" i="2"/>
  <c r="G816" i="2" s="1"/>
  <c r="J816" i="2" s="1"/>
  <c r="F817" i="2"/>
  <c r="G817" i="2" s="1"/>
  <c r="J817" i="2" s="1"/>
  <c r="F818" i="2"/>
  <c r="G818" i="2" s="1"/>
  <c r="J818" i="2" s="1"/>
  <c r="F819" i="2"/>
  <c r="G819" i="2" s="1"/>
  <c r="J819" i="2" s="1"/>
  <c r="F820" i="2"/>
  <c r="G820" i="2" s="1"/>
  <c r="J820" i="2" s="1"/>
  <c r="F821" i="2"/>
  <c r="G821" i="2" s="1"/>
  <c r="J821" i="2" s="1"/>
  <c r="F822" i="2"/>
  <c r="G822" i="2" s="1"/>
  <c r="J822" i="2" s="1"/>
  <c r="F823" i="2"/>
  <c r="G823" i="2" s="1"/>
  <c r="J823" i="2" s="1"/>
  <c r="F824" i="2"/>
  <c r="G824" i="2" s="1"/>
  <c r="J824" i="2" s="1"/>
  <c r="F825" i="2"/>
  <c r="G825" i="2" s="1"/>
  <c r="J825" i="2" s="1"/>
  <c r="F826" i="2"/>
  <c r="G826" i="2" s="1"/>
  <c r="J826" i="2" s="1"/>
  <c r="F827" i="2"/>
  <c r="G827" i="2" s="1"/>
  <c r="J827" i="2" s="1"/>
  <c r="F828" i="2"/>
  <c r="G828" i="2" s="1"/>
  <c r="J828" i="2" s="1"/>
  <c r="F829" i="2"/>
  <c r="G829" i="2" s="1"/>
  <c r="J829" i="2" s="1"/>
  <c r="F830" i="2"/>
  <c r="G830" i="2" s="1"/>
  <c r="J830" i="2" s="1"/>
  <c r="F831" i="2"/>
  <c r="G831" i="2" s="1"/>
  <c r="J831" i="2" s="1"/>
  <c r="F832" i="2"/>
  <c r="G832" i="2" s="1"/>
  <c r="J832" i="2" s="1"/>
  <c r="F833" i="2"/>
  <c r="G833" i="2" s="1"/>
  <c r="J833" i="2" s="1"/>
  <c r="F834" i="2"/>
  <c r="G834" i="2" s="1"/>
  <c r="J834" i="2" s="1"/>
  <c r="F835" i="2"/>
  <c r="G835" i="2" s="1"/>
  <c r="J835" i="2" s="1"/>
  <c r="F836" i="2"/>
  <c r="G836" i="2" s="1"/>
  <c r="J836" i="2" s="1"/>
  <c r="F837" i="2"/>
  <c r="G837" i="2" s="1"/>
  <c r="J837" i="2" s="1"/>
  <c r="F838" i="2"/>
  <c r="G838" i="2" s="1"/>
  <c r="J838" i="2" s="1"/>
  <c r="F839" i="2"/>
  <c r="G839" i="2" s="1"/>
  <c r="J839" i="2" s="1"/>
  <c r="F840" i="2"/>
  <c r="G840" i="2" s="1"/>
  <c r="J840" i="2" s="1"/>
  <c r="F841" i="2"/>
  <c r="G841" i="2" s="1"/>
  <c r="J841" i="2" s="1"/>
  <c r="F842" i="2"/>
  <c r="G842" i="2" s="1"/>
  <c r="J842" i="2" s="1"/>
  <c r="F843" i="2"/>
  <c r="G843" i="2" s="1"/>
  <c r="J843" i="2" s="1"/>
  <c r="F844" i="2"/>
  <c r="G844" i="2" s="1"/>
  <c r="J844" i="2" s="1"/>
  <c r="F845" i="2"/>
  <c r="G845" i="2" s="1"/>
  <c r="J845" i="2" s="1"/>
  <c r="F846" i="2"/>
  <c r="G846" i="2" s="1"/>
  <c r="J846" i="2" s="1"/>
  <c r="F847" i="2"/>
  <c r="G847" i="2" s="1"/>
  <c r="J847" i="2" s="1"/>
  <c r="F848" i="2"/>
  <c r="G848" i="2" s="1"/>
  <c r="J848" i="2" s="1"/>
  <c r="F849" i="2"/>
  <c r="G849" i="2" s="1"/>
  <c r="J849" i="2" s="1"/>
  <c r="F850" i="2"/>
  <c r="G850" i="2" s="1"/>
  <c r="J850" i="2" s="1"/>
  <c r="F851" i="2"/>
  <c r="G851" i="2" s="1"/>
  <c r="J851" i="2" s="1"/>
  <c r="F852" i="2"/>
  <c r="G852" i="2" s="1"/>
  <c r="J852" i="2" s="1"/>
  <c r="F853" i="2"/>
  <c r="G853" i="2" s="1"/>
  <c r="J853" i="2" s="1"/>
  <c r="F854" i="2"/>
  <c r="G854" i="2" s="1"/>
  <c r="J854" i="2" s="1"/>
  <c r="F855" i="2"/>
  <c r="G855" i="2" s="1"/>
  <c r="J855" i="2" s="1"/>
  <c r="F856" i="2"/>
  <c r="G856" i="2" s="1"/>
  <c r="J856" i="2" s="1"/>
  <c r="F857" i="2"/>
  <c r="G857" i="2" s="1"/>
  <c r="J857" i="2" s="1"/>
  <c r="F858" i="2"/>
  <c r="G858" i="2" s="1"/>
  <c r="J858" i="2" s="1"/>
  <c r="F859" i="2"/>
  <c r="G859" i="2" s="1"/>
  <c r="J859" i="2" s="1"/>
  <c r="F860" i="2"/>
  <c r="G860" i="2" s="1"/>
  <c r="J860" i="2" s="1"/>
  <c r="F861" i="2"/>
  <c r="G861" i="2" s="1"/>
  <c r="J861" i="2" s="1"/>
  <c r="F862" i="2"/>
  <c r="G862" i="2" s="1"/>
  <c r="J862" i="2" s="1"/>
  <c r="F863" i="2"/>
  <c r="G863" i="2" s="1"/>
  <c r="J863" i="2" s="1"/>
  <c r="F864" i="2"/>
  <c r="G864" i="2" s="1"/>
  <c r="J864" i="2" s="1"/>
  <c r="F865" i="2"/>
  <c r="G865" i="2" s="1"/>
  <c r="J865" i="2" s="1"/>
  <c r="F866" i="2"/>
  <c r="G866" i="2" s="1"/>
  <c r="J866" i="2" s="1"/>
  <c r="F867" i="2"/>
  <c r="G867" i="2" s="1"/>
  <c r="J867" i="2" s="1"/>
  <c r="F868" i="2"/>
  <c r="G868" i="2" s="1"/>
  <c r="J868" i="2" s="1"/>
  <c r="F869" i="2"/>
  <c r="G869" i="2" s="1"/>
  <c r="J869" i="2" s="1"/>
  <c r="F870" i="2"/>
  <c r="G870" i="2" s="1"/>
  <c r="J870" i="2" s="1"/>
  <c r="F871" i="2"/>
  <c r="G871" i="2" s="1"/>
  <c r="J871" i="2" s="1"/>
  <c r="F872" i="2"/>
  <c r="G872" i="2" s="1"/>
  <c r="J872" i="2" s="1"/>
  <c r="F873" i="2"/>
  <c r="G873" i="2" s="1"/>
  <c r="J873" i="2" s="1"/>
  <c r="F874" i="2"/>
  <c r="G874" i="2" s="1"/>
  <c r="J874" i="2" s="1"/>
  <c r="F875" i="2"/>
  <c r="G875" i="2" s="1"/>
  <c r="J875" i="2" s="1"/>
  <c r="F876" i="2"/>
  <c r="G876" i="2" s="1"/>
  <c r="J876" i="2" s="1"/>
  <c r="F877" i="2"/>
  <c r="G877" i="2" s="1"/>
  <c r="J877" i="2" s="1"/>
  <c r="F878" i="2"/>
  <c r="G878" i="2" s="1"/>
  <c r="J878" i="2" s="1"/>
  <c r="F879" i="2"/>
  <c r="G879" i="2" s="1"/>
  <c r="J879" i="2" s="1"/>
  <c r="F880" i="2"/>
  <c r="G880" i="2" s="1"/>
  <c r="J880" i="2" s="1"/>
  <c r="F881" i="2"/>
  <c r="G881" i="2" s="1"/>
  <c r="J881" i="2" s="1"/>
  <c r="F882" i="2"/>
  <c r="G882" i="2" s="1"/>
  <c r="J882" i="2" s="1"/>
  <c r="F883" i="2"/>
  <c r="G883" i="2" s="1"/>
  <c r="J883" i="2" s="1"/>
  <c r="F884" i="2"/>
  <c r="G884" i="2" s="1"/>
  <c r="J884" i="2" s="1"/>
  <c r="F885" i="2"/>
  <c r="G885" i="2" s="1"/>
  <c r="J885" i="2" s="1"/>
  <c r="F886" i="2"/>
  <c r="G886" i="2" s="1"/>
  <c r="J886" i="2" s="1"/>
  <c r="F887" i="2"/>
  <c r="G887" i="2" s="1"/>
  <c r="J887" i="2" s="1"/>
  <c r="F888" i="2"/>
  <c r="G888" i="2" s="1"/>
  <c r="J888" i="2" s="1"/>
  <c r="F889" i="2"/>
  <c r="G889" i="2" s="1"/>
  <c r="J889" i="2" s="1"/>
  <c r="F890" i="2"/>
  <c r="G890" i="2" s="1"/>
  <c r="J890" i="2" s="1"/>
  <c r="F891" i="2"/>
  <c r="G891" i="2" s="1"/>
  <c r="J891" i="2" s="1"/>
  <c r="F892" i="2"/>
  <c r="G892" i="2" s="1"/>
  <c r="J892" i="2" s="1"/>
  <c r="F893" i="2"/>
  <c r="G893" i="2" s="1"/>
  <c r="J893" i="2" s="1"/>
  <c r="F894" i="2"/>
  <c r="G894" i="2" s="1"/>
  <c r="J894" i="2" s="1"/>
  <c r="F895" i="2"/>
  <c r="G895" i="2" s="1"/>
  <c r="J895" i="2" s="1"/>
  <c r="F896" i="2"/>
  <c r="G896" i="2" s="1"/>
  <c r="J896" i="2" s="1"/>
  <c r="F897" i="2"/>
  <c r="G897" i="2" s="1"/>
  <c r="J897" i="2" s="1"/>
  <c r="F898" i="2"/>
  <c r="G898" i="2" s="1"/>
  <c r="J898" i="2" s="1"/>
  <c r="F899" i="2"/>
  <c r="F900" i="2"/>
  <c r="F901" i="2"/>
  <c r="F902" i="2"/>
  <c r="F903" i="2"/>
  <c r="F904" i="2"/>
  <c r="J716" i="2" l="1"/>
  <c r="F479" i="2"/>
  <c r="G479" i="2" s="1"/>
  <c r="J479" i="2" s="1"/>
  <c r="F478" i="2"/>
  <c r="G478" i="2" s="1"/>
  <c r="J478" i="2" s="1"/>
  <c r="F477" i="2"/>
  <c r="G477" i="2" s="1"/>
  <c r="J477" i="2" s="1"/>
  <c r="F476" i="2"/>
  <c r="G476" i="2" s="1"/>
  <c r="J476" i="2" s="1"/>
  <c r="F475" i="2"/>
  <c r="G475" i="2" s="1"/>
  <c r="J475" i="2" s="1"/>
  <c r="F474" i="2"/>
  <c r="G474" i="2" s="1"/>
  <c r="J474" i="2" s="1"/>
  <c r="F473" i="2"/>
  <c r="G473" i="2" s="1"/>
  <c r="J473" i="2" s="1"/>
  <c r="F472" i="2"/>
  <c r="G472" i="2" s="1"/>
  <c r="J472" i="2" s="1"/>
  <c r="F471" i="2"/>
  <c r="G471" i="2" s="1"/>
  <c r="J471" i="2" s="1"/>
  <c r="F470" i="2"/>
  <c r="G470" i="2" s="1"/>
  <c r="J470" i="2" s="1"/>
  <c r="F469" i="2"/>
  <c r="G469" i="2" s="1"/>
  <c r="J469" i="2" s="1"/>
  <c r="F468" i="2"/>
  <c r="G468" i="2" s="1"/>
  <c r="J468" i="2" s="1"/>
  <c r="F467" i="2"/>
  <c r="G467" i="2" s="1"/>
  <c r="J467" i="2" s="1"/>
  <c r="F466" i="2"/>
  <c r="G466" i="2" s="1"/>
  <c r="J466" i="2" s="1"/>
  <c r="F465" i="2"/>
  <c r="G465" i="2" s="1"/>
  <c r="J465" i="2" s="1"/>
  <c r="F464" i="2"/>
  <c r="G464" i="2" s="1"/>
  <c r="J464" i="2" s="1"/>
  <c r="F463" i="2"/>
  <c r="G463" i="2" s="1"/>
  <c r="J463" i="2" s="1"/>
  <c r="F462" i="2"/>
  <c r="G462" i="2" s="1"/>
  <c r="J462" i="2" s="1"/>
  <c r="F461" i="2"/>
  <c r="G461" i="2" s="1"/>
  <c r="J461" i="2" s="1"/>
  <c r="F460" i="2"/>
  <c r="G460" i="2" s="1"/>
  <c r="J460" i="2" s="1"/>
  <c r="F459" i="2"/>
  <c r="G459" i="2" s="1"/>
  <c r="J459" i="2" s="1"/>
  <c r="F458" i="2"/>
  <c r="G458" i="2" s="1"/>
  <c r="J458" i="2" s="1"/>
  <c r="F457" i="2"/>
  <c r="G457" i="2" s="1"/>
  <c r="J457" i="2" s="1"/>
  <c r="F456" i="2"/>
  <c r="G456" i="2" s="1"/>
  <c r="J456" i="2" s="1"/>
  <c r="F432" i="2"/>
  <c r="G432" i="2" s="1"/>
  <c r="J432" i="2" s="1"/>
  <c r="F433" i="2"/>
  <c r="F434" i="2"/>
  <c r="F435" i="2"/>
  <c r="G435" i="2" s="1"/>
  <c r="J435" i="2" s="1"/>
  <c r="F436" i="2"/>
  <c r="G436" i="2" s="1"/>
  <c r="J436" i="2" s="1"/>
  <c r="F437" i="2"/>
  <c r="G437" i="2" s="1"/>
  <c r="J437" i="2" s="1"/>
  <c r="F438" i="2"/>
  <c r="G438" i="2" s="1"/>
  <c r="J438" i="2" s="1"/>
  <c r="F439" i="2"/>
  <c r="G439" i="2" s="1"/>
  <c r="J439" i="2" s="1"/>
  <c r="F440" i="2"/>
  <c r="F441" i="2"/>
  <c r="F442" i="2"/>
  <c r="F443" i="2"/>
  <c r="G443" i="2" s="1"/>
  <c r="J443" i="2" s="1"/>
  <c r="F444" i="2"/>
  <c r="G444" i="2" s="1"/>
  <c r="J444" i="2" s="1"/>
  <c r="F445" i="2"/>
  <c r="G445" i="2" s="1"/>
  <c r="J445" i="2" s="1"/>
  <c r="F446" i="2"/>
  <c r="G446" i="2" s="1"/>
  <c r="J446" i="2" s="1"/>
  <c r="F447" i="2"/>
  <c r="G447" i="2" s="1"/>
  <c r="J447" i="2" s="1"/>
  <c r="F448" i="2"/>
  <c r="G448" i="2" s="1"/>
  <c r="J448" i="2" s="1"/>
  <c r="F449" i="2"/>
  <c r="F450" i="2"/>
  <c r="F451" i="2"/>
  <c r="F452" i="2"/>
  <c r="G452" i="2" s="1"/>
  <c r="J452" i="2" s="1"/>
  <c r="F453" i="2"/>
  <c r="G453" i="2" s="1"/>
  <c r="J453" i="2" s="1"/>
  <c r="F454" i="2"/>
  <c r="G454" i="2" s="1"/>
  <c r="J454" i="2" s="1"/>
  <c r="F455" i="2"/>
  <c r="G455" i="2" s="1"/>
  <c r="J455" i="2" s="1"/>
  <c r="G451" i="2" l="1"/>
  <c r="J451" i="2" s="1"/>
  <c r="G450" i="2"/>
  <c r="J450" i="2" s="1"/>
  <c r="G442" i="2"/>
  <c r="J442" i="2" s="1"/>
  <c r="G434" i="2"/>
  <c r="J434" i="2" s="1"/>
  <c r="G449" i="2"/>
  <c r="J449" i="2" s="1"/>
  <c r="G441" i="2"/>
  <c r="J441" i="2" s="1"/>
  <c r="G433" i="2"/>
  <c r="J433" i="2" s="1"/>
  <c r="G440" i="2"/>
  <c r="J440" i="2" s="1"/>
  <c r="F407" i="2"/>
  <c r="G407" i="2" s="1"/>
  <c r="J407" i="2" s="1"/>
  <c r="F408" i="2"/>
  <c r="G408" i="2" s="1"/>
  <c r="J408" i="2" s="1"/>
  <c r="F409" i="2"/>
  <c r="G409" i="2" s="1"/>
  <c r="J409" i="2" s="1"/>
  <c r="F410" i="2"/>
  <c r="G410" i="2" s="1"/>
  <c r="J410" i="2" s="1"/>
  <c r="F411" i="2"/>
  <c r="G411" i="2" s="1"/>
  <c r="J411" i="2" s="1"/>
  <c r="F412" i="2"/>
  <c r="G412" i="2" s="1"/>
  <c r="J412" i="2" s="1"/>
  <c r="F413" i="2"/>
  <c r="G413" i="2" s="1"/>
  <c r="J413" i="2" s="1"/>
  <c r="F414" i="2"/>
  <c r="G414" i="2" s="1"/>
  <c r="J414" i="2" s="1"/>
  <c r="F415" i="2"/>
  <c r="G415" i="2" s="1"/>
  <c r="J415" i="2" s="1"/>
  <c r="F416" i="2"/>
  <c r="G416" i="2" s="1"/>
  <c r="J416" i="2" s="1"/>
  <c r="F417" i="2"/>
  <c r="G417" i="2" s="1"/>
  <c r="J417" i="2" s="1"/>
  <c r="F418" i="2"/>
  <c r="G418" i="2" s="1"/>
  <c r="J418" i="2" s="1"/>
  <c r="F419" i="2"/>
  <c r="G419" i="2" s="1"/>
  <c r="J419" i="2" s="1"/>
  <c r="F420" i="2"/>
  <c r="G420" i="2" s="1"/>
  <c r="J420" i="2" s="1"/>
  <c r="J421" i="2"/>
  <c r="F422" i="2"/>
  <c r="G422" i="2" s="1"/>
  <c r="J422" i="2" s="1"/>
  <c r="F423" i="2"/>
  <c r="G423" i="2" s="1"/>
  <c r="J423" i="2" s="1"/>
  <c r="F424" i="2"/>
  <c r="G424" i="2" s="1"/>
  <c r="J424" i="2" s="1"/>
  <c r="F425" i="2"/>
  <c r="G425" i="2" s="1"/>
  <c r="J425" i="2" s="1"/>
  <c r="F426" i="2"/>
  <c r="G426" i="2" s="1"/>
  <c r="J426" i="2" s="1"/>
  <c r="F427" i="2"/>
  <c r="G427" i="2" s="1"/>
  <c r="J427" i="2" s="1"/>
  <c r="F428" i="2"/>
  <c r="G428" i="2" s="1"/>
  <c r="J428" i="2" s="1"/>
  <c r="F429" i="2"/>
  <c r="G429" i="2" s="1"/>
  <c r="J429" i="2" s="1"/>
  <c r="F430" i="2"/>
  <c r="G430" i="2" s="1"/>
  <c r="J430" i="2" s="1"/>
  <c r="F431" i="2"/>
  <c r="F320" i="2"/>
  <c r="G320" i="2" s="1"/>
  <c r="J320" i="2" s="1"/>
  <c r="F321" i="2"/>
  <c r="G321" i="2" s="1"/>
  <c r="J321" i="2" s="1"/>
  <c r="F322" i="2"/>
  <c r="G322" i="2" s="1"/>
  <c r="J322" i="2" s="1"/>
  <c r="F323" i="2"/>
  <c r="G323" i="2" s="1"/>
  <c r="J323" i="2" s="1"/>
  <c r="F324" i="2"/>
  <c r="G324" i="2" s="1"/>
  <c r="J324" i="2" s="1"/>
  <c r="F325" i="2"/>
  <c r="G325" i="2" s="1"/>
  <c r="J325" i="2" s="1"/>
  <c r="F326" i="2"/>
  <c r="G326" i="2" s="1"/>
  <c r="J326" i="2" s="1"/>
  <c r="F327" i="2"/>
  <c r="G327" i="2" s="1"/>
  <c r="J327" i="2" s="1"/>
  <c r="F328" i="2"/>
  <c r="G328" i="2" s="1"/>
  <c r="J328" i="2" s="1"/>
  <c r="F329" i="2"/>
  <c r="G329" i="2" s="1"/>
  <c r="J329" i="2" s="1"/>
  <c r="F330" i="2"/>
  <c r="G330" i="2" s="1"/>
  <c r="J330" i="2" s="1"/>
  <c r="F331" i="2"/>
  <c r="G331" i="2" s="1"/>
  <c r="J331" i="2" s="1"/>
  <c r="F332" i="2"/>
  <c r="G332" i="2" s="1"/>
  <c r="J332" i="2" s="1"/>
  <c r="F333" i="2"/>
  <c r="G333" i="2" s="1"/>
  <c r="J333" i="2" s="1"/>
  <c r="F334" i="2"/>
  <c r="G334" i="2" s="1"/>
  <c r="J334" i="2" s="1"/>
  <c r="F335" i="2"/>
  <c r="G335" i="2" s="1"/>
  <c r="J335" i="2" s="1"/>
  <c r="F336" i="2"/>
  <c r="G336" i="2" s="1"/>
  <c r="J336" i="2" s="1"/>
  <c r="F337" i="2"/>
  <c r="G337" i="2" s="1"/>
  <c r="J337" i="2" s="1"/>
  <c r="F338" i="2"/>
  <c r="G338" i="2" s="1"/>
  <c r="J338" i="2" s="1"/>
  <c r="F339" i="2"/>
  <c r="G339" i="2" s="1"/>
  <c r="J339" i="2" s="1"/>
  <c r="F340" i="2"/>
  <c r="G340" i="2" s="1"/>
  <c r="J340" i="2" s="1"/>
  <c r="F341" i="2"/>
  <c r="G341" i="2" s="1"/>
  <c r="J341" i="2" s="1"/>
  <c r="F342" i="2"/>
  <c r="G342" i="2" s="1"/>
  <c r="J342" i="2" s="1"/>
  <c r="F343" i="2"/>
  <c r="G343" i="2" s="1"/>
  <c r="J343" i="2" s="1"/>
  <c r="F344" i="2"/>
  <c r="G344" i="2" s="1"/>
  <c r="J344" i="2" s="1"/>
  <c r="F345" i="2"/>
  <c r="G345" i="2" s="1"/>
  <c r="J345" i="2" s="1"/>
  <c r="F346" i="2"/>
  <c r="G346" i="2" s="1"/>
  <c r="J346" i="2" s="1"/>
  <c r="F347" i="2"/>
  <c r="G347" i="2" s="1"/>
  <c r="J347" i="2" s="1"/>
  <c r="F348" i="2"/>
  <c r="G348" i="2" s="1"/>
  <c r="J348" i="2" s="1"/>
  <c r="J349" i="2"/>
  <c r="F350" i="2"/>
  <c r="G350" i="2" s="1"/>
  <c r="J350" i="2" s="1"/>
  <c r="F351" i="2"/>
  <c r="G351" i="2" s="1"/>
  <c r="J351" i="2" s="1"/>
  <c r="J352" i="2"/>
  <c r="F353" i="2"/>
  <c r="G353" i="2" s="1"/>
  <c r="J353" i="2" s="1"/>
  <c r="F354" i="2"/>
  <c r="G354" i="2" s="1"/>
  <c r="J354" i="2" s="1"/>
  <c r="F355" i="2"/>
  <c r="G355" i="2" s="1"/>
  <c r="J355" i="2" s="1"/>
  <c r="F356" i="2"/>
  <c r="G356" i="2" s="1"/>
  <c r="J356" i="2" s="1"/>
  <c r="F357" i="2"/>
  <c r="G357" i="2" s="1"/>
  <c r="J357" i="2" s="1"/>
  <c r="J358" i="2"/>
  <c r="J359" i="2"/>
  <c r="F360" i="2"/>
  <c r="G360" i="2" s="1"/>
  <c r="J360" i="2" s="1"/>
  <c r="F361" i="2"/>
  <c r="G361" i="2" s="1"/>
  <c r="J361" i="2" s="1"/>
  <c r="F362" i="2"/>
  <c r="G362" i="2" s="1"/>
  <c r="J362" i="2" s="1"/>
  <c r="F363" i="2"/>
  <c r="G363" i="2" s="1"/>
  <c r="J363" i="2" s="1"/>
  <c r="F364" i="2"/>
  <c r="G364" i="2" s="1"/>
  <c r="J364" i="2" s="1"/>
  <c r="F365" i="2"/>
  <c r="G365" i="2" s="1"/>
  <c r="J365" i="2" s="1"/>
  <c r="F366" i="2"/>
  <c r="G366" i="2" s="1"/>
  <c r="J366" i="2" s="1"/>
  <c r="F367" i="2"/>
  <c r="G367" i="2" s="1"/>
  <c r="J367" i="2" s="1"/>
  <c r="F368" i="2"/>
  <c r="G368" i="2" s="1"/>
  <c r="J368" i="2" s="1"/>
  <c r="F369" i="2"/>
  <c r="G369" i="2" s="1"/>
  <c r="J369" i="2" s="1"/>
  <c r="F370" i="2"/>
  <c r="G370" i="2" s="1"/>
  <c r="J370" i="2" s="1"/>
  <c r="F371" i="2"/>
  <c r="G371" i="2" s="1"/>
  <c r="J371" i="2" s="1"/>
  <c r="F372" i="2"/>
  <c r="G372" i="2" s="1"/>
  <c r="J372" i="2" s="1"/>
  <c r="F373" i="2"/>
  <c r="G373" i="2" s="1"/>
  <c r="J373" i="2" s="1"/>
  <c r="F374" i="2"/>
  <c r="G374" i="2" s="1"/>
  <c r="J374" i="2" s="1"/>
  <c r="F375" i="2"/>
  <c r="G375" i="2" s="1"/>
  <c r="J375" i="2" s="1"/>
  <c r="F376" i="2"/>
  <c r="G376" i="2" s="1"/>
  <c r="J376" i="2" s="1"/>
  <c r="F377" i="2"/>
  <c r="G377" i="2" s="1"/>
  <c r="J377" i="2" s="1"/>
  <c r="F378" i="2"/>
  <c r="G378" i="2" s="1"/>
  <c r="J378" i="2" s="1"/>
  <c r="F379" i="2"/>
  <c r="G379" i="2" s="1"/>
  <c r="J379" i="2" s="1"/>
  <c r="F380" i="2"/>
  <c r="G380" i="2" s="1"/>
  <c r="J380" i="2" s="1"/>
  <c r="F381" i="2"/>
  <c r="G381" i="2" s="1"/>
  <c r="J381" i="2" s="1"/>
  <c r="F382" i="2"/>
  <c r="G382" i="2" s="1"/>
  <c r="J382" i="2" s="1"/>
  <c r="F383" i="2"/>
  <c r="G383" i="2" s="1"/>
  <c r="J383" i="2" s="1"/>
  <c r="F384" i="2"/>
  <c r="G384" i="2" s="1"/>
  <c r="J384" i="2" s="1"/>
  <c r="F385" i="2"/>
  <c r="G385" i="2" s="1"/>
  <c r="J385" i="2" s="1"/>
  <c r="F386" i="2"/>
  <c r="G386" i="2" s="1"/>
  <c r="J386" i="2" s="1"/>
  <c r="F387" i="2"/>
  <c r="G387" i="2" s="1"/>
  <c r="J387" i="2" s="1"/>
  <c r="F388" i="2"/>
  <c r="G388" i="2" s="1"/>
  <c r="J388" i="2" s="1"/>
  <c r="F389" i="2"/>
  <c r="G389" i="2" s="1"/>
  <c r="J389" i="2" s="1"/>
  <c r="F390" i="2"/>
  <c r="G390" i="2" s="1"/>
  <c r="J390" i="2" s="1"/>
  <c r="F391" i="2"/>
  <c r="G391" i="2" s="1"/>
  <c r="J391" i="2" s="1"/>
  <c r="F392" i="2"/>
  <c r="G392" i="2" s="1"/>
  <c r="J392" i="2" s="1"/>
  <c r="F393" i="2"/>
  <c r="G393" i="2" s="1"/>
  <c r="J393" i="2" s="1"/>
  <c r="F394" i="2"/>
  <c r="G394" i="2" s="1"/>
  <c r="J394" i="2" s="1"/>
  <c r="F395" i="2"/>
  <c r="G395" i="2" s="1"/>
  <c r="J395" i="2" s="1"/>
  <c r="F396" i="2"/>
  <c r="G396" i="2" s="1"/>
  <c r="J396" i="2" s="1"/>
  <c r="F397" i="2"/>
  <c r="G397" i="2" s="1"/>
  <c r="J397" i="2" s="1"/>
  <c r="F398" i="2"/>
  <c r="G398" i="2" s="1"/>
  <c r="J398" i="2" s="1"/>
  <c r="F399" i="2"/>
  <c r="G399" i="2" s="1"/>
  <c r="J399" i="2" s="1"/>
  <c r="J400" i="2"/>
  <c r="F401" i="2"/>
  <c r="G401" i="2" s="1"/>
  <c r="J401" i="2" s="1"/>
  <c r="F402" i="2"/>
  <c r="G402" i="2" s="1"/>
  <c r="J402" i="2" s="1"/>
  <c r="F403" i="2"/>
  <c r="G403" i="2" s="1"/>
  <c r="J403" i="2" s="1"/>
  <c r="F404" i="2"/>
  <c r="G404" i="2" s="1"/>
  <c r="J404" i="2" s="1"/>
  <c r="F405" i="2"/>
  <c r="G405" i="2" s="1"/>
  <c r="J405" i="2" s="1"/>
  <c r="F406" i="2"/>
  <c r="G406" i="2" s="1"/>
  <c r="J406" i="2" s="1"/>
  <c r="G431" i="2" l="1"/>
  <c r="J431" i="2" s="1"/>
  <c r="F319" i="2"/>
  <c r="G319" i="2" s="1"/>
  <c r="J319" i="2" s="1"/>
  <c r="F318" i="2"/>
  <c r="G318" i="2" s="1"/>
  <c r="J318" i="2" s="1"/>
  <c r="F317" i="2"/>
  <c r="G317" i="2" s="1"/>
  <c r="J317" i="2" s="1"/>
  <c r="F316" i="2"/>
  <c r="G316" i="2" s="1"/>
  <c r="J316" i="2" s="1"/>
  <c r="F315" i="2"/>
  <c r="G315" i="2" s="1"/>
  <c r="J315" i="2" s="1"/>
  <c r="F314" i="2"/>
  <c r="G314" i="2" s="1"/>
  <c r="J314" i="2" s="1"/>
  <c r="F313" i="2"/>
  <c r="G313" i="2" s="1"/>
  <c r="J313" i="2" s="1"/>
  <c r="F312" i="2"/>
  <c r="G312" i="2" s="1"/>
  <c r="J312" i="2" s="1"/>
  <c r="F311" i="2"/>
  <c r="G311" i="2" s="1"/>
  <c r="J311" i="2" s="1"/>
  <c r="F310" i="2"/>
  <c r="G310" i="2" s="1"/>
  <c r="J310" i="2" s="1"/>
  <c r="F309" i="2"/>
  <c r="G309" i="2" s="1"/>
  <c r="J309" i="2" s="1"/>
  <c r="F308" i="2"/>
  <c r="G308" i="2" s="1"/>
  <c r="J308" i="2" s="1"/>
  <c r="F307" i="2"/>
  <c r="G307" i="2" s="1"/>
  <c r="J307" i="2" s="1"/>
  <c r="F306" i="2"/>
  <c r="G306" i="2" s="1"/>
  <c r="J306" i="2" s="1"/>
  <c r="F305" i="2"/>
  <c r="G305" i="2" s="1"/>
  <c r="J305" i="2" s="1"/>
  <c r="F304" i="2"/>
  <c r="G304" i="2" s="1"/>
  <c r="J304" i="2" s="1"/>
  <c r="F303" i="2"/>
  <c r="G303" i="2" s="1"/>
  <c r="J303" i="2" s="1"/>
  <c r="F302" i="2"/>
  <c r="G302" i="2" s="1"/>
  <c r="J302" i="2" s="1"/>
  <c r="F301" i="2"/>
  <c r="G301" i="2" s="1"/>
  <c r="J301" i="2" s="1"/>
  <c r="F300" i="2"/>
  <c r="G300" i="2" s="1"/>
  <c r="J300" i="2" s="1"/>
  <c r="F299" i="2"/>
  <c r="G299" i="2" s="1"/>
  <c r="J299" i="2" s="1"/>
  <c r="F298" i="2"/>
  <c r="G298" i="2" s="1"/>
  <c r="J298" i="2" s="1"/>
  <c r="F297" i="2"/>
  <c r="G297" i="2" s="1"/>
  <c r="J297" i="2" s="1"/>
  <c r="F296" i="2"/>
  <c r="G296" i="2" s="1"/>
  <c r="J296" i="2" s="1"/>
  <c r="F295" i="2"/>
  <c r="G295" i="2" s="1"/>
  <c r="J295" i="2" s="1"/>
  <c r="F294" i="2"/>
  <c r="G294" i="2" s="1"/>
  <c r="J294" i="2" s="1"/>
  <c r="F293" i="2"/>
  <c r="G293" i="2" s="1"/>
  <c r="J293" i="2" s="1"/>
  <c r="F292" i="2"/>
  <c r="G292" i="2" s="1"/>
  <c r="J292" i="2" s="1"/>
  <c r="F291" i="2"/>
  <c r="G291" i="2" s="1"/>
  <c r="J291" i="2" s="1"/>
  <c r="F290" i="2"/>
  <c r="G290" i="2" s="1"/>
  <c r="J290" i="2" s="1"/>
  <c r="F289" i="2"/>
  <c r="G289" i="2" s="1"/>
  <c r="J289" i="2" s="1"/>
  <c r="F288" i="2"/>
  <c r="G288" i="2" s="1"/>
  <c r="J288" i="2" s="1"/>
  <c r="F287" i="2"/>
  <c r="G287" i="2" s="1"/>
  <c r="J287" i="2" s="1"/>
  <c r="F286" i="2"/>
  <c r="G286" i="2" s="1"/>
  <c r="J286" i="2" s="1"/>
  <c r="F285" i="2"/>
  <c r="G285" i="2" s="1"/>
  <c r="J285" i="2" s="1"/>
  <c r="F284" i="2"/>
  <c r="G284" i="2" s="1"/>
  <c r="J284" i="2" s="1"/>
  <c r="F283" i="2"/>
  <c r="G283" i="2" s="1"/>
  <c r="J283" i="2" s="1"/>
  <c r="F282" i="2"/>
  <c r="G282" i="2" s="1"/>
  <c r="J282" i="2" s="1"/>
  <c r="F281" i="2"/>
  <c r="G281" i="2" s="1"/>
  <c r="J281" i="2" s="1"/>
  <c r="F280" i="2"/>
  <c r="G280" i="2" s="1"/>
  <c r="J280" i="2" s="1"/>
  <c r="F279" i="2"/>
  <c r="G279" i="2" s="1"/>
  <c r="J279" i="2" s="1"/>
  <c r="F278" i="2"/>
  <c r="G278" i="2" s="1"/>
  <c r="J278" i="2" s="1"/>
  <c r="F277" i="2"/>
  <c r="G277" i="2" s="1"/>
  <c r="J277" i="2" s="1"/>
  <c r="F276" i="2"/>
  <c r="G276" i="2" s="1"/>
  <c r="J276" i="2" s="1"/>
  <c r="F275" i="2"/>
  <c r="G275" i="2" s="1"/>
  <c r="J275" i="2" s="1"/>
  <c r="F274" i="2"/>
  <c r="G274" i="2" s="1"/>
  <c r="J274" i="2" s="1"/>
  <c r="F273" i="2"/>
  <c r="G273" i="2" s="1"/>
  <c r="J273" i="2" s="1"/>
  <c r="F272" i="2"/>
  <c r="G272" i="2" s="1"/>
  <c r="J272" i="2" s="1"/>
  <c r="F271" i="2"/>
  <c r="G271" i="2" s="1"/>
  <c r="J271" i="2" s="1"/>
  <c r="F270" i="2"/>
  <c r="G270" i="2" s="1"/>
  <c r="J270" i="2" s="1"/>
  <c r="F269" i="2"/>
  <c r="G269" i="2" s="1"/>
  <c r="J269" i="2" s="1"/>
  <c r="F268" i="2"/>
  <c r="G268" i="2" s="1"/>
  <c r="J268" i="2" s="1"/>
  <c r="F267" i="2"/>
  <c r="G267" i="2" s="1"/>
  <c r="J267" i="2" s="1"/>
  <c r="F266" i="2"/>
  <c r="G266" i="2" s="1"/>
  <c r="J266" i="2" s="1"/>
  <c r="F265" i="2"/>
  <c r="G265" i="2" s="1"/>
  <c r="J265" i="2" s="1"/>
  <c r="F264" i="2"/>
  <c r="G264" i="2" s="1"/>
  <c r="J264" i="2" s="1"/>
  <c r="F263" i="2"/>
  <c r="G263" i="2" s="1"/>
  <c r="J263" i="2" s="1"/>
  <c r="F262" i="2"/>
  <c r="G262" i="2" s="1"/>
  <c r="J262" i="2" s="1"/>
  <c r="F261" i="2"/>
  <c r="G261" i="2" s="1"/>
  <c r="J261" i="2" s="1"/>
  <c r="F260" i="2"/>
  <c r="G260" i="2" s="1"/>
  <c r="J260" i="2" s="1"/>
  <c r="F259" i="2"/>
  <c r="G259" i="2" s="1"/>
  <c r="J259" i="2" s="1"/>
  <c r="F258" i="2"/>
  <c r="G258" i="2" s="1"/>
  <c r="J258" i="2" s="1"/>
  <c r="F257" i="2"/>
  <c r="G257" i="2" s="1"/>
  <c r="J257" i="2" s="1"/>
  <c r="F256" i="2"/>
  <c r="G256" i="2" s="1"/>
  <c r="J256" i="2" s="1"/>
  <c r="F255" i="2"/>
  <c r="G255" i="2" s="1"/>
  <c r="J255" i="2" s="1"/>
  <c r="F254" i="2"/>
  <c r="G254" i="2" s="1"/>
  <c r="J254" i="2" s="1"/>
  <c r="F253" i="2"/>
  <c r="G253" i="2" s="1"/>
  <c r="J253" i="2" s="1"/>
  <c r="F252" i="2"/>
  <c r="G252" i="2" s="1"/>
  <c r="J252" i="2" s="1"/>
  <c r="F251" i="2"/>
  <c r="G251" i="2" s="1"/>
  <c r="J251" i="2" s="1"/>
  <c r="F250" i="2"/>
  <c r="G250" i="2" s="1"/>
  <c r="J250" i="2" s="1"/>
  <c r="F249" i="2"/>
  <c r="G249" i="2" s="1"/>
  <c r="J249" i="2" s="1"/>
  <c r="F248" i="2"/>
  <c r="G248" i="2" s="1"/>
  <c r="J248" i="2" s="1"/>
  <c r="F247" i="2"/>
  <c r="G247" i="2" s="1"/>
  <c r="J247" i="2" s="1"/>
  <c r="F246" i="2"/>
  <c r="G246" i="2" s="1"/>
  <c r="J246" i="2" s="1"/>
  <c r="F245" i="2"/>
  <c r="G245" i="2" s="1"/>
  <c r="J245" i="2" s="1"/>
  <c r="F244" i="2"/>
  <c r="G244" i="2" s="1"/>
  <c r="J244" i="2" s="1"/>
  <c r="F243" i="2"/>
  <c r="G243" i="2" s="1"/>
  <c r="J243" i="2" s="1"/>
  <c r="F242" i="2"/>
  <c r="G242" i="2" s="1"/>
  <c r="J242" i="2" s="1"/>
  <c r="F241" i="2"/>
  <c r="G241" i="2" s="1"/>
  <c r="J241" i="2" s="1"/>
  <c r="F240" i="2"/>
  <c r="G240" i="2" s="1"/>
  <c r="J240" i="2" s="1"/>
  <c r="J239" i="2"/>
  <c r="F238" i="2"/>
  <c r="G238" i="2" s="1"/>
  <c r="J238" i="2" s="1"/>
  <c r="F237" i="2"/>
  <c r="G237" i="2" s="1"/>
  <c r="J237" i="2" s="1"/>
  <c r="F236" i="2"/>
  <c r="G236" i="2" s="1"/>
  <c r="J236" i="2" s="1"/>
  <c r="F235" i="2"/>
  <c r="G235" i="2" s="1"/>
  <c r="J235" i="2" s="1"/>
  <c r="F234" i="2"/>
  <c r="G234" i="2" s="1"/>
  <c r="J234" i="2" s="1"/>
  <c r="F233" i="2"/>
  <c r="G233" i="2" s="1"/>
  <c r="J233" i="2" s="1"/>
  <c r="F232" i="2"/>
  <c r="G232" i="2" s="1"/>
  <c r="J232" i="2" s="1"/>
  <c r="F231" i="2"/>
  <c r="G231" i="2" s="1"/>
  <c r="J231" i="2" s="1"/>
  <c r="F230" i="2"/>
  <c r="G230" i="2" s="1"/>
  <c r="J230" i="2" s="1"/>
  <c r="F229" i="2"/>
  <c r="G229" i="2" s="1"/>
  <c r="J229" i="2" s="1"/>
  <c r="F228" i="2"/>
  <c r="G228" i="2" s="1"/>
  <c r="J228" i="2" s="1"/>
  <c r="F227" i="2"/>
  <c r="G227" i="2" s="1"/>
  <c r="J227" i="2" s="1"/>
  <c r="F226" i="2"/>
  <c r="G226" i="2" s="1"/>
  <c r="J226" i="2" s="1"/>
  <c r="F225" i="2"/>
  <c r="G225" i="2" s="1"/>
  <c r="J225" i="2" s="1"/>
  <c r="F224" i="2"/>
  <c r="G224" i="2" s="1"/>
  <c r="J224" i="2" s="1"/>
  <c r="F223" i="2"/>
  <c r="G223" i="2" s="1"/>
  <c r="J223" i="2" s="1"/>
  <c r="F222" i="2"/>
  <c r="G222" i="2" s="1"/>
  <c r="J222" i="2" s="1"/>
  <c r="F221" i="2"/>
  <c r="G221" i="2" s="1"/>
  <c r="J221" i="2" s="1"/>
  <c r="F220" i="2"/>
  <c r="G220" i="2" s="1"/>
  <c r="J220" i="2" s="1"/>
  <c r="F219" i="2"/>
  <c r="G219" i="2" s="1"/>
  <c r="J219" i="2" s="1"/>
  <c r="J218" i="2"/>
  <c r="F217" i="2"/>
  <c r="G217" i="2" s="1"/>
  <c r="J217" i="2" s="1"/>
  <c r="F216" i="2"/>
  <c r="G216" i="2" s="1"/>
  <c r="J216" i="2" s="1"/>
  <c r="F215" i="2"/>
  <c r="G215" i="2" s="1"/>
  <c r="J215" i="2" s="1"/>
  <c r="F214" i="2"/>
  <c r="G214" i="2" s="1"/>
  <c r="J214" i="2" s="1"/>
  <c r="F213" i="2"/>
  <c r="G213" i="2" s="1"/>
  <c r="J213" i="2" s="1"/>
  <c r="F212" i="2"/>
  <c r="G212" i="2" s="1"/>
  <c r="J212" i="2" s="1"/>
  <c r="F211" i="2"/>
  <c r="G211" i="2" s="1"/>
  <c r="J211" i="2" s="1"/>
  <c r="F210" i="2"/>
  <c r="G210" i="2" s="1"/>
  <c r="J210" i="2" s="1"/>
  <c r="F209" i="2"/>
  <c r="G209" i="2" s="1"/>
  <c r="J209" i="2" s="1"/>
  <c r="F208" i="2"/>
  <c r="G208" i="2" s="1"/>
  <c r="J208" i="2" s="1"/>
  <c r="F207" i="2"/>
  <c r="G207" i="2" s="1"/>
  <c r="J207" i="2" s="1"/>
  <c r="F206" i="2"/>
  <c r="G206" i="2" s="1"/>
  <c r="J206" i="2" s="1"/>
  <c r="J205" i="2"/>
  <c r="F204" i="2"/>
  <c r="G204" i="2" s="1"/>
  <c r="J204" i="2" s="1"/>
  <c r="F203" i="2"/>
  <c r="G203" i="2" s="1"/>
  <c r="J203" i="2" s="1"/>
  <c r="F202" i="2"/>
  <c r="G202" i="2" s="1"/>
  <c r="J202" i="2" s="1"/>
  <c r="F201" i="2"/>
  <c r="G201" i="2" s="1"/>
  <c r="J201" i="2" s="1"/>
  <c r="F200" i="2"/>
  <c r="G200" i="2" s="1"/>
  <c r="J200" i="2" s="1"/>
  <c r="F199" i="2"/>
  <c r="G199" i="2" s="1"/>
  <c r="J199" i="2" s="1"/>
  <c r="F198" i="2"/>
  <c r="G198" i="2" s="1"/>
  <c r="J198" i="2" s="1"/>
  <c r="F197" i="2"/>
  <c r="G197" i="2" s="1"/>
  <c r="J197" i="2" s="1"/>
  <c r="F196" i="2"/>
  <c r="G196" i="2" s="1"/>
  <c r="J196" i="2" s="1"/>
  <c r="F195" i="2"/>
  <c r="G195" i="2" s="1"/>
  <c r="J195" i="2" s="1"/>
  <c r="F194" i="2"/>
  <c r="G194" i="2" s="1"/>
  <c r="J194" i="2" s="1"/>
  <c r="F193" i="2"/>
  <c r="G193" i="2" s="1"/>
  <c r="J193" i="2" s="1"/>
  <c r="F192" i="2"/>
  <c r="G192" i="2" s="1"/>
  <c r="J192" i="2" s="1"/>
  <c r="F191" i="2"/>
  <c r="G191" i="2" s="1"/>
  <c r="J191" i="2" s="1"/>
  <c r="F190" i="2"/>
  <c r="G190" i="2" s="1"/>
  <c r="J190" i="2" s="1"/>
  <c r="F189" i="2"/>
  <c r="G189" i="2" s="1"/>
  <c r="J189" i="2" s="1"/>
  <c r="F188" i="2"/>
  <c r="G188" i="2" s="1"/>
  <c r="J188" i="2" s="1"/>
  <c r="F187" i="2"/>
  <c r="G187" i="2" s="1"/>
  <c r="J187" i="2" s="1"/>
  <c r="F186" i="2"/>
  <c r="G186" i="2" s="1"/>
  <c r="J186" i="2" s="1"/>
  <c r="F185" i="2"/>
  <c r="G185" i="2" s="1"/>
  <c r="J185" i="2" s="1"/>
  <c r="F184" i="2"/>
  <c r="G184" i="2" s="1"/>
  <c r="J184" i="2" s="1"/>
  <c r="F183" i="2"/>
  <c r="G183" i="2" s="1"/>
  <c r="J183" i="2" s="1"/>
  <c r="F182" i="2"/>
  <c r="G182" i="2" s="1"/>
  <c r="J182" i="2" s="1"/>
  <c r="F181" i="2"/>
  <c r="G181" i="2" s="1"/>
  <c r="J181" i="2" s="1"/>
  <c r="F180" i="2"/>
  <c r="G180" i="2" s="1"/>
  <c r="J180" i="2" s="1"/>
  <c r="F179" i="2"/>
  <c r="G179" i="2" s="1"/>
  <c r="J179" i="2" s="1"/>
  <c r="F178" i="2"/>
  <c r="G178" i="2" s="1"/>
  <c r="J178" i="2" s="1"/>
  <c r="F177" i="2"/>
  <c r="G177" i="2" s="1"/>
  <c r="J177" i="2" s="1"/>
  <c r="F176" i="2"/>
  <c r="G176" i="2" s="1"/>
  <c r="J176" i="2" s="1"/>
  <c r="F175" i="2"/>
  <c r="G175" i="2" s="1"/>
  <c r="J175" i="2" s="1"/>
  <c r="F174" i="2"/>
  <c r="G174" i="2" s="1"/>
  <c r="J174" i="2" s="1"/>
  <c r="F173" i="2"/>
  <c r="G173" i="2" s="1"/>
  <c r="J173" i="2" s="1"/>
  <c r="F172" i="2"/>
  <c r="G172" i="2" s="1"/>
  <c r="J172" i="2" s="1"/>
  <c r="J171" i="2"/>
  <c r="F170" i="2"/>
  <c r="G170" i="2" s="1"/>
  <c r="J170" i="2" s="1"/>
  <c r="F169" i="2"/>
  <c r="G169" i="2" s="1"/>
  <c r="J169" i="2" s="1"/>
  <c r="J168" i="2"/>
  <c r="F167" i="2"/>
  <c r="G167" i="2" s="1"/>
  <c r="J167" i="2" s="1"/>
  <c r="F166" i="2"/>
  <c r="G166" i="2" s="1"/>
  <c r="J166" i="2" s="1"/>
  <c r="F165" i="2"/>
  <c r="G165" i="2" s="1"/>
  <c r="J165" i="2" s="1"/>
  <c r="F164" i="2"/>
  <c r="G164" i="2" s="1"/>
  <c r="J164" i="2" s="1"/>
  <c r="F163" i="2"/>
  <c r="G163" i="2" s="1"/>
  <c r="J163" i="2" s="1"/>
  <c r="F162" i="2"/>
  <c r="G162" i="2" s="1"/>
  <c r="J162" i="2" s="1"/>
  <c r="F161" i="2"/>
  <c r="G161" i="2" s="1"/>
  <c r="J161" i="2" s="1"/>
  <c r="F160" i="2"/>
  <c r="G160" i="2" s="1"/>
  <c r="J160" i="2" s="1"/>
  <c r="J159" i="2"/>
  <c r="F158" i="2"/>
  <c r="G158" i="2" s="1"/>
  <c r="J158" i="2" s="1"/>
  <c r="F157" i="2"/>
  <c r="G157" i="2" s="1"/>
  <c r="J157" i="2" s="1"/>
  <c r="F156" i="2"/>
  <c r="G156" i="2" s="1"/>
  <c r="J156" i="2" s="1"/>
  <c r="F155" i="2"/>
  <c r="G155" i="2" s="1"/>
  <c r="J155" i="2" s="1"/>
  <c r="F154" i="2"/>
  <c r="G154" i="2" s="1"/>
  <c r="J154" i="2" s="1"/>
  <c r="F153" i="2"/>
  <c r="G153" i="2" s="1"/>
  <c r="J153" i="2" s="1"/>
  <c r="F152" i="2"/>
  <c r="G152" i="2" s="1"/>
  <c r="J152" i="2" s="1"/>
  <c r="F151" i="2"/>
  <c r="G151" i="2" s="1"/>
  <c r="J151" i="2" s="1"/>
  <c r="F150" i="2"/>
  <c r="G150" i="2" s="1"/>
  <c r="J150" i="2" s="1"/>
  <c r="F149" i="2"/>
  <c r="G149" i="2" s="1"/>
  <c r="J149" i="2" s="1"/>
  <c r="F148" i="2"/>
  <c r="G148" i="2" s="1"/>
  <c r="J148" i="2" s="1"/>
  <c r="J147" i="2"/>
  <c r="F146" i="2"/>
  <c r="G146" i="2" s="1"/>
  <c r="J146" i="2" s="1"/>
  <c r="F145" i="2"/>
  <c r="G145" i="2" s="1"/>
  <c r="J145" i="2" s="1"/>
  <c r="F144" i="2"/>
  <c r="G144" i="2" s="1"/>
  <c r="J144" i="2" s="1"/>
  <c r="F143" i="2"/>
  <c r="G143" i="2" s="1"/>
  <c r="J143" i="2" s="1"/>
  <c r="F142" i="2"/>
  <c r="G142" i="2" s="1"/>
  <c r="J142" i="2" s="1"/>
  <c r="F141" i="2"/>
  <c r="G141" i="2" s="1"/>
  <c r="J141" i="2" s="1"/>
  <c r="F140" i="2"/>
  <c r="G140" i="2" s="1"/>
  <c r="J140" i="2" s="1"/>
  <c r="F139" i="2"/>
  <c r="G139" i="2" s="1"/>
  <c r="J139" i="2" s="1"/>
  <c r="F138" i="2"/>
  <c r="G138" i="2" s="1"/>
  <c r="J138" i="2" s="1"/>
  <c r="F137" i="2"/>
  <c r="G137" i="2" s="1"/>
  <c r="J137" i="2" s="1"/>
  <c r="F136" i="2"/>
  <c r="G136" i="2" s="1"/>
  <c r="J136" i="2" s="1"/>
  <c r="F135" i="2"/>
  <c r="G135" i="2" s="1"/>
  <c r="J135" i="2" s="1"/>
  <c r="F134" i="2"/>
  <c r="G134" i="2" s="1"/>
  <c r="J134" i="2" s="1"/>
  <c r="F133" i="2"/>
  <c r="G133" i="2" s="1"/>
  <c r="J133" i="2" s="1"/>
  <c r="F132" i="2"/>
  <c r="G132" i="2" s="1"/>
  <c r="J132" i="2" s="1"/>
  <c r="F131" i="2"/>
  <c r="G131" i="2" s="1"/>
  <c r="J131" i="2" s="1"/>
  <c r="F130" i="2"/>
  <c r="G130" i="2" s="1"/>
  <c r="J130" i="2" s="1"/>
  <c r="F129" i="2"/>
  <c r="G129" i="2" s="1"/>
  <c r="J129" i="2" s="1"/>
  <c r="F128" i="2"/>
  <c r="G128" i="2" s="1"/>
  <c r="J128" i="2" s="1"/>
  <c r="F127" i="2"/>
  <c r="G127" i="2" s="1"/>
  <c r="J127" i="2" s="1"/>
  <c r="F126" i="2"/>
  <c r="G126" i="2" s="1"/>
  <c r="J126" i="2" s="1"/>
  <c r="F125" i="2"/>
  <c r="G125" i="2" s="1"/>
  <c r="J125" i="2" s="1"/>
  <c r="F124" i="2"/>
  <c r="G124" i="2" s="1"/>
  <c r="J124" i="2" s="1"/>
  <c r="F123" i="2"/>
  <c r="G123" i="2" s="1"/>
  <c r="J123" i="2" s="1"/>
  <c r="F122" i="2"/>
  <c r="G122" i="2" s="1"/>
  <c r="J122" i="2" s="1"/>
  <c r="F121" i="2"/>
  <c r="G121" i="2" s="1"/>
  <c r="J121" i="2" s="1"/>
  <c r="F120" i="2"/>
  <c r="G120" i="2" s="1"/>
  <c r="J120" i="2" s="1"/>
  <c r="F119" i="2"/>
  <c r="G119" i="2" s="1"/>
  <c r="J119" i="2" s="1"/>
  <c r="F118" i="2"/>
  <c r="G118" i="2" s="1"/>
  <c r="J118" i="2" s="1"/>
  <c r="F117" i="2"/>
  <c r="G117" i="2" s="1"/>
  <c r="J117" i="2" s="1"/>
  <c r="F116" i="2"/>
  <c r="G116" i="2" s="1"/>
  <c r="J116" i="2" s="1"/>
  <c r="F115" i="2"/>
  <c r="G115" i="2" s="1"/>
  <c r="J115" i="2" s="1"/>
  <c r="F114" i="2"/>
  <c r="G114" i="2" s="1"/>
  <c r="J114" i="2" s="1"/>
  <c r="F113" i="2"/>
  <c r="G113" i="2" s="1"/>
  <c r="J113" i="2" s="1"/>
  <c r="F112" i="2"/>
  <c r="G112" i="2" s="1"/>
  <c r="J112" i="2" s="1"/>
  <c r="F111" i="2"/>
  <c r="G111" i="2" s="1"/>
  <c r="J111" i="2" s="1"/>
  <c r="F110" i="2"/>
  <c r="G110" i="2" s="1"/>
  <c r="J110" i="2" s="1"/>
  <c r="F109" i="2"/>
  <c r="G109" i="2" s="1"/>
  <c r="J109" i="2" s="1"/>
  <c r="F108" i="2"/>
  <c r="G108" i="2" s="1"/>
  <c r="J108" i="2" s="1"/>
  <c r="F107" i="2"/>
  <c r="G107" i="2" s="1"/>
  <c r="J107" i="2" s="1"/>
  <c r="F106" i="2"/>
  <c r="G106" i="2" s="1"/>
  <c r="J106" i="2" s="1"/>
  <c r="J105" i="2"/>
  <c r="F104" i="2"/>
  <c r="G104" i="2" s="1"/>
  <c r="J104" i="2" s="1"/>
  <c r="F103" i="2"/>
  <c r="J103" i="2" s="1"/>
  <c r="J102" i="2"/>
  <c r="F101" i="2"/>
  <c r="G101" i="2" s="1"/>
  <c r="J101" i="2" s="1"/>
  <c r="F100" i="2"/>
  <c r="G100" i="2" s="1"/>
  <c r="J100" i="2" s="1"/>
  <c r="F99" i="2"/>
  <c r="G99" i="2" s="1"/>
  <c r="J99" i="2" s="1"/>
  <c r="F98" i="2"/>
  <c r="G98" i="2" s="1"/>
  <c r="J98" i="2" s="1"/>
  <c r="F97" i="2"/>
  <c r="G97" i="2" s="1"/>
  <c r="J97" i="2" s="1"/>
  <c r="F96" i="2"/>
  <c r="G96" i="2" s="1"/>
  <c r="J96" i="2" s="1"/>
  <c r="F95" i="2"/>
  <c r="G95" i="2" s="1"/>
  <c r="J95" i="2" s="1"/>
  <c r="F94" i="2"/>
  <c r="G94" i="2" s="1"/>
  <c r="J94" i="2" s="1"/>
  <c r="F93" i="2"/>
  <c r="G93" i="2" s="1"/>
  <c r="J93" i="2" s="1"/>
  <c r="F92" i="2"/>
  <c r="G92" i="2" s="1"/>
  <c r="J92" i="2" s="1"/>
  <c r="F91" i="2"/>
  <c r="G91" i="2" s="1"/>
  <c r="J91" i="2" s="1"/>
  <c r="F90" i="2"/>
  <c r="G90" i="2" s="1"/>
  <c r="J90" i="2" s="1"/>
  <c r="F89" i="2"/>
  <c r="G89" i="2" s="1"/>
  <c r="J89" i="2" s="1"/>
  <c r="F88" i="2"/>
  <c r="G88" i="2" s="1"/>
  <c r="J88" i="2" s="1"/>
  <c r="F87" i="2"/>
  <c r="G87" i="2" s="1"/>
  <c r="J87" i="2" s="1"/>
  <c r="F86" i="2"/>
  <c r="G86" i="2" s="1"/>
  <c r="J86" i="2" s="1"/>
  <c r="F85" i="2"/>
  <c r="G85" i="2" s="1"/>
  <c r="J85" i="2" s="1"/>
  <c r="F84" i="2"/>
  <c r="G84" i="2" s="1"/>
  <c r="J84" i="2" s="1"/>
  <c r="F83" i="2"/>
  <c r="G83" i="2" s="1"/>
  <c r="J83" i="2" s="1"/>
  <c r="F82" i="2"/>
  <c r="G82" i="2" s="1"/>
  <c r="J82" i="2" s="1"/>
  <c r="F81" i="2"/>
  <c r="G81" i="2" s="1"/>
  <c r="J81" i="2" s="1"/>
  <c r="F80" i="2"/>
  <c r="G80" i="2" s="1"/>
  <c r="J80" i="2" s="1"/>
  <c r="F79" i="2"/>
  <c r="G79" i="2" s="1"/>
  <c r="J79" i="2" s="1"/>
  <c r="F78" i="2"/>
  <c r="G78" i="2" s="1"/>
  <c r="J78" i="2" s="1"/>
  <c r="F77" i="2"/>
  <c r="G77" i="2" s="1"/>
  <c r="J77" i="2" s="1"/>
  <c r="F76" i="2"/>
  <c r="G76" i="2" s="1"/>
  <c r="J76" i="2" s="1"/>
  <c r="F75" i="2"/>
  <c r="G75" i="2" s="1"/>
  <c r="J75" i="2" s="1"/>
  <c r="J74" i="2"/>
  <c r="F73" i="2"/>
  <c r="G73" i="2" s="1"/>
  <c r="J73" i="2" s="1"/>
  <c r="F72" i="2"/>
  <c r="G72" i="2" s="1"/>
  <c r="J72" i="2" s="1"/>
  <c r="F71" i="2"/>
  <c r="G71" i="2" s="1"/>
  <c r="J71" i="2" s="1"/>
  <c r="F70" i="2"/>
  <c r="G70" i="2" s="1"/>
  <c r="J70" i="2" s="1"/>
  <c r="F69" i="2"/>
  <c r="G69" i="2" s="1"/>
  <c r="J69" i="2" s="1"/>
  <c r="F68" i="2"/>
  <c r="G68" i="2" s="1"/>
  <c r="J68" i="2" s="1"/>
  <c r="F67" i="2"/>
  <c r="G67" i="2" s="1"/>
  <c r="J67" i="2" s="1"/>
  <c r="F66" i="2"/>
  <c r="G66" i="2" s="1"/>
  <c r="J66" i="2" s="1"/>
  <c r="F65" i="2"/>
  <c r="G65" i="2" s="1"/>
  <c r="J65" i="2" s="1"/>
  <c r="F64" i="2"/>
  <c r="G64" i="2" s="1"/>
  <c r="J64" i="2" s="1"/>
  <c r="F63" i="2"/>
  <c r="G63" i="2" s="1"/>
  <c r="J63" i="2" s="1"/>
  <c r="F62" i="2"/>
  <c r="G62" i="2" s="1"/>
  <c r="J62" i="2" s="1"/>
  <c r="F61" i="2"/>
  <c r="G61" i="2" s="1"/>
  <c r="J61" i="2" s="1"/>
  <c r="F60" i="2"/>
  <c r="G60" i="2" s="1"/>
  <c r="J60" i="2" s="1"/>
  <c r="F59" i="2"/>
  <c r="G59" i="2" s="1"/>
  <c r="J59" i="2" s="1"/>
  <c r="F58" i="2"/>
  <c r="G58" i="2" s="1"/>
  <c r="J58" i="2" s="1"/>
  <c r="F57" i="2"/>
  <c r="G57" i="2" s="1"/>
  <c r="J57" i="2" s="1"/>
  <c r="F56" i="2"/>
  <c r="G56" i="2" s="1"/>
  <c r="J56" i="2" s="1"/>
  <c r="F55" i="2"/>
  <c r="G55" i="2" s="1"/>
  <c r="J55" i="2" s="1"/>
  <c r="F54" i="2"/>
  <c r="G54" i="2" s="1"/>
  <c r="J54" i="2" s="1"/>
  <c r="F53" i="2"/>
  <c r="G53" i="2" s="1"/>
  <c r="J53" i="2" s="1"/>
  <c r="F52" i="2"/>
  <c r="G52" i="2" s="1"/>
  <c r="J52" i="2" s="1"/>
  <c r="F51" i="2"/>
  <c r="G51" i="2" s="1"/>
  <c r="J51" i="2" s="1"/>
  <c r="F50" i="2"/>
  <c r="G50" i="2" s="1"/>
  <c r="J50" i="2" s="1"/>
  <c r="J49" i="2"/>
  <c r="F48" i="2"/>
  <c r="G48" i="2" s="1"/>
  <c r="J48" i="2" s="1"/>
  <c r="F47" i="2"/>
  <c r="G47" i="2" s="1"/>
  <c r="J47" i="2" s="1"/>
  <c r="F46" i="2"/>
  <c r="G46" i="2" s="1"/>
  <c r="J46" i="2" s="1"/>
  <c r="F45" i="2"/>
  <c r="G45" i="2" s="1"/>
  <c r="J45" i="2" s="1"/>
  <c r="F44" i="2"/>
  <c r="G44" i="2" s="1"/>
  <c r="J44" i="2" s="1"/>
  <c r="F43" i="2"/>
  <c r="G43" i="2" s="1"/>
  <c r="J43" i="2" s="1"/>
  <c r="F42" i="2"/>
  <c r="G42" i="2" s="1"/>
  <c r="J42" i="2" s="1"/>
  <c r="F41" i="2"/>
  <c r="G41" i="2" s="1"/>
  <c r="J41" i="2" s="1"/>
  <c r="F40" i="2"/>
  <c r="G40" i="2" s="1"/>
  <c r="J40" i="2" s="1"/>
  <c r="F39" i="2"/>
  <c r="G39" i="2" s="1"/>
  <c r="J39" i="2" s="1"/>
  <c r="F38" i="2"/>
  <c r="G38" i="2" s="1"/>
  <c r="J38" i="2" s="1"/>
  <c r="F37" i="2"/>
  <c r="G37" i="2" s="1"/>
  <c r="J37" i="2" s="1"/>
  <c r="F36" i="2"/>
  <c r="G36" i="2" s="1"/>
  <c r="J36" i="2" s="1"/>
  <c r="F35" i="2"/>
  <c r="G35" i="2" s="1"/>
  <c r="J35" i="2" s="1"/>
  <c r="F34" i="2"/>
  <c r="G34" i="2" s="1"/>
  <c r="J34" i="2" s="1"/>
  <c r="F33" i="2"/>
  <c r="G33" i="2" s="1"/>
  <c r="J33" i="2" s="1"/>
  <c r="F32" i="2"/>
  <c r="G32" i="2" s="1"/>
  <c r="J32" i="2" s="1"/>
  <c r="F31" i="2"/>
  <c r="G31" i="2" s="1"/>
  <c r="J31" i="2" s="1"/>
  <c r="F30" i="2"/>
  <c r="G30" i="2" s="1"/>
  <c r="J30" i="2" s="1"/>
  <c r="F29" i="2"/>
  <c r="G29" i="2" s="1"/>
  <c r="J29" i="2" s="1"/>
  <c r="F28" i="2"/>
  <c r="G28" i="2" s="1"/>
  <c r="J28" i="2" s="1"/>
  <c r="F27" i="2"/>
  <c r="G27" i="2" s="1"/>
  <c r="J27" i="2" s="1"/>
  <c r="F26" i="2"/>
  <c r="G26" i="2" s="1"/>
  <c r="J26" i="2" s="1"/>
  <c r="F25" i="2"/>
  <c r="G25" i="2" s="1"/>
  <c r="J25" i="2" s="1"/>
  <c r="F24" i="2"/>
  <c r="G24" i="2" s="1"/>
  <c r="J24" i="2" s="1"/>
  <c r="F23" i="2"/>
  <c r="G23" i="2" s="1"/>
  <c r="J23" i="2" s="1"/>
  <c r="F22" i="2"/>
  <c r="G22" i="2" s="1"/>
  <c r="J22" i="2" s="1"/>
  <c r="F21" i="2"/>
  <c r="G21" i="2" s="1"/>
  <c r="J21" i="2" s="1"/>
  <c r="F20" i="2"/>
  <c r="G20" i="2" s="1"/>
  <c r="J20" i="2" s="1"/>
  <c r="F19" i="2"/>
  <c r="G19" i="2" s="1"/>
  <c r="J19" i="2" s="1"/>
  <c r="F18" i="2"/>
  <c r="G18" i="2" s="1"/>
  <c r="J18" i="2" s="1"/>
  <c r="F17" i="2"/>
  <c r="G17" i="2" s="1"/>
  <c r="J17" i="2" s="1"/>
  <c r="F16" i="2"/>
  <c r="G16" i="2" s="1"/>
  <c r="J16" i="2" s="1"/>
  <c r="F15" i="2"/>
  <c r="G15" i="2" s="1"/>
  <c r="J15" i="2" s="1"/>
  <c r="F14" i="2"/>
  <c r="F13" i="2"/>
  <c r="G13" i="2" s="1"/>
  <c r="J13" i="2" s="1"/>
  <c r="F12" i="2"/>
  <c r="G12" i="2" s="1"/>
  <c r="J12" i="2" s="1"/>
  <c r="F11" i="2"/>
  <c r="G11" i="2" s="1"/>
  <c r="J11" i="2" s="1"/>
  <c r="F10" i="2"/>
  <c r="G10" i="2" s="1"/>
  <c r="J10" i="2" s="1"/>
  <c r="F9" i="2"/>
  <c r="G9" i="2" s="1"/>
  <c r="I7" i="2"/>
  <c r="H7" i="2"/>
  <c r="E7" i="2"/>
  <c r="J9" i="2" l="1"/>
  <c r="F7" i="2"/>
  <c r="G14" i="2"/>
  <c r="J14" i="2" s="1"/>
  <c r="G7" i="2" l="1"/>
  <c r="J7" i="2"/>
  <c r="L3" i="2" s="1"/>
  <c r="M1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9" authorId="0" shapeId="0" xr:uid="{3DEFF60A-A403-4BAF-B22C-ED46E3E19B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C10" authorId="0" shapeId="0" xr:uid="{C5447900-6D30-447A-8CA0-DEBF37E4C13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</t>
        </r>
      </text>
    </comment>
    <comment ref="C11" authorId="0" shapeId="0" xr:uid="{BAF13398-254B-4973-BEF9-4962816067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</t>
        </r>
      </text>
    </comment>
    <comment ref="C12" authorId="0" shapeId="0" xr:uid="{52F2D7D7-4272-49F0-812F-47F07A42B6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</t>
        </r>
      </text>
    </comment>
    <comment ref="C13" authorId="0" shapeId="0" xr:uid="{DDF593AC-3191-49DB-A6A6-9723369065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10/1</t>
        </r>
      </text>
    </comment>
    <comment ref="C14" authorId="0" shapeId="0" xr:uid="{26DE58B5-F2E2-4256-9330-B71B5E7403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10/1</t>
        </r>
      </text>
    </comment>
    <comment ref="C15" authorId="0" shapeId="0" xr:uid="{52465FC9-CABD-4886-A045-A51EC68735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14/1-HĐ 8507
</t>
        </r>
      </text>
    </comment>
    <comment ref="C75" authorId="0" shapeId="0" xr:uid="{18CA513E-52ED-4F51-9999-6CF347959A6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</t>
        </r>
      </text>
    </comment>
    <comment ref="C103" authorId="0" shapeId="0" xr:uid="{751A2F83-3AD5-45C1-B2BB-AD68E529B8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30/3</t>
        </r>
      </text>
    </comment>
    <comment ref="C151" authorId="0" shapeId="0" xr:uid="{4BA5C585-CA2B-473B-A6C3-9342D727FE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30/10</t>
        </r>
      </text>
    </comment>
    <comment ref="C160" authorId="0" shapeId="0" xr:uid="{ACE73BF9-5538-44C7-AAA0-618703A83F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5/12</t>
        </r>
      </text>
    </comment>
    <comment ref="C187" authorId="0" shapeId="0" xr:uid="{EF47FC4B-C537-4AFC-A8D9-054B566C3F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</t>
        </r>
      </text>
    </comment>
    <comment ref="C192" authorId="0" shapeId="0" xr:uid="{26DDE192-21DD-40FE-AE29-E0C67D1A49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</t>
        </r>
      </text>
    </comment>
    <comment ref="C199" authorId="0" shapeId="0" xr:uid="{0BE760C8-FC26-41E7-A587-62C4D60837C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20/1</t>
        </r>
      </text>
    </comment>
    <comment ref="C202" authorId="0" shapeId="0" xr:uid="{0B20B6E4-0786-4C34-B1B9-CBF346AC4E7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C220" authorId="0" shapeId="0" xr:uid="{AF2FD667-6533-4210-BEC7-7C3D183E70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1/4</t>
        </r>
      </text>
    </comment>
    <comment ref="C221" authorId="0" shapeId="0" xr:uid="{85029243-4F33-4CB1-8AE7-3305678925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1/4</t>
        </r>
      </text>
    </comment>
    <comment ref="C232" authorId="0" shapeId="0" xr:uid="{12AB097E-7179-439B-A9F4-7C8B29060B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9/5
</t>
        </r>
      </text>
    </comment>
    <comment ref="C240" authorId="0" shapeId="0" xr:uid="{51D5FA2A-A6C8-4D15-B811-D7FAA1EC5D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11/06
</t>
        </r>
      </text>
    </comment>
    <comment ref="C315" authorId="0" shapeId="0" xr:uid="{B6762406-BBE3-4B7B-AC11-C401422DF4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25/11</t>
        </r>
      </text>
    </comment>
    <comment ref="C316" authorId="0" shapeId="0" xr:uid="{7A4C7369-4C25-4291-B862-364048E3DC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318" authorId="0" shapeId="0" xr:uid="{0EEB5AE4-7988-4A1A-851E-9DA9D117F8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C319" authorId="0" shapeId="0" xr:uid="{D53DCCC4-7440-4114-9345-32CD0395A1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3/12</t>
        </r>
      </text>
    </comment>
    <comment ref="C324" authorId="0" shapeId="0" xr:uid="{2E2FA229-1AC5-4813-849C-EF1AFDB878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4/12</t>
        </r>
      </text>
    </comment>
    <comment ref="C325" authorId="0" shapeId="0" xr:uid="{363B8F7A-813C-4D54-A033-7543805203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5/12</t>
        </r>
      </text>
    </comment>
    <comment ref="C329" authorId="0" shapeId="0" xr:uid="{4325F3C0-3104-48D0-8C5D-B5FD147A824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11/12</t>
        </r>
      </text>
    </comment>
    <comment ref="C333" authorId="0" shapeId="0" xr:uid="{B64330F2-3B05-43C8-AC64-1B112DAFCC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14/12</t>
        </r>
      </text>
    </comment>
    <comment ref="C334" authorId="0" shapeId="0" xr:uid="{62432335-3A71-45D6-B044-614C21C6727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17/12</t>
        </r>
      </text>
    </comment>
    <comment ref="C336" authorId="0" shapeId="0" xr:uid="{DBBD0CFB-61E9-4EFA-8464-C7B63BC9F1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18/12</t>
        </r>
      </text>
    </comment>
    <comment ref="C339" authorId="0" shapeId="0" xr:uid="{8425936B-5EF4-4933-ACAC-791B30EBF0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20/12</t>
        </r>
      </text>
    </comment>
    <comment ref="C343" authorId="0" shapeId="0" xr:uid="{667127D0-A48F-4C2E-B13A-4ACA08AA74A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24/12</t>
        </r>
      </text>
    </comment>
    <comment ref="C346" authorId="0" shapeId="0" xr:uid="{29B6B420-C6E2-488B-96A4-C17D7BFD8B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24/12</t>
        </r>
      </text>
    </comment>
    <comment ref="C347" authorId="0" shapeId="0" xr:uid="{6DCA97DF-C0DD-40AB-A57D-A5D16E35C51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24/12</t>
        </r>
      </text>
    </comment>
    <comment ref="C353" authorId="0" shapeId="0" xr:uid="{DB6A88F7-2DEF-4797-9ADB-B4DDFBF3FB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31/12</t>
        </r>
      </text>
    </comment>
    <comment ref="C356" authorId="0" shapeId="0" xr:uid="{9FEDA962-8737-4FCA-91E9-CE3978A9D7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31/12</t>
        </r>
      </text>
    </comment>
    <comment ref="C364" authorId="0" shapeId="0" xr:uid="{0816AA2A-8837-4486-BFC6-F0CFF3BC91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03/01</t>
        </r>
      </text>
    </comment>
    <comment ref="C372" authorId="0" shapeId="0" xr:uid="{9D930C9B-6F9D-4D39-8AED-D550292E52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4/2</t>
        </r>
      </text>
    </comment>
    <comment ref="C436" authorId="0" shapeId="0" xr:uid="{F35748BF-DC50-4B53-8872-817B33DF9B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8/5</t>
        </r>
      </text>
    </comment>
    <comment ref="C437" authorId="0" shapeId="0" xr:uid="{6E855761-CA81-430C-BC31-CD166A8BE3E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8/5</t>
        </r>
      </text>
    </comment>
    <comment ref="C439" authorId="0" shapeId="0" xr:uid="{42F34A00-368E-4911-8752-424E30D4BC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13/5</t>
        </r>
      </text>
    </comment>
    <comment ref="C453" authorId="0" shapeId="0" xr:uid="{D7C29EC9-BA3A-4F83-9BBF-69C20F2C61E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12/6</t>
        </r>
      </text>
    </comment>
    <comment ref="C462" authorId="0" shapeId="0" xr:uid="{71A75125-41B9-4689-95B9-DB3B94A0CCB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3/7</t>
        </r>
      </text>
    </comment>
    <comment ref="C466" authorId="0" shapeId="0" xr:uid="{5155D0F1-D8AC-41BD-8902-0122BA300F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8/7</t>
        </r>
      </text>
    </comment>
    <comment ref="C480" authorId="0" shapeId="0" xr:uid="{F0DD6406-E981-428F-99C5-47B9459840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5/8</t>
        </r>
      </text>
    </comment>
    <comment ref="C487" authorId="0" shapeId="0" xr:uid="{BBF1CF81-5737-4700-B297-FA8DC273DE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11/8</t>
        </r>
      </text>
    </comment>
    <comment ref="C494" authorId="0" shapeId="0" xr:uid="{76977574-23AF-4EBC-A63D-E9EC4D416E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18/8</t>
        </r>
      </text>
    </comment>
    <comment ref="C542" authorId="0" shapeId="0" xr:uid="{2E8C17C4-B857-4FEE-8A95-432D8F7AD1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21/10</t>
        </r>
      </text>
    </comment>
    <comment ref="C582" authorId="0" shapeId="0" xr:uid="{23484F94-B8AD-4CD8-B37F-7FAD27B09E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23/12</t>
        </r>
      </text>
    </comment>
    <comment ref="C584" authorId="0" shapeId="0" xr:uid="{EBF25DCB-62C4-48B7-9000-DF1C35FAFA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25/12</t>
        </r>
      </text>
    </comment>
    <comment ref="C585" authorId="0" shapeId="0" xr:uid="{3EE8B88A-43C4-4A80-BF7C-14BB43429D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25/12</t>
        </r>
      </text>
    </comment>
    <comment ref="C586" authorId="0" shapeId="0" xr:uid="{703E3C5C-80F2-47FE-8887-46AF812BA8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25/12</t>
        </r>
      </text>
    </comment>
    <comment ref="C587" authorId="0" shapeId="0" xr:uid="{F1DB302A-69D2-4859-981D-C2426A2AC0F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26/12</t>
        </r>
      </text>
    </comment>
    <comment ref="C588" authorId="0" shapeId="0" xr:uid="{60AC95BD-C6D9-4FCA-B1D7-7DAFD7A92BE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26/12</t>
        </r>
      </text>
    </comment>
    <comment ref="C589" authorId="0" shapeId="0" xr:uid="{07FB91C7-68B7-47D3-9015-C161AA0BF2D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26/12</t>
        </r>
      </text>
    </comment>
    <comment ref="C592" authorId="0" shapeId="0" xr:uid="{C1D6BA56-DDD4-4393-A087-E3E4704818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29/12</t>
        </r>
      </text>
    </comment>
    <comment ref="C593" authorId="0" shapeId="0" xr:uid="{67D39FEA-2463-49D6-BAE9-426A05BF65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29/12</t>
        </r>
      </text>
    </comment>
    <comment ref="C594" authorId="0" shapeId="0" xr:uid="{E8C17873-0034-4742-8EC5-2A273CC9A7C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29/12</t>
        </r>
      </text>
    </comment>
    <comment ref="C596" authorId="0" shapeId="0" xr:uid="{0974419E-1A89-45AF-AB69-D252A97167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30/12</t>
        </r>
      </text>
    </comment>
    <comment ref="C597" authorId="0" shapeId="0" xr:uid="{B37288F4-6A5E-4EDC-8697-0C2990616F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30/12</t>
        </r>
      </text>
    </comment>
    <comment ref="C600" authorId="0" shapeId="0" xr:uid="{F11F003C-F715-4C83-B390-806B21A192E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2/1</t>
        </r>
      </text>
    </comment>
    <comment ref="C601" authorId="0" shapeId="0" xr:uid="{9938F348-30A6-47A3-BD72-A2E80EF6B2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6/1</t>
        </r>
      </text>
    </comment>
    <comment ref="C602" authorId="0" shapeId="0" xr:uid="{94323420-3625-414F-A886-A39C0C65D9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6/1</t>
        </r>
      </text>
    </comment>
    <comment ref="C603" authorId="0" shapeId="0" xr:uid="{F57334F5-2991-4A33-99AF-A40DAC0B69A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</t>
        </r>
      </text>
    </comment>
    <comment ref="C605" authorId="0" shapeId="0" xr:uid="{DF3697A7-7733-4E26-B527-CD67F681C0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</t>
        </r>
      </text>
    </comment>
    <comment ref="C607" authorId="0" shapeId="0" xr:uid="{92BDFA6D-FF89-4C22-A777-C5B01D875E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</t>
        </r>
      </text>
    </comment>
    <comment ref="C611" authorId="0" shapeId="0" xr:uid="{98061DA8-AED5-4862-A9AB-2EA3BF60A3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</t>
        </r>
      </text>
    </comment>
    <comment ref="C612" authorId="0" shapeId="0" xr:uid="{54C6909F-9C04-4ADE-82D3-ECA08255CBB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</t>
        </r>
      </text>
    </comment>
    <comment ref="C617" authorId="0" shapeId="0" xr:uid="{93598431-5747-42E1-A7C4-577FAC33A07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</t>
        </r>
      </text>
    </comment>
    <comment ref="C618" authorId="0" shapeId="0" xr:uid="{E64E7832-541B-42C8-B445-5599AE26A4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16/1</t>
        </r>
      </text>
    </comment>
    <comment ref="C620" authorId="0" shapeId="0" xr:uid="{2F16A51D-E24E-49C8-BC7C-B83DB612C08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16/1</t>
        </r>
      </text>
    </comment>
    <comment ref="C621" authorId="0" shapeId="0" xr:uid="{1BBC16AE-37AB-4A9A-BFE3-4A1BC7DDB7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16/1</t>
        </r>
      </text>
    </comment>
    <comment ref="C622" authorId="0" shapeId="0" xr:uid="{5F62359C-DDF8-43C0-8A0B-C0014A6497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16/1</t>
        </r>
      </text>
    </comment>
    <comment ref="C627" authorId="0" shapeId="0" xr:uid="{0DFDF34A-E983-4072-923D-19BC65D425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20/1</t>
        </r>
      </text>
    </comment>
    <comment ref="C632" authorId="0" shapeId="0" xr:uid="{49E82EA8-F730-4527-AC6B-211985064C7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C634" authorId="0" shapeId="0" xr:uid="{265445B9-1CDA-4ECF-BFA3-103E88D9E01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</t>
        </r>
      </text>
    </comment>
    <comment ref="C638" authorId="0" shapeId="0" xr:uid="{9813BF7F-1528-41E9-B760-705E18D51B7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</t>
        </r>
      </text>
    </comment>
    <comment ref="C639" authorId="0" shapeId="0" xr:uid="{50A70669-A434-481F-BAC6-0581CD0B8B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</t>
        </r>
      </text>
    </comment>
    <comment ref="C642" authorId="0" shapeId="0" xr:uid="{9AF41EFF-3840-4A38-8EF3-882C0A57DA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</t>
        </r>
      </text>
    </comment>
    <comment ref="C676" authorId="0" shapeId="0" xr:uid="{0866BA13-7403-4402-9673-EDB6F5EFA4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20/3</t>
        </r>
      </text>
    </comment>
    <comment ref="C727" authorId="0" shapeId="0" xr:uid="{F5118211-FF20-4F3D-8372-0797D0D578A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5/6</t>
        </r>
      </text>
    </comment>
    <comment ref="C760" authorId="0" shapeId="0" xr:uid="{59FB06AA-6DBA-44D0-BC7A-CD777FF7DF0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4/8</t>
        </r>
      </text>
    </comment>
  </commentList>
</comments>
</file>

<file path=xl/sharedStrings.xml><?xml version="1.0" encoding="utf-8"?>
<sst xmlns="http://schemas.openxmlformats.org/spreadsheetml/2006/main" count="2259" uniqueCount="1188">
  <si>
    <t>CÔNG NỢ E- MART</t>
  </si>
  <si>
    <t>Tên khác hàng: CÔNG TY TNHH E- MART</t>
  </si>
  <si>
    <t>Đơn vị tính: VNĐ</t>
  </si>
  <si>
    <t>Tên khách hàng</t>
  </si>
  <si>
    <t>Date HĐ</t>
  </si>
  <si>
    <t>SỐ HĐ</t>
  </si>
  <si>
    <t>Số tiền</t>
  </si>
  <si>
    <t>Ngày TT</t>
  </si>
  <si>
    <t>Ghi Chú</t>
  </si>
  <si>
    <t>Dịch vụ</t>
  </si>
  <si>
    <t>VAT 10%</t>
  </si>
  <si>
    <t>TỔNG</t>
  </si>
  <si>
    <t>Số đã trả</t>
  </si>
  <si>
    <t>HTL</t>
  </si>
  <si>
    <t>Số còn nợ</t>
  </si>
  <si>
    <t>TỔNG CỘNG</t>
  </si>
  <si>
    <t>Dư nợ Tháng 10/2021</t>
  </si>
  <si>
    <t>8268</t>
  </si>
  <si>
    <t>8505</t>
  </si>
  <si>
    <t>ds t12</t>
  </si>
  <si>
    <t>8282</t>
  </si>
  <si>
    <t>8506</t>
  </si>
  <si>
    <t>8333</t>
  </si>
  <si>
    <t>8582</t>
  </si>
  <si>
    <t>8335</t>
  </si>
  <si>
    <t>8581</t>
  </si>
  <si>
    <t>8410</t>
  </si>
  <si>
    <t>8508</t>
  </si>
  <si>
    <t>8414</t>
  </si>
  <si>
    <t>8509</t>
  </si>
  <si>
    <t>8463</t>
  </si>
  <si>
    <t>8536</t>
  </si>
  <si>
    <t>8788</t>
  </si>
  <si>
    <t>8890</t>
  </si>
  <si>
    <t>8932</t>
  </si>
  <si>
    <t>9041</t>
  </si>
  <si>
    <t>9266</t>
  </si>
  <si>
    <t>9342</t>
  </si>
  <si>
    <t>9406</t>
  </si>
  <si>
    <t>9467</t>
  </si>
  <si>
    <t>21/05/2022</t>
  </si>
  <si>
    <t>00000008</t>
  </si>
  <si>
    <t>31/05/2022</t>
  </si>
  <si>
    <t>00000110</t>
  </si>
  <si>
    <t>00000113</t>
  </si>
  <si>
    <t>03/06/2022</t>
  </si>
  <si>
    <t>00000158</t>
  </si>
  <si>
    <t>09/06/2022</t>
  </si>
  <si>
    <t>00000186</t>
  </si>
  <si>
    <t>00000187</t>
  </si>
  <si>
    <t>13/06/2022</t>
  </si>
  <si>
    <t>00000221</t>
  </si>
  <si>
    <t>05/07/2022</t>
  </si>
  <si>
    <t>00000450</t>
  </si>
  <si>
    <t>07/07/2022</t>
  </si>
  <si>
    <t>00000458</t>
  </si>
  <si>
    <t>19/07/2022</t>
  </si>
  <si>
    <t>00000601</t>
  </si>
  <si>
    <t>05/08/2022</t>
  </si>
  <si>
    <t>00000755</t>
  </si>
  <si>
    <t>15/08/2022</t>
  </si>
  <si>
    <t>00000865</t>
  </si>
  <si>
    <t>18/08/2022</t>
  </si>
  <si>
    <t>00000909</t>
  </si>
  <si>
    <t>22/08/2022</t>
  </si>
  <si>
    <t>00000969</t>
  </si>
  <si>
    <t>06/09/2022</t>
  </si>
  <si>
    <t>00001106</t>
  </si>
  <si>
    <t>08/09/2022</t>
  </si>
  <si>
    <t>00001131</t>
  </si>
  <si>
    <t>12/09/2022</t>
  </si>
  <si>
    <t>00001247</t>
  </si>
  <si>
    <t>20/09/2022</t>
  </si>
  <si>
    <t>00001313</t>
  </si>
  <si>
    <t>30/09/2022</t>
  </si>
  <si>
    <t>00001417</t>
  </si>
  <si>
    <t>13/10/2022</t>
  </si>
  <si>
    <t>00001559</t>
  </si>
  <si>
    <t>17/10/2022</t>
  </si>
  <si>
    <t>00001592</t>
  </si>
  <si>
    <t>20/10/2022</t>
  </si>
  <si>
    <t>00001620</t>
  </si>
  <si>
    <t>03/11/2022</t>
  </si>
  <si>
    <t>00001742</t>
  </si>
  <si>
    <t>04/11/2022</t>
  </si>
  <si>
    <t>00001752</t>
  </si>
  <si>
    <t>07/11/2022</t>
  </si>
  <si>
    <t>00001797</t>
  </si>
  <si>
    <t>00001801</t>
  </si>
  <si>
    <t>???</t>
  </si>
  <si>
    <t>00001803</t>
  </si>
  <si>
    <t xml:space="preserve"> </t>
  </si>
  <si>
    <t>00001806</t>
  </si>
  <si>
    <t>10/11/2022</t>
  </si>
  <si>
    <t>00001832</t>
  </si>
  <si>
    <t>00001834</t>
  </si>
  <si>
    <t>15/11/2022</t>
  </si>
  <si>
    <t>00001884</t>
  </si>
  <si>
    <t>18/11/2022</t>
  </si>
  <si>
    <t>00001920</t>
  </si>
  <si>
    <t>00001933</t>
  </si>
  <si>
    <t>29/11/2022</t>
  </si>
  <si>
    <t>00002232</t>
  </si>
  <si>
    <t>00002241</t>
  </si>
  <si>
    <t>00002245</t>
  </si>
  <si>
    <t>05/12/2022</t>
  </si>
  <si>
    <t>00002352</t>
  </si>
  <si>
    <t>06/12/2022</t>
  </si>
  <si>
    <t>00002371</t>
  </si>
  <si>
    <t>10/12/2022</t>
  </si>
  <si>
    <t>00002449</t>
  </si>
  <si>
    <t>13/12/2022</t>
  </si>
  <si>
    <t>00002519</t>
  </si>
  <si>
    <t>00002527</t>
  </si>
  <si>
    <t>14/12/2022</t>
  </si>
  <si>
    <t>00002545</t>
  </si>
  <si>
    <t>17/12/2022</t>
  </si>
  <si>
    <t>00002615</t>
  </si>
  <si>
    <t>00002616</t>
  </si>
  <si>
    <t>00002617</t>
  </si>
  <si>
    <t>20/12/2022</t>
  </si>
  <si>
    <t>00002698</t>
  </si>
  <si>
    <t>22/12/2022</t>
  </si>
  <si>
    <t>00002728</t>
  </si>
  <si>
    <t>00002729</t>
  </si>
  <si>
    <t>23/12/2022</t>
  </si>
  <si>
    <t>00002738</t>
  </si>
  <si>
    <t>30/12/2022</t>
  </si>
  <si>
    <t>00002873</t>
  </si>
  <si>
    <t>03/01/2023</t>
  </si>
  <si>
    <t>00000021</t>
  </si>
  <si>
    <t>hoàn</t>
  </si>
  <si>
    <t>00000030</t>
  </si>
  <si>
    <t>149</t>
  </si>
  <si>
    <t>04/01/2023</t>
  </si>
  <si>
    <t>00000031</t>
  </si>
  <si>
    <t>00000032</t>
  </si>
  <si>
    <t>00000033</t>
  </si>
  <si>
    <t>00000040</t>
  </si>
  <si>
    <t>05/01/2023</t>
  </si>
  <si>
    <t>00000051</t>
  </si>
  <si>
    <t>06/01/2023</t>
  </si>
  <si>
    <t>00000067</t>
  </si>
  <si>
    <t>00000069</t>
  </si>
  <si>
    <t>00000075</t>
  </si>
  <si>
    <t>00000078</t>
  </si>
  <si>
    <t>159</t>
  </si>
  <si>
    <t>02/02/2023</t>
  </si>
  <si>
    <t>00000277</t>
  </si>
  <si>
    <t>00000278</t>
  </si>
  <si>
    <t>11/02/2023</t>
  </si>
  <si>
    <t>00000386</t>
  </si>
  <si>
    <t>00000387</t>
  </si>
  <si>
    <t>21/02/2023</t>
  </si>
  <si>
    <t>00000495</t>
  </si>
  <si>
    <t>24/02/2023</t>
  </si>
  <si>
    <t>00000512</t>
  </si>
  <si>
    <t>00000514</t>
  </si>
  <si>
    <t>27/02/2023</t>
  </si>
  <si>
    <t>00000555</t>
  </si>
  <si>
    <t>03/03/2023</t>
  </si>
  <si>
    <t>00000586</t>
  </si>
  <si>
    <t>ok</t>
  </si>
  <si>
    <t>00000587</t>
  </si>
  <si>
    <t>06/03/2023</t>
  </si>
  <si>
    <t>00000622</t>
  </si>
  <si>
    <t>08/03/2023</t>
  </si>
  <si>
    <t>00000631</t>
  </si>
  <si>
    <t>09/03/2023</t>
  </si>
  <si>
    <t>00000640</t>
  </si>
  <si>
    <t>00000642</t>
  </si>
  <si>
    <t>11/03/2023</t>
  </si>
  <si>
    <t>00000668</t>
  </si>
  <si>
    <t>00000669</t>
  </si>
  <si>
    <t>21/03/2023</t>
  </si>
  <si>
    <t>00000769</t>
  </si>
  <si>
    <t>853</t>
  </si>
  <si>
    <t>1734</t>
  </si>
  <si>
    <t>TREO</t>
  </si>
  <si>
    <t>859</t>
  </si>
  <si>
    <t>982</t>
  </si>
  <si>
    <t>HOÀN</t>
  </si>
  <si>
    <t>20/04/2023</t>
  </si>
  <si>
    <t>00001053</t>
  </si>
  <si>
    <t>00001054</t>
  </si>
  <si>
    <t>24/04/2023</t>
  </si>
  <si>
    <t>00001113</t>
  </si>
  <si>
    <t>25/04/2023</t>
  </si>
  <si>
    <t>00001118</t>
  </si>
  <si>
    <t>00001119</t>
  </si>
  <si>
    <t>00001120</t>
  </si>
  <si>
    <t>27/04/2023</t>
  </si>
  <si>
    <t>00001143</t>
  </si>
  <si>
    <t>00001144</t>
  </si>
  <si>
    <t>00001146</t>
  </si>
  <si>
    <t>00001150</t>
  </si>
  <si>
    <t>Công ty TNHH Thiso Retail</t>
  </si>
  <si>
    <t>09/05/2023</t>
  </si>
  <si>
    <t>00001244</t>
  </si>
  <si>
    <t>11/05/2023</t>
  </si>
  <si>
    <t>00001259</t>
  </si>
  <si>
    <t>23/05/2023</t>
  </si>
  <si>
    <t>00001351</t>
  </si>
  <si>
    <t>Siêu thị Emart Sala Thủ Thiêm</t>
  </si>
  <si>
    <t>12/06/2023</t>
  </si>
  <si>
    <t>00001519</t>
  </si>
  <si>
    <t>15/06/2023</t>
  </si>
  <si>
    <t>00001577</t>
  </si>
  <si>
    <t>19/06/2023</t>
  </si>
  <si>
    <t>00001637</t>
  </si>
  <si>
    <t>24/06/2023</t>
  </si>
  <si>
    <t>00001684</t>
  </si>
  <si>
    <t>11/07/2023</t>
  </si>
  <si>
    <t>00001858</t>
  </si>
  <si>
    <t>17/07/2023</t>
  </si>
  <si>
    <t>00001949</t>
  </si>
  <si>
    <t>20/07/2023</t>
  </si>
  <si>
    <t>00001982</t>
  </si>
  <si>
    <t>CÔNG TY TNHH THISO RETAIL</t>
  </si>
  <si>
    <t>21/07/2023</t>
  </si>
  <si>
    <t>00001986</t>
  </si>
  <si>
    <t>25/07/2023</t>
  </si>
  <si>
    <t>00002030</t>
  </si>
  <si>
    <t>26/07/2023</t>
  </si>
  <si>
    <t>00002037</t>
  </si>
  <si>
    <t>01/08/2023</t>
  </si>
  <si>
    <t>00002105</t>
  </si>
  <si>
    <t>03/08/2023</t>
  </si>
  <si>
    <t>00002129</t>
  </si>
  <si>
    <t>08/08/2023</t>
  </si>
  <si>
    <t>00002173</t>
  </si>
  <si>
    <t>10/08/2023</t>
  </si>
  <si>
    <t>00002196</t>
  </si>
  <si>
    <t>14/08/2023</t>
  </si>
  <si>
    <t>00002242</t>
  </si>
  <si>
    <t>00002243</t>
  </si>
  <si>
    <t>26/08/2023</t>
  </si>
  <si>
    <t>00002388</t>
  </si>
  <si>
    <t>31/08/2023</t>
  </si>
  <si>
    <t>00002428</t>
  </si>
  <si>
    <t>00002429</t>
  </si>
  <si>
    <t>05/09/2023</t>
  </si>
  <si>
    <t>00002450</t>
  </si>
  <si>
    <t>12/09/2023</t>
  </si>
  <si>
    <t>00002534</t>
  </si>
  <si>
    <t>18/09/2023</t>
  </si>
  <si>
    <t>00002592</t>
  </si>
  <si>
    <t>00002593</t>
  </si>
  <si>
    <t>00002594</t>
  </si>
  <si>
    <t>00002595</t>
  </si>
  <si>
    <t>00002662</t>
  </si>
  <si>
    <t>28/09/2023</t>
  </si>
  <si>
    <t>00002679</t>
  </si>
  <si>
    <t>SIÊU THỊ EMART PHAN HUY ÍCH</t>
  </si>
  <si>
    <t>06/10/2023</t>
  </si>
  <si>
    <t>00002751</t>
  </si>
  <si>
    <t>HÀNG HOÀN</t>
  </si>
  <si>
    <t>16/10/2023</t>
  </si>
  <si>
    <t>00002853</t>
  </si>
  <si>
    <t>00002861</t>
  </si>
  <si>
    <t>26/10/2023</t>
  </si>
  <si>
    <t>00002941</t>
  </si>
  <si>
    <t>00002967</t>
  </si>
  <si>
    <t>3561</t>
  </si>
  <si>
    <t>GHI NHẬN DS?</t>
  </si>
  <si>
    <t>02/11/2023</t>
  </si>
  <si>
    <t>00002994</t>
  </si>
  <si>
    <t>06/11/2023</t>
  </si>
  <si>
    <t>00003039</t>
  </si>
  <si>
    <t>10/11/2023</t>
  </si>
  <si>
    <t>00003072</t>
  </si>
  <si>
    <t>21/11/2023</t>
  </si>
  <si>
    <t>00003170</t>
  </si>
  <si>
    <t>23/11/2023</t>
  </si>
  <si>
    <t>00003192</t>
  </si>
  <si>
    <t>00003193</t>
  </si>
  <si>
    <t>24/11/2023</t>
  </si>
  <si>
    <t>00003210</t>
  </si>
  <si>
    <t>05/12/2023</t>
  </si>
  <si>
    <t>00003515</t>
  </si>
  <si>
    <t>00003519</t>
  </si>
  <si>
    <t>3878</t>
  </si>
  <si>
    <t>08/12/2023</t>
  </si>
  <si>
    <t>00003562</t>
  </si>
  <si>
    <t>00003563</t>
  </si>
  <si>
    <t>00003575</t>
  </si>
  <si>
    <t>11/12/2023</t>
  </si>
  <si>
    <t>00003648</t>
  </si>
  <si>
    <t>12/12/2023</t>
  </si>
  <si>
    <t>00003673</t>
  </si>
  <si>
    <t>00003674</t>
  </si>
  <si>
    <t>15/12/2023</t>
  </si>
  <si>
    <t>00003721</t>
  </si>
  <si>
    <t>23/12/2023</t>
  </si>
  <si>
    <t>00003894</t>
  </si>
  <si>
    <t>00003895</t>
  </si>
  <si>
    <t>00003896</t>
  </si>
  <si>
    <t>28/12/2023</t>
  </si>
  <si>
    <t>00003979</t>
  </si>
  <si>
    <t>29/12/2023</t>
  </si>
  <si>
    <t>00003984</t>
  </si>
  <si>
    <t>00003988</t>
  </si>
  <si>
    <t>00003989</t>
  </si>
  <si>
    <t>00003990</t>
  </si>
  <si>
    <t>00003991</t>
  </si>
  <si>
    <t>00003993</t>
  </si>
  <si>
    <t>00003999</t>
  </si>
  <si>
    <t>30/12/2023</t>
  </si>
  <si>
    <t>00004015</t>
  </si>
  <si>
    <t>05/01/2024</t>
  </si>
  <si>
    <t>00000081</t>
  </si>
  <si>
    <t>00000091</t>
  </si>
  <si>
    <t>00000092</t>
  </si>
  <si>
    <t>00000093</t>
  </si>
  <si>
    <t>09/01/2024</t>
  </si>
  <si>
    <t>00000164</t>
  </si>
  <si>
    <t>00000165</t>
  </si>
  <si>
    <t>00000172</t>
  </si>
  <si>
    <t>00000173</t>
  </si>
  <si>
    <t>641</t>
  </si>
  <si>
    <t>00000174</t>
  </si>
  <si>
    <t>00000175</t>
  </si>
  <si>
    <t>00000176</t>
  </si>
  <si>
    <t>11/01/2024</t>
  </si>
  <si>
    <t>00000197</t>
  </si>
  <si>
    <t/>
  </si>
  <si>
    <t>00000198</t>
  </si>
  <si>
    <t>640</t>
  </si>
  <si>
    <t>00000201</t>
  </si>
  <si>
    <t>13/01/2024</t>
  </si>
  <si>
    <t>00000245</t>
  </si>
  <si>
    <t>16/01/2024</t>
  </si>
  <si>
    <t>00000308</t>
  </si>
  <si>
    <t>00000309</t>
  </si>
  <si>
    <t>00000310</t>
  </si>
  <si>
    <t>00000311</t>
  </si>
  <si>
    <t>774</t>
  </si>
  <si>
    <t>20/01/2024</t>
  </si>
  <si>
    <t>00000388</t>
  </si>
  <si>
    <t>00000486</t>
  </si>
  <si>
    <t>789</t>
  </si>
  <si>
    <t>23/01/2024</t>
  </si>
  <si>
    <t>00000487</t>
  </si>
  <si>
    <t>00000488</t>
  </si>
  <si>
    <t>25/01/2024</t>
  </si>
  <si>
    <t>00000522</t>
  </si>
  <si>
    <t>17/02/2024</t>
  </si>
  <si>
    <t>00000708</t>
  </si>
  <si>
    <t>20/02/2024</t>
  </si>
  <si>
    <t>00000740</t>
  </si>
  <si>
    <t>00000741</t>
  </si>
  <si>
    <t>00000747</t>
  </si>
  <si>
    <t>28/02/2024</t>
  </si>
  <si>
    <t>00000857</t>
  </si>
  <si>
    <t>05/03/2024</t>
  </si>
  <si>
    <t>00000941</t>
  </si>
  <si>
    <t>07/03/2024</t>
  </si>
  <si>
    <t>00000977</t>
  </si>
  <si>
    <t>00000978</t>
  </si>
  <si>
    <t>14/03/2024</t>
  </si>
  <si>
    <t>00001043</t>
  </si>
  <si>
    <t>00001044</t>
  </si>
  <si>
    <t>18/03/2024</t>
  </si>
  <si>
    <t>00001134</t>
  </si>
  <si>
    <t>22/03/2024</t>
  </si>
  <si>
    <t>00001178</t>
  </si>
  <si>
    <t>25/03/2024</t>
  </si>
  <si>
    <t>00001212</t>
  </si>
  <si>
    <t>TRÙNG 1328</t>
  </si>
  <si>
    <t>01/04/2024</t>
  </si>
  <si>
    <t>00001328</t>
  </si>
  <si>
    <t>00001331</t>
  </si>
  <si>
    <t>1457</t>
  </si>
  <si>
    <t>00001332</t>
  </si>
  <si>
    <t>1462</t>
  </si>
  <si>
    <t>09/04/2024</t>
  </si>
  <si>
    <t>00001443</t>
  </si>
  <si>
    <t>16/04/2024</t>
  </si>
  <si>
    <t>19/04/2024</t>
  </si>
  <si>
    <t>00001589</t>
  </si>
  <si>
    <t>00001591</t>
  </si>
  <si>
    <t>22/04/2024</t>
  </si>
  <si>
    <t>00001635</t>
  </si>
  <si>
    <t>00001638</t>
  </si>
  <si>
    <t>00001639</t>
  </si>
  <si>
    <t>25/04/2024</t>
  </si>
  <si>
    <t>00001680</t>
  </si>
  <si>
    <t>00001681</t>
  </si>
  <si>
    <t>07/05/2024</t>
  </si>
  <si>
    <t>00001800</t>
  </si>
  <si>
    <t>00001825</t>
  </si>
  <si>
    <t>1947</t>
  </si>
  <si>
    <t>16/05/2024</t>
  </si>
  <si>
    <t>00001888</t>
  </si>
  <si>
    <t>20/05/2024</t>
  </si>
  <si>
    <t>23/05/2024</t>
  </si>
  <si>
    <t>00001960</t>
  </si>
  <si>
    <t>31/05/2024</t>
  </si>
  <si>
    <t>00002039</t>
  </si>
  <si>
    <t>03/06/2024</t>
  </si>
  <si>
    <t>00002081</t>
  </si>
  <si>
    <t>06/06/2024</t>
  </si>
  <si>
    <t>00002088</t>
  </si>
  <si>
    <t>11/06/2024</t>
  </si>
  <si>
    <t>00002139</t>
  </si>
  <si>
    <t>HỦY</t>
  </si>
  <si>
    <t>00002140</t>
  </si>
  <si>
    <t>2247</t>
  </si>
  <si>
    <t>17/06/2024</t>
  </si>
  <si>
    <t>00002209</t>
  </si>
  <si>
    <t>00002210</t>
  </si>
  <si>
    <t>21/06/2024</t>
  </si>
  <si>
    <t>00002251</t>
  </si>
  <si>
    <t>00002254</t>
  </si>
  <si>
    <t>00002263</t>
  </si>
  <si>
    <t>24/06/2024</t>
  </si>
  <si>
    <t>00002304</t>
  </si>
  <si>
    <t>27/06/2024</t>
  </si>
  <si>
    <t>00002347</t>
  </si>
  <si>
    <t>01/07/2024</t>
  </si>
  <si>
    <t>00002412</t>
  </si>
  <si>
    <t>00002413</t>
  </si>
  <si>
    <t>05/07/2024</t>
  </si>
  <si>
    <t>00002462</t>
  </si>
  <si>
    <t>08/07/2024</t>
  </si>
  <si>
    <t>00002495</t>
  </si>
  <si>
    <t>09/07/2024</t>
  </si>
  <si>
    <t>00002508</t>
  </si>
  <si>
    <t>12/07/2024</t>
  </si>
  <si>
    <t>00002543</t>
  </si>
  <si>
    <t>16/07/2024</t>
  </si>
  <si>
    <t>00002608</t>
  </si>
  <si>
    <t>00002609</t>
  </si>
  <si>
    <t>23/07/2024</t>
  </si>
  <si>
    <t>00002692</t>
  </si>
  <si>
    <t>00002693</t>
  </si>
  <si>
    <t>00002694</t>
  </si>
  <si>
    <t>25/07/2024</t>
  </si>
  <si>
    <t>00002725</t>
  </si>
  <si>
    <t>30/07/2024</t>
  </si>
  <si>
    <t>00002824</t>
  </si>
  <si>
    <t>00002825</t>
  </si>
  <si>
    <t>01/08/2024</t>
  </si>
  <si>
    <t>00002840</t>
  </si>
  <si>
    <t>00002841</t>
  </si>
  <si>
    <t>00002842</t>
  </si>
  <si>
    <t>05/08/2024</t>
  </si>
  <si>
    <t>00002884</t>
  </si>
  <si>
    <t>09/08/2024</t>
  </si>
  <si>
    <t>00002945</t>
  </si>
  <si>
    <t>00002946</t>
  </si>
  <si>
    <t>13/08/2024</t>
  </si>
  <si>
    <t>00003008</t>
  </si>
  <si>
    <t>15/08/2024</t>
  </si>
  <si>
    <t>00003035</t>
  </si>
  <si>
    <t>16/08/2024</t>
  </si>
  <si>
    <t>00003048</t>
  </si>
  <si>
    <t>00003049</t>
  </si>
  <si>
    <t>23/08/2024</t>
  </si>
  <si>
    <t>00003139</t>
  </si>
  <si>
    <t>00003140</t>
  </si>
  <si>
    <t>27/08/2024</t>
  </si>
  <si>
    <t>00003235</t>
  </si>
  <si>
    <t>00003236</t>
  </si>
  <si>
    <t>29/08/2024</t>
  </si>
  <si>
    <t>00003268</t>
  </si>
  <si>
    <t>00003269</t>
  </si>
  <si>
    <t>09/09/2024</t>
  </si>
  <si>
    <t>00003344</t>
  </si>
  <si>
    <t>00003345</t>
  </si>
  <si>
    <t>00003347</t>
  </si>
  <si>
    <t>13/09/2024</t>
  </si>
  <si>
    <t>00003404</t>
  </si>
  <si>
    <t>16/09/2024</t>
  </si>
  <si>
    <t>00003450</t>
  </si>
  <si>
    <t>00003451</t>
  </si>
  <si>
    <t>00003455</t>
  </si>
  <si>
    <t>20/09/2024</t>
  </si>
  <si>
    <t>00003489</t>
  </si>
  <si>
    <t>00003490</t>
  </si>
  <si>
    <t>23/09/2024</t>
  </si>
  <si>
    <t>00003561</t>
  </si>
  <si>
    <t>HTL- Emart Gò Vấp</t>
  </si>
  <si>
    <t>3666</t>
  </si>
  <si>
    <t>00003665</t>
  </si>
  <si>
    <t>00003683</t>
  </si>
  <si>
    <t>00003684</t>
  </si>
  <si>
    <t>00003695</t>
  </si>
  <si>
    <t>00003764</t>
  </si>
  <si>
    <t>00003765</t>
  </si>
  <si>
    <t>00003855</t>
  </si>
  <si>
    <t>00003856</t>
  </si>
  <si>
    <t>00003882</t>
  </si>
  <si>
    <t>00003936</t>
  </si>
  <si>
    <t>00003937</t>
  </si>
  <si>
    <t>01/10/2024</t>
  </si>
  <si>
    <t>03/10/2024</t>
  </si>
  <si>
    <t>04/10/2024</t>
  </si>
  <si>
    <t>07/10/2024</t>
  </si>
  <si>
    <t>15/10/2024</t>
  </si>
  <si>
    <t>18/10/2024</t>
  </si>
  <si>
    <t>21/10/2024</t>
  </si>
  <si>
    <t>ghi nhận DS</t>
  </si>
  <si>
    <t>00003980</t>
  </si>
  <si>
    <t>00003981</t>
  </si>
  <si>
    <t>00004026</t>
  </si>
  <si>
    <t>00004066</t>
  </si>
  <si>
    <t>00004083</t>
  </si>
  <si>
    <t>00004084</t>
  </si>
  <si>
    <t>00004159</t>
  </si>
  <si>
    <t>00004160</t>
  </si>
  <si>
    <t>25/10/2024</t>
  </si>
  <si>
    <t>29/10/2024</t>
  </si>
  <si>
    <t>31/10/2024</t>
  </si>
  <si>
    <t>02/11/2024</t>
  </si>
  <si>
    <t>08/11/2024</t>
  </si>
  <si>
    <t>00004260</t>
  </si>
  <si>
    <t>00004261</t>
  </si>
  <si>
    <t>00004386</t>
  </si>
  <si>
    <t>00004387</t>
  </si>
  <si>
    <t>00004389</t>
  </si>
  <si>
    <t>00004579</t>
  </si>
  <si>
    <t>00004580</t>
  </si>
  <si>
    <t>00004662</t>
  </si>
  <si>
    <t>00004744</t>
  </si>
  <si>
    <t>00004745</t>
  </si>
  <si>
    <t>00004746</t>
  </si>
  <si>
    <t>12/11/2024</t>
  </si>
  <si>
    <t>15/11/2024</t>
  </si>
  <si>
    <t>22/11/2024</t>
  </si>
  <si>
    <t>29/11/2024</t>
  </si>
  <si>
    <t>00004859</t>
  </si>
  <si>
    <t>00004860</t>
  </si>
  <si>
    <t>00004861</t>
  </si>
  <si>
    <t>00004862</t>
  </si>
  <si>
    <t>00004879</t>
  </si>
  <si>
    <t>00004880</t>
  </si>
  <si>
    <t>00004919</t>
  </si>
  <si>
    <t>00004924</t>
  </si>
  <si>
    <t>00004928</t>
  </si>
  <si>
    <t>00004943</t>
  </si>
  <si>
    <t>00005063</t>
  </si>
  <si>
    <t>00005100</t>
  </si>
  <si>
    <t>00005101</t>
  </si>
  <si>
    <t>00005159</t>
  </si>
  <si>
    <t>00005163</t>
  </si>
  <si>
    <t>00005233</t>
  </si>
  <si>
    <t>00005251</t>
  </si>
  <si>
    <t>00005252</t>
  </si>
  <si>
    <t>00005253</t>
  </si>
  <si>
    <t>00005266</t>
  </si>
  <si>
    <t>00005305</t>
  </si>
  <si>
    <t>00005306</t>
  </si>
  <si>
    <t>00005307</t>
  </si>
  <si>
    <t>00005308</t>
  </si>
  <si>
    <t>03/12/2024</t>
  </si>
  <si>
    <t>04/12/2024</t>
  </si>
  <si>
    <t>06/12/2024</t>
  </si>
  <si>
    <t>13/12/2024</t>
  </si>
  <si>
    <t>14/12/2024</t>
  </si>
  <si>
    <t>18/12/2024</t>
  </si>
  <si>
    <t>19/12/2024</t>
  </si>
  <si>
    <t>20/12/2024</t>
  </si>
  <si>
    <t>5070</t>
  </si>
  <si>
    <t>5071</t>
  </si>
  <si>
    <t>5284</t>
  </si>
  <si>
    <t>5377</t>
  </si>
  <si>
    <t>5378</t>
  </si>
  <si>
    <t>00005380</t>
  </si>
  <si>
    <t>00005381</t>
  </si>
  <si>
    <t>00005386</t>
  </si>
  <si>
    <t>00005387</t>
  </si>
  <si>
    <t>00005401</t>
  </si>
  <si>
    <t>00005402</t>
  </si>
  <si>
    <t>00005473</t>
  </si>
  <si>
    <t>00005503</t>
  </si>
  <si>
    <t>00005504</t>
  </si>
  <si>
    <t>00005539</t>
  </si>
  <si>
    <t>00005587</t>
  </si>
  <si>
    <t>00005588</t>
  </si>
  <si>
    <t>00005589</t>
  </si>
  <si>
    <t>00005600</t>
  </si>
  <si>
    <t>24/12/2024</t>
  </si>
  <si>
    <t>26/12/2024</t>
  </si>
  <si>
    <t>28/12/2024</t>
  </si>
  <si>
    <t>31/12/2024</t>
  </si>
  <si>
    <t>00000017</t>
  </si>
  <si>
    <t>00000018</t>
  </si>
  <si>
    <t>00000019</t>
  </si>
  <si>
    <t>00000034</t>
  </si>
  <si>
    <t>00000035</t>
  </si>
  <si>
    <t>00000036</t>
  </si>
  <si>
    <t>00000038</t>
  </si>
  <si>
    <t>00000041</t>
  </si>
  <si>
    <t>00000167</t>
  </si>
  <si>
    <t>02/01/2025</t>
  </si>
  <si>
    <t>03/01/2025</t>
  </si>
  <si>
    <t>08/01/2025</t>
  </si>
  <si>
    <t>336</t>
  </si>
  <si>
    <t>337</t>
  </si>
  <si>
    <t>121</t>
  </si>
  <si>
    <t>114</t>
  </si>
  <si>
    <t>115</t>
  </si>
  <si>
    <t>109</t>
  </si>
  <si>
    <t>119</t>
  </si>
  <si>
    <t>120</t>
  </si>
  <si>
    <t>409</t>
  </si>
  <si>
    <t>354</t>
  </si>
  <si>
    <t>00000406</t>
  </si>
  <si>
    <t>00000407</t>
  </si>
  <si>
    <t>00000408</t>
  </si>
  <si>
    <t>00000525</t>
  </si>
  <si>
    <t>00000526</t>
  </si>
  <si>
    <t>00000527</t>
  </si>
  <si>
    <t>00000554</t>
  </si>
  <si>
    <t>00000566</t>
  </si>
  <si>
    <t>00000571</t>
  </si>
  <si>
    <t>00000655</t>
  </si>
  <si>
    <t>16/01/2025</t>
  </si>
  <si>
    <t>04/02/2025</t>
  </si>
  <si>
    <t>07/02/2025</t>
  </si>
  <si>
    <t>08/02/2025</t>
  </si>
  <si>
    <t>11/02/2025</t>
  </si>
  <si>
    <t>672</t>
  </si>
  <si>
    <t>705</t>
  </si>
  <si>
    <t>00000710</t>
  </si>
  <si>
    <t>00000711</t>
  </si>
  <si>
    <t>00000746</t>
  </si>
  <si>
    <t>14/02/2025</t>
  </si>
  <si>
    <t>15/02/2025</t>
  </si>
  <si>
    <t>750</t>
  </si>
  <si>
    <t>780</t>
  </si>
  <si>
    <t>805</t>
  </si>
  <si>
    <t>816</t>
  </si>
  <si>
    <t>911</t>
  </si>
  <si>
    <t>912</t>
  </si>
  <si>
    <t>5081</t>
  </si>
  <si>
    <t>00001002</t>
  </si>
  <si>
    <t>00001003</t>
  </si>
  <si>
    <t>00001004</t>
  </si>
  <si>
    <t>00001067</t>
  </si>
  <si>
    <t>00001095</t>
  </si>
  <si>
    <t>00001179</t>
  </si>
  <si>
    <t>00001225</t>
  </si>
  <si>
    <t>00001355</t>
  </si>
  <si>
    <t>00001356</t>
  </si>
  <si>
    <t>00001423</t>
  </si>
  <si>
    <t>00001578</t>
  </si>
  <si>
    <t>00001579</t>
  </si>
  <si>
    <t>07/03/2025</t>
  </si>
  <si>
    <t>11/03/2025</t>
  </si>
  <si>
    <t>13/03/2025</t>
  </si>
  <si>
    <t>17/03/2025</t>
  </si>
  <si>
    <t>20/03/2025</t>
  </si>
  <si>
    <t>27/03/2025</t>
  </si>
  <si>
    <t>01/04/2025</t>
  </si>
  <si>
    <t>03/04/2025</t>
  </si>
  <si>
    <t>00001434</t>
  </si>
  <si>
    <t>00001435</t>
  </si>
  <si>
    <t>00001436</t>
  </si>
  <si>
    <t>00001647</t>
  </si>
  <si>
    <t>00001648</t>
  </si>
  <si>
    <t>00001694</t>
  </si>
  <si>
    <t>00001699</t>
  </si>
  <si>
    <t>08/04/2025</t>
  </si>
  <si>
    <t>11/04/2025</t>
  </si>
  <si>
    <t>00001755</t>
  </si>
  <si>
    <t>00001756</t>
  </si>
  <si>
    <t>00001785</t>
  </si>
  <si>
    <t>00001786</t>
  </si>
  <si>
    <t>00001787</t>
  </si>
  <si>
    <t>00001887</t>
  </si>
  <si>
    <t>00001889</t>
  </si>
  <si>
    <t>00001905</t>
  </si>
  <si>
    <t>00001906</t>
  </si>
  <si>
    <t>00001909</t>
  </si>
  <si>
    <t>00001910</t>
  </si>
  <si>
    <t>15/04/2025</t>
  </si>
  <si>
    <t>18/04/2025</t>
  </si>
  <si>
    <t>22/04/2025</t>
  </si>
  <si>
    <t>23/04/2025</t>
  </si>
  <si>
    <t>00001943</t>
  </si>
  <si>
    <t>00001944</t>
  </si>
  <si>
    <t>00001945</t>
  </si>
  <si>
    <t>00002004</t>
  </si>
  <si>
    <t>00002005</t>
  </si>
  <si>
    <t>00002006</t>
  </si>
  <si>
    <t>00002024</t>
  </si>
  <si>
    <t>00002025</t>
  </si>
  <si>
    <t>00002026</t>
  </si>
  <si>
    <t>00002055</t>
  </si>
  <si>
    <t>00002057</t>
  </si>
  <si>
    <t>00002060</t>
  </si>
  <si>
    <t>00002061</t>
  </si>
  <si>
    <t>25/04/2025</t>
  </si>
  <si>
    <t>29/04/2025</t>
  </si>
  <si>
    <t>03/05/2025</t>
  </si>
  <si>
    <t>00002142</t>
  </si>
  <si>
    <t>00002143</t>
  </si>
  <si>
    <t>00002144</t>
  </si>
  <si>
    <t>00002176</t>
  </si>
  <si>
    <t>00002177</t>
  </si>
  <si>
    <t>00002178</t>
  </si>
  <si>
    <t>00002244</t>
  </si>
  <si>
    <t>00002299</t>
  </si>
  <si>
    <t>00002306</t>
  </si>
  <si>
    <t>00002546</t>
  </si>
  <si>
    <t>00002547</t>
  </si>
  <si>
    <t>00002600</t>
  </si>
  <si>
    <t>00002697</t>
  </si>
  <si>
    <t>00002747</t>
  </si>
  <si>
    <t>00002761</t>
  </si>
  <si>
    <t>00002762</t>
  </si>
  <si>
    <t>00002837</t>
  </si>
  <si>
    <t>00002882</t>
  </si>
  <si>
    <t>00002883</t>
  </si>
  <si>
    <t>00002997</t>
  </si>
  <si>
    <t>00002998</t>
  </si>
  <si>
    <t>00003042</t>
  </si>
  <si>
    <t>00003043</t>
  </si>
  <si>
    <t>00003044</t>
  </si>
  <si>
    <t>00003138</t>
  </si>
  <si>
    <t>00003286</t>
  </si>
  <si>
    <t>00003293</t>
  </si>
  <si>
    <t>00003332</t>
  </si>
  <si>
    <t>00003341</t>
  </si>
  <si>
    <t>00003406</t>
  </si>
  <si>
    <t>00003407</t>
  </si>
  <si>
    <t>00003426</t>
  </si>
  <si>
    <t>00003478</t>
  </si>
  <si>
    <t>00003479</t>
  </si>
  <si>
    <t>00003482</t>
  </si>
  <si>
    <t>00003577</t>
  </si>
  <si>
    <t>00003616</t>
  </si>
  <si>
    <t>00003617</t>
  </si>
  <si>
    <t>00003619</t>
  </si>
  <si>
    <t>00003734</t>
  </si>
  <si>
    <t>00003740</t>
  </si>
  <si>
    <t>00003816</t>
  </si>
  <si>
    <t>00003820</t>
  </si>
  <si>
    <t>00003933</t>
  </si>
  <si>
    <t>00003934</t>
  </si>
  <si>
    <t>00003995</t>
  </si>
  <si>
    <t>00004000</t>
  </si>
  <si>
    <t>00004024</t>
  </si>
  <si>
    <t>00004025</t>
  </si>
  <si>
    <t>00004034</t>
  </si>
  <si>
    <t>00004035</t>
  </si>
  <si>
    <t>00004036</t>
  </si>
  <si>
    <t>00004114</t>
  </si>
  <si>
    <t>00004121</t>
  </si>
  <si>
    <t>00004122</t>
  </si>
  <si>
    <t>00004163</t>
  </si>
  <si>
    <t>00004164</t>
  </si>
  <si>
    <t>00004259</t>
  </si>
  <si>
    <t>00004268</t>
  </si>
  <si>
    <t>00004328</t>
  </si>
  <si>
    <t>00004330</t>
  </si>
  <si>
    <t>00004333</t>
  </si>
  <si>
    <t>00004403</t>
  </si>
  <si>
    <t>00004404</t>
  </si>
  <si>
    <t>00004406</t>
  </si>
  <si>
    <t>00004409</t>
  </si>
  <si>
    <t>00004413</t>
  </si>
  <si>
    <t>00004483</t>
  </si>
  <si>
    <t>00004484</t>
  </si>
  <si>
    <t>00004485</t>
  </si>
  <si>
    <t>00004486</t>
  </si>
  <si>
    <t>00004625</t>
  </si>
  <si>
    <t>00004626</t>
  </si>
  <si>
    <t>00004627</t>
  </si>
  <si>
    <t>00004637</t>
  </si>
  <si>
    <t>00004655</t>
  </si>
  <si>
    <t>00004656</t>
  </si>
  <si>
    <t>00004743</t>
  </si>
  <si>
    <t>00004748</t>
  </si>
  <si>
    <t>00004808</t>
  </si>
  <si>
    <t>00004809</t>
  </si>
  <si>
    <t>00004810</t>
  </si>
  <si>
    <t>00004897</t>
  </si>
  <si>
    <t>00005039</t>
  </si>
  <si>
    <t>00005056</t>
  </si>
  <si>
    <t>00005095</t>
  </si>
  <si>
    <t>00005097</t>
  </si>
  <si>
    <t>00005102</t>
  </si>
  <si>
    <t>00005140</t>
  </si>
  <si>
    <t>00005206</t>
  </si>
  <si>
    <t>00005217</t>
  </si>
  <si>
    <t>00005218</t>
  </si>
  <si>
    <t>00005309</t>
  </si>
  <si>
    <t>00005310</t>
  </si>
  <si>
    <t>00005339</t>
  </si>
  <si>
    <t>00005353</t>
  </si>
  <si>
    <t>00005354</t>
  </si>
  <si>
    <t>00005437</t>
  </si>
  <si>
    <t>00005438</t>
  </si>
  <si>
    <t>00005440</t>
  </si>
  <si>
    <t>00005508</t>
  </si>
  <si>
    <t>00005614</t>
  </si>
  <si>
    <t>00005667</t>
  </si>
  <si>
    <t>00005668</t>
  </si>
  <si>
    <t>00005669</t>
  </si>
  <si>
    <t>00005740</t>
  </si>
  <si>
    <t>00005741</t>
  </si>
  <si>
    <t>00005742</t>
  </si>
  <si>
    <t>00005819</t>
  </si>
  <si>
    <t>00005829</t>
  </si>
  <si>
    <t>06/05/2025</t>
  </si>
  <si>
    <t>08/05/2025</t>
  </si>
  <si>
    <t>13/05/2025</t>
  </si>
  <si>
    <t>16/05/2025</t>
  </si>
  <si>
    <t>27/05/2025</t>
  </si>
  <si>
    <t>29/05/2025</t>
  </si>
  <si>
    <t>02/06/2025</t>
  </si>
  <si>
    <t>06/06/2025</t>
  </si>
  <si>
    <t>10/06/2025</t>
  </si>
  <si>
    <t>12/06/2025</t>
  </si>
  <si>
    <t>17/06/2025</t>
  </si>
  <si>
    <t>19/06/2025</t>
  </si>
  <si>
    <t>24/06/2025</t>
  </si>
  <si>
    <t>01/07/2025</t>
  </si>
  <si>
    <t>04/07/2025</t>
  </si>
  <si>
    <t>07/07/2025</t>
  </si>
  <si>
    <t>11/07/2025</t>
  </si>
  <si>
    <t>15/07/2025</t>
  </si>
  <si>
    <t>18/07/2025</t>
  </si>
  <si>
    <t>24/07/2025</t>
  </si>
  <si>
    <t>25/07/2025</t>
  </si>
  <si>
    <t>28/07/2025</t>
  </si>
  <si>
    <t>01/08/2025</t>
  </si>
  <si>
    <t>05/08/2025</t>
  </si>
  <si>
    <t>07/08/2025</t>
  </si>
  <si>
    <t>11/08/2025</t>
  </si>
  <si>
    <t>14/08/2025</t>
  </si>
  <si>
    <t>18/08/2025</t>
  </si>
  <si>
    <t>19/08/2025</t>
  </si>
  <si>
    <t>22/08/2025</t>
  </si>
  <si>
    <t>25/08/2025</t>
  </si>
  <si>
    <t>29/08/2025</t>
  </si>
  <si>
    <t>04/09/2025</t>
  </si>
  <si>
    <t>05/09/2025</t>
  </si>
  <si>
    <t>09/09/2025</t>
  </si>
  <si>
    <t>11/09/2025</t>
  </si>
  <si>
    <t>16/09/2025</t>
  </si>
  <si>
    <t>23/09/2025</t>
  </si>
  <si>
    <t>25/09/2025</t>
  </si>
  <si>
    <t>29/09/2025</t>
  </si>
  <si>
    <t>02/10/2025</t>
  </si>
  <si>
    <t>03/10/2025</t>
  </si>
  <si>
    <t>07/10/2025</t>
  </si>
  <si>
    <t>08/10/2025</t>
  </si>
  <si>
    <t>09/10/2025</t>
  </si>
  <si>
    <t>14/10/2025</t>
  </si>
  <si>
    <t>16/10/2025</t>
  </si>
  <si>
    <t>20/10/2025</t>
  </si>
  <si>
    <t>23/10/2025</t>
  </si>
  <si>
    <t>28/10/2025</t>
  </si>
  <si>
    <t>30/10/2025</t>
  </si>
  <si>
    <t>31/10/2025</t>
  </si>
  <si>
    <t>00005914</t>
  </si>
  <si>
    <t>00005915</t>
  </si>
  <si>
    <t>00005994</t>
  </si>
  <si>
    <t>00006051</t>
  </si>
  <si>
    <t>00006052</t>
  </si>
  <si>
    <t>04/11/2025</t>
  </si>
  <si>
    <t>07/11/2025</t>
  </si>
  <si>
    <t>10/11/2025</t>
  </si>
  <si>
    <t>2291</t>
  </si>
  <si>
    <t>2432</t>
  </si>
  <si>
    <t>2588</t>
  </si>
  <si>
    <t>3182</t>
  </si>
  <si>
    <t>3730</t>
  </si>
  <si>
    <t>3841</t>
  </si>
  <si>
    <t>4334</t>
  </si>
  <si>
    <t>4335</t>
  </si>
  <si>
    <t>4938</t>
  </si>
  <si>
    <t>6043</t>
  </si>
  <si>
    <t>00006139</t>
  </si>
  <si>
    <t>00006140</t>
  </si>
  <si>
    <t>00006161</t>
  </si>
  <si>
    <t>00006162</t>
  </si>
  <si>
    <t>00006163</t>
  </si>
  <si>
    <t>00006245</t>
  </si>
  <si>
    <t>00006250</t>
  </si>
  <si>
    <t>00006252</t>
  </si>
  <si>
    <t>00006301</t>
  </si>
  <si>
    <t>00006304</t>
  </si>
  <si>
    <t>00006305</t>
  </si>
  <si>
    <t>00006399</t>
  </si>
  <si>
    <t>00006402</t>
  </si>
  <si>
    <t>00006455</t>
  </si>
  <si>
    <t>00006456</t>
  </si>
  <si>
    <t>00006457</t>
  </si>
  <si>
    <t>13/11/2025</t>
  </si>
  <si>
    <t>14/11/2025</t>
  </si>
  <si>
    <t>17/11/2025</t>
  </si>
  <si>
    <t>20/11/2025</t>
  </si>
  <si>
    <t>24/11/2025</t>
  </si>
  <si>
    <t>27/11/2025</t>
  </si>
  <si>
    <t>00006700</t>
  </si>
  <si>
    <t>00006701</t>
  </si>
  <si>
    <t>00006869</t>
  </si>
  <si>
    <t>00006870</t>
  </si>
  <si>
    <t>00006871</t>
  </si>
  <si>
    <t>00007030</t>
  </si>
  <si>
    <t>05/12/2025</t>
  </si>
  <si>
    <t>09/12/2025</t>
  </si>
  <si>
    <t>11/12/2025</t>
  </si>
  <si>
    <t>00007213</t>
  </si>
  <si>
    <t>00007362</t>
  </si>
  <si>
    <t>00007363</t>
  </si>
  <si>
    <t>00007483</t>
  </si>
  <si>
    <t>00007484</t>
  </si>
  <si>
    <t>00007553</t>
  </si>
  <si>
    <t>00007554</t>
  </si>
  <si>
    <t>00007555</t>
  </si>
  <si>
    <t>00007592</t>
  </si>
  <si>
    <t>00007593</t>
  </si>
  <si>
    <t>00007594</t>
  </si>
  <si>
    <t>00007720</t>
  </si>
  <si>
    <t>00007721</t>
  </si>
  <si>
    <t>00007738</t>
  </si>
  <si>
    <t>00007739</t>
  </si>
  <si>
    <t>00007740</t>
  </si>
  <si>
    <t>00007750</t>
  </si>
  <si>
    <t>00007765</t>
  </si>
  <si>
    <t>00007766</t>
  </si>
  <si>
    <t>16/12/2025</t>
  </si>
  <si>
    <t>19/12/2025</t>
  </si>
  <si>
    <t>23/12/2025</t>
  </si>
  <si>
    <t>29/12/2025</t>
  </si>
  <si>
    <t>30/12/2025</t>
  </si>
  <si>
    <t>00000053</t>
  </si>
  <si>
    <t>00000054</t>
  </si>
  <si>
    <t>00000055</t>
  </si>
  <si>
    <t>00000171</t>
  </si>
  <si>
    <t>00000182</t>
  </si>
  <si>
    <t>00000205</t>
  </si>
  <si>
    <t>00000206</t>
  </si>
  <si>
    <t>00000207</t>
  </si>
  <si>
    <t>00000299</t>
  </si>
  <si>
    <t>00000303</t>
  </si>
  <si>
    <t>00000305</t>
  </si>
  <si>
    <t>00000306</t>
  </si>
  <si>
    <t>00000307</t>
  </si>
  <si>
    <t>00000489</t>
  </si>
  <si>
    <t>00000490</t>
  </si>
  <si>
    <t>00000491</t>
  </si>
  <si>
    <t>02/01/2026</t>
  </si>
  <si>
    <t>07/01/2026</t>
  </si>
  <si>
    <t>09/01/2026</t>
  </si>
  <si>
    <t>13/01/2026</t>
  </si>
  <si>
    <t>162</t>
  </si>
  <si>
    <t>317</t>
  </si>
  <si>
    <t>318</t>
  </si>
  <si>
    <t>319</t>
  </si>
  <si>
    <t>320</t>
  </si>
  <si>
    <t>321</t>
  </si>
  <si>
    <t>394</t>
  </si>
  <si>
    <t>469</t>
  </si>
  <si>
    <t>470</t>
  </si>
  <si>
    <t>471</t>
  </si>
  <si>
    <t>472</t>
  </si>
  <si>
    <t>473</t>
  </si>
  <si>
    <t>00000626</t>
  </si>
  <si>
    <t>00000727</t>
  </si>
  <si>
    <t>00000777</t>
  </si>
  <si>
    <t>00000808</t>
  </si>
  <si>
    <t>00000809</t>
  </si>
  <si>
    <t>00000810</t>
  </si>
  <si>
    <t>00000822</t>
  </si>
  <si>
    <t>00000826</t>
  </si>
  <si>
    <t>00000827</t>
  </si>
  <si>
    <t>00000828</t>
  </si>
  <si>
    <t>00000979</t>
  </si>
  <si>
    <t>00000981</t>
  </si>
  <si>
    <t>00000992</t>
  </si>
  <si>
    <t>00000996</t>
  </si>
  <si>
    <t>00000997</t>
  </si>
  <si>
    <t>00001061</t>
  </si>
  <si>
    <t>00001064</t>
  </si>
  <si>
    <t>00001068</t>
  </si>
  <si>
    <t>00001070</t>
  </si>
  <si>
    <t>00001072</t>
  </si>
  <si>
    <t>00001074</t>
  </si>
  <si>
    <t>00001126</t>
  </si>
  <si>
    <t>00001127</t>
  </si>
  <si>
    <t>00001128</t>
  </si>
  <si>
    <t>00001129</t>
  </si>
  <si>
    <t>00001208</t>
  </si>
  <si>
    <t>00001285</t>
  </si>
  <si>
    <t>00001400</t>
  </si>
  <si>
    <t>00001401</t>
  </si>
  <si>
    <t>00001402</t>
  </si>
  <si>
    <t>00001403</t>
  </si>
  <si>
    <t>16/01/2026</t>
  </si>
  <si>
    <t>22/01/2026</t>
  </si>
  <si>
    <t>23/01/2026</t>
  </si>
  <si>
    <t>27/01/2026</t>
  </si>
  <si>
    <t>29/01/2026</t>
  </si>
  <si>
    <t>30/01/2026</t>
  </si>
  <si>
    <t>31/01/2026</t>
  </si>
  <si>
    <t>03/02/2026</t>
  </si>
  <si>
    <t>07/02/2026</t>
  </si>
  <si>
    <t>00001550</t>
  </si>
  <si>
    <t>00001551</t>
  </si>
  <si>
    <t>00001594</t>
  </si>
  <si>
    <t>00001720</t>
  </si>
  <si>
    <t>00001721</t>
  </si>
  <si>
    <t>00001870</t>
  </si>
  <si>
    <t>24/02/2026</t>
  </si>
  <si>
    <t>27/02/2026</t>
  </si>
  <si>
    <t>28/02/2026</t>
  </si>
  <si>
    <t>03/03/2026</t>
  </si>
  <si>
    <t>00000492</t>
  </si>
  <si>
    <t>00000621</t>
  </si>
  <si>
    <t>00000623</t>
  </si>
  <si>
    <t>00000624</t>
  </si>
  <si>
    <t>00000625</t>
  </si>
  <si>
    <t>00000815</t>
  </si>
  <si>
    <t>00000825</t>
  </si>
  <si>
    <t>00000980</t>
  </si>
  <si>
    <t>00000993</t>
  </si>
  <si>
    <t>1410</t>
  </si>
  <si>
    <t>778</t>
  </si>
  <si>
    <t>817</t>
  </si>
  <si>
    <t>819-820-850-851</t>
  </si>
  <si>
    <t>821</t>
  </si>
  <si>
    <t>1059</t>
  </si>
  <si>
    <t>1062</t>
  </si>
  <si>
    <t>1067</t>
  </si>
  <si>
    <t>1069</t>
  </si>
  <si>
    <t>1071</t>
  </si>
  <si>
    <t>1073</t>
  </si>
  <si>
    <t>1075</t>
  </si>
  <si>
    <t>1212</t>
  </si>
  <si>
    <t>1407</t>
  </si>
  <si>
    <t>1408</t>
  </si>
  <si>
    <t>1409</t>
  </si>
  <si>
    <t>HXT- Emart Sala</t>
  </si>
  <si>
    <t>714</t>
  </si>
  <si>
    <t>715</t>
  </si>
  <si>
    <t>749</t>
  </si>
  <si>
    <t>1896</t>
  </si>
  <si>
    <t>2012</t>
  </si>
  <si>
    <t>00001954</t>
  </si>
  <si>
    <t>00002031</t>
  </si>
  <si>
    <t>00002032</t>
  </si>
  <si>
    <t>00002033</t>
  </si>
  <si>
    <t>00002163</t>
  </si>
  <si>
    <t>00002164</t>
  </si>
  <si>
    <t>00002204</t>
  </si>
  <si>
    <t>00002205</t>
  </si>
  <si>
    <t>00002315</t>
  </si>
  <si>
    <t>00002316</t>
  </si>
  <si>
    <t>00002317</t>
  </si>
  <si>
    <t>00002383</t>
  </si>
  <si>
    <t>00002384</t>
  </si>
  <si>
    <t>00002385</t>
  </si>
  <si>
    <t>00002460</t>
  </si>
  <si>
    <t>00002461</t>
  </si>
  <si>
    <t>00002526</t>
  </si>
  <si>
    <t>00002528</t>
  </si>
  <si>
    <t>06/03/2026</t>
  </si>
  <si>
    <t>10/03/2026</t>
  </si>
  <si>
    <t>14/03/2026</t>
  </si>
  <si>
    <t>17/03/2026</t>
  </si>
  <si>
    <t>20/03/2026</t>
  </si>
  <si>
    <t>24/03/2026</t>
  </si>
  <si>
    <t>27/03/2026</t>
  </si>
  <si>
    <t>31/03/2026</t>
  </si>
  <si>
    <t>00002046</t>
  </si>
  <si>
    <t>00002047</t>
  </si>
  <si>
    <t>00002319</t>
  </si>
  <si>
    <t>00002320</t>
  </si>
  <si>
    <t>11/03/2026</t>
  </si>
  <si>
    <t>21/03/2026</t>
  </si>
  <si>
    <t>2606</t>
  </si>
  <si>
    <t>00002676</t>
  </si>
  <si>
    <t>00002677</t>
  </si>
  <si>
    <t>00002811</t>
  </si>
  <si>
    <t>00002812</t>
  </si>
  <si>
    <t>00002899</t>
  </si>
  <si>
    <t>00002900</t>
  </si>
  <si>
    <t>00002966</t>
  </si>
  <si>
    <t>00003095</t>
  </si>
  <si>
    <t>00003096</t>
  </si>
  <si>
    <t>00003183</t>
  </si>
  <si>
    <t>07/04/2026</t>
  </si>
  <si>
    <t>11/04/2026</t>
  </si>
  <si>
    <t>14/04/2026</t>
  </si>
  <si>
    <t>16/04/2026</t>
  </si>
  <si>
    <t>21/04/2026</t>
  </si>
  <si>
    <t>24/04/2026</t>
  </si>
  <si>
    <t>00003340</t>
  </si>
  <si>
    <t>00003551</t>
  </si>
  <si>
    <t>00003552</t>
  </si>
  <si>
    <t>00003631</t>
  </si>
  <si>
    <t>00003632</t>
  </si>
  <si>
    <t>00003633</t>
  </si>
  <si>
    <t>00003769</t>
  </si>
  <si>
    <t>00003843</t>
  </si>
  <si>
    <t>00003861</t>
  </si>
  <si>
    <t>28/04/2026</t>
  </si>
  <si>
    <t>05/05/2026</t>
  </si>
  <si>
    <t>08/05/2026</t>
  </si>
  <si>
    <t>12/05/2026</t>
  </si>
  <si>
    <t>14/05/2026</t>
  </si>
  <si>
    <t>00004009</t>
  </si>
  <si>
    <t>00004010</t>
  </si>
  <si>
    <t>00004105</t>
  </si>
  <si>
    <t>00004106</t>
  </si>
  <si>
    <t>00004107</t>
  </si>
  <si>
    <t>00004270</t>
  </si>
  <si>
    <t>00004407</t>
  </si>
  <si>
    <t>00004408</t>
  </si>
  <si>
    <t>00004419</t>
  </si>
  <si>
    <t>00004487</t>
  </si>
  <si>
    <t>00004488</t>
  </si>
  <si>
    <t>19/05/2026</t>
  </si>
  <si>
    <t>21/05/2026</t>
  </si>
  <si>
    <t>28/05/2026</t>
  </si>
  <si>
    <t>01/06/2026</t>
  </si>
  <si>
    <t>05/06/2026</t>
  </si>
  <si>
    <t>3775</t>
  </si>
  <si>
    <t>3776</t>
  </si>
  <si>
    <t>3777</t>
  </si>
  <si>
    <t>3778</t>
  </si>
  <si>
    <t>Đã làm PM</t>
  </si>
  <si>
    <t>PM</t>
  </si>
  <si>
    <t>pm</t>
  </si>
  <si>
    <t>đã làm pm</t>
  </si>
  <si>
    <t>00004615</t>
  </si>
  <si>
    <t>00004616</t>
  </si>
  <si>
    <t>00004617</t>
  </si>
  <si>
    <t>00004990</t>
  </si>
  <si>
    <t>00004991</t>
  </si>
  <si>
    <t>00004992</t>
  </si>
  <si>
    <t>00005110</t>
  </si>
  <si>
    <t>00005111</t>
  </si>
  <si>
    <t>00005118</t>
  </si>
  <si>
    <t>00005167</t>
  </si>
  <si>
    <t>00005168</t>
  </si>
  <si>
    <t>00005169</t>
  </si>
  <si>
    <t>00005447</t>
  </si>
  <si>
    <t>00005448</t>
  </si>
  <si>
    <t>00005460</t>
  </si>
  <si>
    <t>09/06/2026</t>
  </si>
  <si>
    <t>19/06/2026</t>
  </si>
  <si>
    <t>23/06/2026</t>
  </si>
  <si>
    <t>26/06/2026</t>
  </si>
  <si>
    <t>30/06/2026</t>
  </si>
  <si>
    <t>5522</t>
  </si>
  <si>
    <t>- CÔNG NỢ KHỚP 30/06/2026</t>
  </si>
  <si>
    <t>00005556</t>
  </si>
  <si>
    <t>00005557</t>
  </si>
  <si>
    <t>00005804</t>
  </si>
  <si>
    <t>00005805</t>
  </si>
  <si>
    <t>00005967</t>
  </si>
  <si>
    <t>00005968</t>
  </si>
  <si>
    <t>03/07/2026</t>
  </si>
  <si>
    <t>10/07/2026</t>
  </si>
  <si>
    <t>14/07/2026</t>
  </si>
  <si>
    <t>00006075</t>
  </si>
  <si>
    <t>00006077</t>
  </si>
  <si>
    <t>00006078</t>
  </si>
  <si>
    <t>00006204</t>
  </si>
  <si>
    <t>00006205</t>
  </si>
  <si>
    <t>00006206</t>
  </si>
  <si>
    <t>17/07/2026</t>
  </si>
  <si>
    <t>21/07/2026</t>
  </si>
  <si>
    <t>00006393</t>
  </si>
  <si>
    <t>00006394</t>
  </si>
  <si>
    <t>00006395</t>
  </si>
  <si>
    <t>00006679</t>
  </si>
  <si>
    <t>00006749</t>
  </si>
  <si>
    <t>00006750</t>
  </si>
  <si>
    <t>00006751</t>
  </si>
  <si>
    <t>00006838</t>
  </si>
  <si>
    <t>00006839</t>
  </si>
  <si>
    <t>00006840</t>
  </si>
  <si>
    <t>00006863</t>
  </si>
  <si>
    <t>00006864</t>
  </si>
  <si>
    <t>28/07/2026</t>
  </si>
  <si>
    <t>07/08/2026</t>
  </si>
  <si>
    <t>11/08/2026</t>
  </si>
  <si>
    <t>6832</t>
  </si>
  <si>
    <t>DS T7.2026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</si>
</sst>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-* #,##0_-;\-* #,##0_-;_-* &quot;-&quot;_-;_-@"/>
  </numFmts>
  <fonts count="2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8"/>
      <color rgb="FF000000"/>
      <name val="Cambria"/>
      <family val="1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i/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name val="Calibri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1"/>
      <color rgb="FF000000"/>
      <name val="Cambria"/>
      <family val="1"/>
    </font>
    <font>
      <i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i/>
      <sz val="12"/>
      <color rgb="FF00000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i/>
      <sz val="12"/>
      <color rgb="FFFF0000"/>
      <name val="Times New Roman"/>
      <family val="1"/>
    </font>
    <font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FFF00"/>
        <bgColor rgb="FFD6E3BC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109">
    <xf numFmtId="0" fontId="0" fillId="0" borderId="0" xfId="0"/>
    <xf numFmtId="0" fontId="2" fillId="0" borderId="0" xfId="1" applyFont="1" applyAlignment="1">
      <alignment horizontal="left"/>
    </xf>
    <xf numFmtId="0" fontId="1" fillId="0" borderId="0" xfId="1"/>
    <xf numFmtId="0" fontId="1" fillId="0" borderId="0" xfId="1" applyAlignment="1">
      <alignment horizontal="center"/>
    </xf>
    <xf numFmtId="0" fontId="1" fillId="2" borderId="0" xfId="1" applyFill="1"/>
    <xf numFmtId="3" fontId="1" fillId="2" borderId="0" xfId="1" applyNumberFormat="1" applyFill="1"/>
    <xf numFmtId="3" fontId="1" fillId="0" borderId="0" xfId="1" applyNumberFormat="1"/>
    <xf numFmtId="0" fontId="4" fillId="0" borderId="0" xfId="1" quotePrefix="1" applyFont="1"/>
    <xf numFmtId="165" fontId="0" fillId="0" borderId="0" xfId="2" applyNumberFormat="1" applyFont="1" applyAlignment="1"/>
    <xf numFmtId="0" fontId="9" fillId="3" borderId="2" xfId="1" applyFont="1" applyFill="1" applyBorder="1" applyAlignment="1">
      <alignment horizontal="left" vertical="center" wrapText="1"/>
    </xf>
    <xf numFmtId="14" fontId="10" fillId="3" borderId="3" xfId="1" applyNumberFormat="1" applyFont="1" applyFill="1" applyBorder="1" applyAlignment="1">
      <alignment horizontal="center" vertical="center" wrapText="1"/>
    </xf>
    <xf numFmtId="49" fontId="10" fillId="3" borderId="3" xfId="1" applyNumberFormat="1" applyFont="1" applyFill="1" applyBorder="1" applyAlignment="1">
      <alignment horizontal="center" vertical="center" wrapText="1"/>
    </xf>
    <xf numFmtId="49" fontId="10" fillId="3" borderId="4" xfId="1" applyNumberFormat="1" applyFont="1" applyFill="1" applyBorder="1" applyAlignment="1">
      <alignment horizontal="center" vertical="center" wrapText="1"/>
    </xf>
    <xf numFmtId="14" fontId="11" fillId="3" borderId="3" xfId="1" applyNumberFormat="1" applyFont="1" applyFill="1" applyBorder="1" applyAlignment="1">
      <alignment horizontal="center" vertical="center"/>
    </xf>
    <xf numFmtId="0" fontId="8" fillId="0" borderId="0" xfId="1" applyFont="1"/>
    <xf numFmtId="0" fontId="9" fillId="3" borderId="11" xfId="1" applyFont="1" applyFill="1" applyBorder="1" applyAlignment="1">
      <alignment horizontal="left" vertical="center" wrapText="1"/>
    </xf>
    <xf numFmtId="14" fontId="10" fillId="3" borderId="12" xfId="1" applyNumberFormat="1" applyFont="1" applyFill="1" applyBorder="1" applyAlignment="1">
      <alignment horizontal="center" vertical="center" wrapText="1"/>
    </xf>
    <xf numFmtId="49" fontId="10" fillId="3" borderId="12" xfId="1" applyNumberFormat="1" applyFont="1" applyFill="1" applyBorder="1" applyAlignment="1">
      <alignment horizontal="center" vertical="center" wrapText="1"/>
    </xf>
    <xf numFmtId="3" fontId="11" fillId="3" borderId="12" xfId="1" applyNumberFormat="1" applyFont="1" applyFill="1" applyBorder="1" applyAlignment="1">
      <alignment horizontal="center" vertical="center"/>
    </xf>
    <xf numFmtId="3" fontId="11" fillId="2" borderId="12" xfId="1" applyNumberFormat="1" applyFont="1" applyFill="1" applyBorder="1" applyAlignment="1">
      <alignment horizontal="center" vertical="center"/>
    </xf>
    <xf numFmtId="166" fontId="11" fillId="2" borderId="13" xfId="1" applyNumberFormat="1" applyFont="1" applyFill="1" applyBorder="1" applyAlignment="1">
      <alignment vertical="center"/>
    </xf>
    <xf numFmtId="14" fontId="11" fillId="3" borderId="12" xfId="1" applyNumberFormat="1" applyFont="1" applyFill="1" applyBorder="1" applyAlignment="1">
      <alignment horizontal="center" vertical="center"/>
    </xf>
    <xf numFmtId="0" fontId="8" fillId="0" borderId="16" xfId="1" applyFont="1" applyBorder="1" applyAlignment="1">
      <alignment horizontal="center"/>
    </xf>
    <xf numFmtId="3" fontId="11" fillId="3" borderId="17" xfId="1" applyNumberFormat="1" applyFont="1" applyFill="1" applyBorder="1" applyAlignment="1">
      <alignment horizontal="center" vertical="center"/>
    </xf>
    <xf numFmtId="3" fontId="11" fillId="2" borderId="17" xfId="1" applyNumberFormat="1" applyFont="1" applyFill="1" applyBorder="1" applyAlignment="1">
      <alignment horizontal="center" vertical="center"/>
    </xf>
    <xf numFmtId="165" fontId="11" fillId="3" borderId="17" xfId="2" applyNumberFormat="1" applyFont="1" applyFill="1" applyBorder="1" applyAlignment="1">
      <alignment horizontal="center" vertical="center"/>
    </xf>
    <xf numFmtId="0" fontId="5" fillId="0" borderId="0" xfId="1" quotePrefix="1" applyFont="1"/>
    <xf numFmtId="49" fontId="14" fillId="4" borderId="21" xfId="1" applyNumberFormat="1" applyFont="1" applyFill="1" applyBorder="1" applyAlignment="1">
      <alignment horizontal="center" wrapText="1"/>
    </xf>
    <xf numFmtId="3" fontId="15" fillId="4" borderId="21" xfId="1" applyNumberFormat="1" applyFont="1" applyFill="1" applyBorder="1" applyAlignment="1">
      <alignment horizontal="right"/>
    </xf>
    <xf numFmtId="3" fontId="16" fillId="4" borderId="21" xfId="1" applyNumberFormat="1" applyFont="1" applyFill="1" applyBorder="1" applyAlignment="1">
      <alignment horizontal="right"/>
    </xf>
    <xf numFmtId="3" fontId="17" fillId="2" borderId="21" xfId="1" applyNumberFormat="1" applyFont="1" applyFill="1" applyBorder="1" applyAlignment="1">
      <alignment horizontal="right"/>
    </xf>
    <xf numFmtId="3" fontId="18" fillId="2" borderId="21" xfId="1" applyNumberFormat="1" applyFont="1" applyFill="1" applyBorder="1"/>
    <xf numFmtId="3" fontId="16" fillId="2" borderId="21" xfId="1" applyNumberFormat="1" applyFont="1" applyFill="1" applyBorder="1"/>
    <xf numFmtId="166" fontId="17" fillId="2" borderId="21" xfId="1" applyNumberFormat="1" applyFont="1" applyFill="1" applyBorder="1" applyAlignment="1">
      <alignment horizontal="center"/>
    </xf>
    <xf numFmtId="14" fontId="16" fillId="4" borderId="21" xfId="1" applyNumberFormat="1" applyFont="1" applyFill="1" applyBorder="1" applyAlignment="1">
      <alignment horizontal="center"/>
    </xf>
    <xf numFmtId="0" fontId="19" fillId="4" borderId="24" xfId="1" applyFont="1" applyFill="1" applyBorder="1" applyAlignment="1">
      <alignment horizontal="center"/>
    </xf>
    <xf numFmtId="14" fontId="14" fillId="0" borderId="22" xfId="1" applyNumberFormat="1" applyFont="1" applyBorder="1" applyAlignment="1">
      <alignment horizontal="center" wrapText="1"/>
    </xf>
    <xf numFmtId="49" fontId="14" fillId="5" borderId="22" xfId="1" applyNumberFormat="1" applyFont="1" applyFill="1" applyBorder="1" applyAlignment="1">
      <alignment horizontal="center" wrapText="1"/>
    </xf>
    <xf numFmtId="49" fontId="14" fillId="4" borderId="22" xfId="1" applyNumberFormat="1" applyFont="1" applyFill="1" applyBorder="1" applyAlignment="1">
      <alignment horizontal="center" wrapText="1"/>
    </xf>
    <xf numFmtId="3" fontId="15" fillId="4" borderId="22" xfId="1" applyNumberFormat="1" applyFont="1" applyFill="1" applyBorder="1" applyAlignment="1">
      <alignment horizontal="right"/>
    </xf>
    <xf numFmtId="3" fontId="16" fillId="4" borderId="25" xfId="1" applyNumberFormat="1" applyFont="1" applyFill="1" applyBorder="1"/>
    <xf numFmtId="3" fontId="16" fillId="2" borderId="22" xfId="1" applyNumberFormat="1" applyFont="1" applyFill="1" applyBorder="1" applyAlignment="1">
      <alignment horizontal="right"/>
    </xf>
    <xf numFmtId="3" fontId="16" fillId="2" borderId="22" xfId="1" applyNumberFormat="1" applyFont="1" applyFill="1" applyBorder="1"/>
    <xf numFmtId="166" fontId="16" fillId="2" borderId="25" xfId="1" applyNumberFormat="1" applyFont="1" applyFill="1" applyBorder="1"/>
    <xf numFmtId="14" fontId="16" fillId="4" borderId="22" xfId="1" applyNumberFormat="1" applyFont="1" applyFill="1" applyBorder="1" applyAlignment="1">
      <alignment horizontal="center"/>
    </xf>
    <xf numFmtId="0" fontId="19" fillId="4" borderId="27" xfId="1" applyFont="1" applyFill="1" applyBorder="1" applyAlignment="1">
      <alignment horizontal="left"/>
    </xf>
    <xf numFmtId="49" fontId="14" fillId="6" borderId="22" xfId="1" applyNumberFormat="1" applyFont="1" applyFill="1" applyBorder="1" applyAlignment="1">
      <alignment horizontal="center" wrapText="1"/>
    </xf>
    <xf numFmtId="49" fontId="14" fillId="0" borderId="22" xfId="1" applyNumberFormat="1" applyFont="1" applyBorder="1" applyAlignment="1">
      <alignment horizontal="center" wrapText="1"/>
    </xf>
    <xf numFmtId="3" fontId="15" fillId="0" borderId="22" xfId="1" applyNumberFormat="1" applyFont="1" applyBorder="1" applyAlignment="1">
      <alignment horizontal="right"/>
    </xf>
    <xf numFmtId="3" fontId="16" fillId="2" borderId="25" xfId="1" applyNumberFormat="1" applyFont="1" applyFill="1" applyBorder="1"/>
    <xf numFmtId="14" fontId="16" fillId="4" borderId="25" xfId="1" applyNumberFormat="1" applyFont="1" applyFill="1" applyBorder="1" applyAlignment="1">
      <alignment horizontal="center"/>
    </xf>
    <xf numFmtId="14" fontId="14" fillId="0" borderId="25" xfId="1" applyNumberFormat="1" applyFont="1" applyBorder="1" applyAlignment="1">
      <alignment horizontal="center" wrapText="1"/>
    </xf>
    <xf numFmtId="3" fontId="16" fillId="0" borderId="25" xfId="1" applyNumberFormat="1" applyFont="1" applyBorder="1"/>
    <xf numFmtId="49" fontId="14" fillId="0" borderId="25" xfId="1" applyNumberFormat="1" applyFont="1" applyBorder="1" applyAlignment="1">
      <alignment horizontal="center" wrapText="1"/>
    </xf>
    <xf numFmtId="14" fontId="14" fillId="4" borderId="25" xfId="1" applyNumberFormat="1" applyFont="1" applyFill="1" applyBorder="1" applyAlignment="1">
      <alignment horizontal="center" wrapText="1"/>
    </xf>
    <xf numFmtId="49" fontId="14" fillId="0" borderId="25" xfId="1" applyNumberFormat="1" applyFont="1" applyBorder="1" applyAlignment="1">
      <alignment horizontal="left" wrapText="1"/>
    </xf>
    <xf numFmtId="49" fontId="14" fillId="6" borderId="25" xfId="1" applyNumberFormat="1" applyFont="1" applyFill="1" applyBorder="1" applyAlignment="1">
      <alignment horizontal="center" wrapText="1"/>
    </xf>
    <xf numFmtId="3" fontId="18" fillId="2" borderId="25" xfId="1" applyNumberFormat="1" applyFont="1" applyFill="1" applyBorder="1"/>
    <xf numFmtId="0" fontId="13" fillId="4" borderId="27" xfId="1" applyFont="1" applyFill="1" applyBorder="1" applyAlignment="1">
      <alignment horizontal="left"/>
    </xf>
    <xf numFmtId="0" fontId="9" fillId="0" borderId="27" xfId="1" applyFont="1" applyBorder="1" applyAlignment="1">
      <alignment horizontal="left"/>
    </xf>
    <xf numFmtId="14" fontId="20" fillId="0" borderId="25" xfId="1" applyNumberFormat="1" applyFont="1" applyBorder="1" applyAlignment="1">
      <alignment horizontal="center" wrapText="1"/>
    </xf>
    <xf numFmtId="49" fontId="20" fillId="6" borderId="25" xfId="1" applyNumberFormat="1" applyFont="1" applyFill="1" applyBorder="1" applyAlignment="1">
      <alignment horizontal="center" wrapText="1"/>
    </xf>
    <xf numFmtId="49" fontId="20" fillId="0" borderId="25" xfId="1" applyNumberFormat="1" applyFont="1" applyBorder="1" applyAlignment="1">
      <alignment horizontal="center" wrapText="1"/>
    </xf>
    <xf numFmtId="3" fontId="21" fillId="0" borderId="25" xfId="1" applyNumberFormat="1" applyFont="1" applyBorder="1"/>
    <xf numFmtId="3" fontId="21" fillId="7" borderId="22" xfId="1" applyNumberFormat="1" applyFont="1" applyFill="1" applyBorder="1" applyAlignment="1">
      <alignment horizontal="right"/>
    </xf>
    <xf numFmtId="3" fontId="21" fillId="7" borderId="25" xfId="1" applyNumberFormat="1" applyFont="1" applyFill="1" applyBorder="1"/>
    <xf numFmtId="166" fontId="21" fillId="7" borderId="25" xfId="1" applyNumberFormat="1" applyFont="1" applyFill="1" applyBorder="1"/>
    <xf numFmtId="14" fontId="21" fillId="0" borderId="25" xfId="1" applyNumberFormat="1" applyFont="1" applyBorder="1" applyAlignment="1">
      <alignment horizontal="center"/>
    </xf>
    <xf numFmtId="0" fontId="22" fillId="0" borderId="27" xfId="1" applyFont="1" applyBorder="1" applyAlignment="1">
      <alignment horizontal="left"/>
    </xf>
    <xf numFmtId="14" fontId="23" fillId="0" borderId="25" xfId="1" applyNumberFormat="1" applyFont="1" applyBorder="1" applyAlignment="1">
      <alignment horizontal="center" wrapText="1"/>
    </xf>
    <xf numFmtId="49" fontId="23" fillId="0" borderId="25" xfId="1" applyNumberFormat="1" applyFont="1" applyBorder="1" applyAlignment="1">
      <alignment horizontal="center" wrapText="1"/>
    </xf>
    <xf numFmtId="3" fontId="18" fillId="0" borderId="25" xfId="1" applyNumberFormat="1" applyFont="1" applyBorder="1"/>
    <xf numFmtId="3" fontId="18" fillId="7" borderId="22" xfId="1" applyNumberFormat="1" applyFont="1" applyFill="1" applyBorder="1" applyAlignment="1">
      <alignment horizontal="right"/>
    </xf>
    <xf numFmtId="3" fontId="18" fillId="7" borderId="25" xfId="1" applyNumberFormat="1" applyFont="1" applyFill="1" applyBorder="1"/>
    <xf numFmtId="166" fontId="18" fillId="7" borderId="25" xfId="1" applyNumberFormat="1" applyFont="1" applyFill="1" applyBorder="1"/>
    <xf numFmtId="0" fontId="2" fillId="0" borderId="0" xfId="1" applyFont="1"/>
    <xf numFmtId="0" fontId="26" fillId="0" borderId="0" xfId="1" applyFont="1"/>
    <xf numFmtId="14" fontId="1" fillId="0" borderId="0" xfId="1" applyNumberFormat="1" applyAlignment="1">
      <alignment horizontal="center"/>
    </xf>
    <xf numFmtId="0" fontId="22" fillId="5" borderId="27" xfId="1" applyFont="1" applyFill="1" applyBorder="1" applyAlignment="1">
      <alignment horizontal="left"/>
    </xf>
    <xf numFmtId="14" fontId="23" fillId="5" borderId="25" xfId="1" applyNumberFormat="1" applyFont="1" applyFill="1" applyBorder="1" applyAlignment="1">
      <alignment horizontal="center" wrapText="1"/>
    </xf>
    <xf numFmtId="49" fontId="23" fillId="6" borderId="25" xfId="1" applyNumberFormat="1" applyFont="1" applyFill="1" applyBorder="1" applyAlignment="1">
      <alignment horizontal="center" wrapText="1"/>
    </xf>
    <xf numFmtId="3" fontId="18" fillId="6" borderId="25" xfId="1" applyNumberFormat="1" applyFont="1" applyFill="1" applyBorder="1"/>
    <xf numFmtId="3" fontId="18" fillId="5" borderId="25" xfId="1" applyNumberFormat="1" applyFont="1" applyFill="1" applyBorder="1"/>
    <xf numFmtId="3" fontId="18" fillId="8" borderId="22" xfId="1" applyNumberFormat="1" applyFont="1" applyFill="1" applyBorder="1" applyAlignment="1">
      <alignment horizontal="right"/>
    </xf>
    <xf numFmtId="3" fontId="18" fillId="8" borderId="25" xfId="1" applyNumberFormat="1" applyFont="1" applyFill="1" applyBorder="1"/>
    <xf numFmtId="166" fontId="18" fillId="8" borderId="25" xfId="1" applyNumberFormat="1" applyFont="1" applyFill="1" applyBorder="1"/>
    <xf numFmtId="14" fontId="18" fillId="5" borderId="25" xfId="1" applyNumberFormat="1" applyFont="1" applyFill="1" applyBorder="1" applyAlignment="1">
      <alignment horizontal="center"/>
    </xf>
    <xf numFmtId="0" fontId="26" fillId="6" borderId="0" xfId="1" applyFont="1" applyFill="1"/>
    <xf numFmtId="14" fontId="1" fillId="0" borderId="0" xfId="1" applyNumberFormat="1"/>
    <xf numFmtId="14" fontId="12" fillId="3" borderId="10" xfId="1" applyNumberFormat="1" applyFont="1" applyFill="1" applyBorder="1" applyAlignment="1">
      <alignment horizontal="center" vertical="center"/>
    </xf>
    <xf numFmtId="14" fontId="12" fillId="3" borderId="14" xfId="1" applyNumberFormat="1" applyFont="1" applyFill="1" applyBorder="1" applyAlignment="1">
      <alignment horizontal="center" vertical="center"/>
    </xf>
    <xf numFmtId="14" fontId="12" fillId="3" borderId="18" xfId="1" applyNumberFormat="1" applyFont="1" applyFill="1" applyBorder="1" applyAlignment="1">
      <alignment horizontal="center" vertical="center"/>
    </xf>
    <xf numFmtId="14" fontId="7" fillId="0" borderId="23" xfId="1" applyNumberFormat="1" applyFont="1" applyBorder="1"/>
    <xf numFmtId="14" fontId="7" fillId="0" borderId="26" xfId="1" applyNumberFormat="1" applyFont="1" applyBorder="1"/>
    <xf numFmtId="14" fontId="7" fillId="0" borderId="28" xfId="1" applyNumberFormat="1" applyFont="1" applyBorder="1"/>
    <xf numFmtId="0" fontId="13" fillId="4" borderId="19" xfId="1" applyFont="1" applyFill="1" applyBorder="1" applyAlignment="1">
      <alignment horizontal="center"/>
    </xf>
    <xf numFmtId="0" fontId="8" fillId="0" borderId="20" xfId="1" applyFont="1" applyBorder="1"/>
    <xf numFmtId="0" fontId="3" fillId="0" borderId="0" xfId="1" applyFont="1" applyAlignment="1">
      <alignment horizontal="center" vertical="center"/>
    </xf>
    <xf numFmtId="0" fontId="1" fillId="0" borderId="0" xfId="1"/>
    <xf numFmtId="0" fontId="1" fillId="0" borderId="0" xfId="1" applyAlignment="1">
      <alignment horizontal="center"/>
    </xf>
    <xf numFmtId="0" fontId="6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8" fillId="0" borderId="1" xfId="1" applyFont="1" applyBorder="1"/>
    <xf numFmtId="3" fontId="11" fillId="3" borderId="5" xfId="1" applyNumberFormat="1" applyFont="1" applyFill="1" applyBorder="1" applyAlignment="1">
      <alignment horizontal="center" vertical="center"/>
    </xf>
    <xf numFmtId="0" fontId="8" fillId="0" borderId="6" xfId="1" applyFont="1" applyBorder="1"/>
    <xf numFmtId="0" fontId="8" fillId="0" borderId="7" xfId="1" applyFont="1" applyBorder="1"/>
    <xf numFmtId="0" fontId="9" fillId="3" borderId="15" xfId="1" applyFont="1" applyFill="1" applyBorder="1" applyAlignment="1">
      <alignment horizontal="center" vertical="center" wrapText="1"/>
    </xf>
    <xf numFmtId="0" fontId="8" fillId="0" borderId="8" xfId="1" applyFont="1" applyBorder="1"/>
    <xf numFmtId="0" fontId="8" fillId="0" borderId="9" xfId="1" applyFont="1" applyBorder="1"/>
  </cellXfs>
  <cellStyles count="3">
    <cellStyle name="Comma 2" xfId="2" xr:uid="{143B0D6E-238A-4029-89DC-9A3FFC4A644F}"/>
    <cellStyle name="Normal" xfId="0" builtinId="0"/>
    <cellStyle name="Normal 2" xfId="1" xr:uid="{E5FF6BA5-8C0B-441B-B463-E31F6D6AD2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219575" cy="981075"/>
    <xdr:pic>
      <xdr:nvPicPr>
        <xdr:cNvPr id="2" name="image1.png">
          <a:extLst>
            <a:ext uri="{FF2B5EF4-FFF2-40B4-BE49-F238E27FC236}">
              <a16:creationId xmlns:a16="http://schemas.microsoft.com/office/drawing/2014/main" id="{B1EF937F-ECD2-499C-9065-69E1D9F9A6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219575" cy="981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F92B-2F03-4FA2-BC38-924BD19CDBC0}">
  <sheetPr>
    <outlinePr summaryBelow="0" summaryRight="0"/>
  </sheetPr>
  <dimension ref="A1:XEU912"/>
  <sheetViews>
    <sheetView tabSelected="1" topLeftCell="A740" zoomScaleNormal="100" workbookViewId="0">
      <pane xSplit="1" topLeftCell="B1" activePane="topRight" state="frozen"/>
      <selection pane="topRight" activeCell="L749" sqref="L749"/>
    </sheetView>
  </sheetViews>
  <sheetFormatPr defaultColWidth="14.44140625" defaultRowHeight="15" customHeight="1" x14ac:dyDescent="0.3"/>
  <cols>
    <col min="1" max="1" width="34.44140625" style="75" customWidth="1"/>
    <col min="2" max="2" width="14.109375" style="2" customWidth="1"/>
    <col min="3" max="3" width="9.44140625" style="2" customWidth="1"/>
    <col min="4" max="4" width="11.5546875" style="3" customWidth="1"/>
    <col min="5" max="5" width="16.33203125" style="2" customWidth="1"/>
    <col min="6" max="6" width="13" style="2" customWidth="1"/>
    <col min="7" max="7" width="15" style="2" customWidth="1"/>
    <col min="8" max="8" width="15.88671875" style="2" customWidth="1"/>
    <col min="9" max="9" width="9.109375" style="2" customWidth="1"/>
    <col min="10" max="10" width="17.44140625" style="2" customWidth="1"/>
    <col min="11" max="11" width="23.6640625" style="77" hidden="1" customWidth="1"/>
    <col min="12" max="12" width="17.21875" style="88" customWidth="1"/>
    <col min="13" max="13" width="16.109375" style="2" customWidth="1"/>
    <col min="14" max="16" width="8" style="2" customWidth="1"/>
    <col min="17" max="17" width="15.88671875" style="2" customWidth="1"/>
    <col min="18" max="22" width="8" style="2" customWidth="1"/>
    <col min="23" max="16384" width="14.44140625" style="2"/>
  </cols>
  <sheetData>
    <row r="1" spans="1:17" ht="87" customHeight="1" x14ac:dyDescent="0.3">
      <c r="A1" s="1"/>
      <c r="G1" s="4"/>
      <c r="H1" s="4"/>
      <c r="I1" s="4"/>
      <c r="J1" s="5"/>
    </row>
    <row r="2" spans="1:17" ht="29.25" customHeight="1" x14ac:dyDescent="0.4">
      <c r="A2" s="97" t="s">
        <v>0</v>
      </c>
      <c r="B2" s="98"/>
      <c r="C2" s="98"/>
      <c r="D2" s="99"/>
      <c r="E2" s="98"/>
      <c r="F2" s="98"/>
      <c r="G2" s="98"/>
      <c r="H2" s="98"/>
      <c r="I2" s="98"/>
      <c r="J2" s="98"/>
      <c r="K2" s="98"/>
      <c r="L2" s="88">
        <v>130592520</v>
      </c>
      <c r="M2" s="7" t="s">
        <v>1153</v>
      </c>
      <c r="Q2" s="8">
        <v>144642160</v>
      </c>
    </row>
    <row r="3" spans="1:17" ht="18.75" customHeight="1" x14ac:dyDescent="0.3">
      <c r="A3" s="100" t="s">
        <v>1</v>
      </c>
      <c r="B3" s="98"/>
      <c r="C3" s="98"/>
      <c r="D3" s="99"/>
      <c r="E3" s="98"/>
      <c r="F3" s="98"/>
      <c r="G3" s="98"/>
      <c r="H3" s="98"/>
      <c r="I3" s="98"/>
      <c r="J3" s="98"/>
      <c r="K3" s="98"/>
      <c r="L3" s="88">
        <f>+J7-L2</f>
        <v>-36992160</v>
      </c>
    </row>
    <row r="4" spans="1:17" ht="15.75" customHeight="1" thickBot="1" x14ac:dyDescent="0.35">
      <c r="A4" s="1"/>
      <c r="G4" s="4"/>
      <c r="H4" s="4"/>
      <c r="I4" s="4"/>
      <c r="J4" s="4"/>
      <c r="K4" s="101" t="s">
        <v>2</v>
      </c>
      <c r="L4" s="102"/>
    </row>
    <row r="5" spans="1:17" ht="22.5" customHeight="1" x14ac:dyDescent="0.3">
      <c r="A5" s="9" t="s">
        <v>3</v>
      </c>
      <c r="B5" s="10" t="s">
        <v>4</v>
      </c>
      <c r="C5" s="11" t="s">
        <v>5</v>
      </c>
      <c r="D5" s="12"/>
      <c r="E5" s="103" t="s">
        <v>6</v>
      </c>
      <c r="F5" s="104"/>
      <c r="G5" s="104"/>
      <c r="H5" s="104"/>
      <c r="I5" s="104"/>
      <c r="J5" s="105"/>
      <c r="K5" s="13" t="s">
        <v>7</v>
      </c>
      <c r="L5" s="89" t="s">
        <v>8</v>
      </c>
      <c r="Q5" s="14"/>
    </row>
    <row r="6" spans="1:17" ht="28.5" customHeight="1" x14ac:dyDescent="0.3">
      <c r="A6" s="15"/>
      <c r="B6" s="16"/>
      <c r="C6" s="17"/>
      <c r="D6" s="17"/>
      <c r="E6" s="18" t="s">
        <v>9</v>
      </c>
      <c r="F6" s="18" t="s">
        <v>10</v>
      </c>
      <c r="G6" s="19" t="s">
        <v>11</v>
      </c>
      <c r="H6" s="19" t="s">
        <v>12</v>
      </c>
      <c r="I6" s="19" t="s">
        <v>13</v>
      </c>
      <c r="J6" s="20" t="s">
        <v>14</v>
      </c>
      <c r="K6" s="21"/>
      <c r="L6" s="90"/>
    </row>
    <row r="7" spans="1:17" ht="28.5" customHeight="1" x14ac:dyDescent="0.3">
      <c r="A7" s="106" t="s">
        <v>15</v>
      </c>
      <c r="B7" s="107"/>
      <c r="C7" s="108"/>
      <c r="D7" s="22"/>
      <c r="E7" s="23">
        <f>SUM(E9:E1190)</f>
        <v>5754297800</v>
      </c>
      <c r="F7" s="23">
        <f>SUM(F9:F1190)</f>
        <v>456947444</v>
      </c>
      <c r="G7" s="24">
        <f>SUM(G9:G1190)+G8</f>
        <v>6029420844</v>
      </c>
      <c r="H7" s="24">
        <f>SUM(H9:H1190)</f>
        <v>5935820484</v>
      </c>
      <c r="I7" s="24">
        <f>SUM(I11:I19)</f>
        <v>0</v>
      </c>
      <c r="J7" s="24">
        <f>SUM(J9:J1180)</f>
        <v>93600360</v>
      </c>
      <c r="K7" s="25"/>
      <c r="L7" s="91"/>
      <c r="M7" s="26"/>
    </row>
    <row r="8" spans="1:17" ht="16.5" customHeight="1" x14ac:dyDescent="0.3">
      <c r="A8" s="95" t="s">
        <v>16</v>
      </c>
      <c r="B8" s="96"/>
      <c r="C8" s="27"/>
      <c r="D8" s="27"/>
      <c r="E8" s="28"/>
      <c r="F8" s="29"/>
      <c r="G8" s="30"/>
      <c r="H8" s="31"/>
      <c r="I8" s="32"/>
      <c r="J8" s="33"/>
      <c r="K8" s="34"/>
      <c r="L8" s="92"/>
    </row>
    <row r="9" spans="1:17" ht="16.5" customHeight="1" x14ac:dyDescent="0.35">
      <c r="A9" s="35"/>
      <c r="B9" s="36">
        <v>44578</v>
      </c>
      <c r="C9" s="37" t="s">
        <v>17</v>
      </c>
      <c r="D9" s="38" t="s">
        <v>18</v>
      </c>
      <c r="E9" s="39">
        <v>10836000</v>
      </c>
      <c r="F9" s="40">
        <f t="shared" ref="F9:F15" si="0">+E9*0.1</f>
        <v>1083600</v>
      </c>
      <c r="G9" s="41">
        <f t="shared" ref="G9:G72" si="1">E9+F9</f>
        <v>11919600</v>
      </c>
      <c r="H9" s="42">
        <v>11919600</v>
      </c>
      <c r="I9" s="42"/>
      <c r="J9" s="43">
        <f t="shared" ref="J9:J72" si="2">G9-H9</f>
        <v>0</v>
      </c>
      <c r="K9" s="44">
        <v>44645</v>
      </c>
      <c r="L9" s="93" t="s">
        <v>19</v>
      </c>
    </row>
    <row r="10" spans="1:17" ht="16.5" customHeight="1" x14ac:dyDescent="0.35">
      <c r="A10" s="35"/>
      <c r="B10" s="36">
        <v>44578</v>
      </c>
      <c r="C10" s="37" t="s">
        <v>20</v>
      </c>
      <c r="D10" s="38" t="s">
        <v>21</v>
      </c>
      <c r="E10" s="39">
        <v>15066000</v>
      </c>
      <c r="F10" s="40">
        <f t="shared" si="0"/>
        <v>1506600</v>
      </c>
      <c r="G10" s="41">
        <f t="shared" si="1"/>
        <v>16572600</v>
      </c>
      <c r="H10" s="42">
        <v>16572600</v>
      </c>
      <c r="I10" s="42"/>
      <c r="J10" s="43">
        <f t="shared" si="2"/>
        <v>0</v>
      </c>
      <c r="K10" s="44">
        <v>44645</v>
      </c>
      <c r="L10" s="93" t="s">
        <v>19</v>
      </c>
    </row>
    <row r="11" spans="1:17" ht="16.5" customHeight="1" x14ac:dyDescent="0.35">
      <c r="A11" s="45"/>
      <c r="B11" s="36">
        <v>44583</v>
      </c>
      <c r="C11" s="46" t="s">
        <v>22</v>
      </c>
      <c r="D11" s="47" t="s">
        <v>23</v>
      </c>
      <c r="E11" s="48">
        <v>30160000</v>
      </c>
      <c r="F11" s="40">
        <f t="shared" si="0"/>
        <v>3016000</v>
      </c>
      <c r="G11" s="41">
        <f t="shared" si="1"/>
        <v>33176000</v>
      </c>
      <c r="H11" s="49">
        <v>33176000</v>
      </c>
      <c r="I11" s="49"/>
      <c r="J11" s="43">
        <f t="shared" si="2"/>
        <v>0</v>
      </c>
      <c r="K11" s="50">
        <v>44645</v>
      </c>
      <c r="L11" s="94" t="s">
        <v>19</v>
      </c>
      <c r="M11" s="6">
        <f>J7-M8</f>
        <v>93600360</v>
      </c>
    </row>
    <row r="12" spans="1:17" ht="16.5" customHeight="1" x14ac:dyDescent="0.35">
      <c r="A12" s="45"/>
      <c r="B12" s="51">
        <v>44583</v>
      </c>
      <c r="C12" s="46" t="s">
        <v>24</v>
      </c>
      <c r="D12" s="47" t="s">
        <v>25</v>
      </c>
      <c r="E12" s="52">
        <v>25239600</v>
      </c>
      <c r="F12" s="40">
        <f t="shared" si="0"/>
        <v>2523960</v>
      </c>
      <c r="G12" s="41">
        <f t="shared" si="1"/>
        <v>27763560</v>
      </c>
      <c r="H12" s="49">
        <v>27763560</v>
      </c>
      <c r="I12" s="49"/>
      <c r="J12" s="43">
        <f t="shared" si="2"/>
        <v>0</v>
      </c>
      <c r="K12" s="50">
        <v>44645</v>
      </c>
      <c r="L12" s="94" t="s">
        <v>19</v>
      </c>
    </row>
    <row r="13" spans="1:17" ht="16.5" customHeight="1" x14ac:dyDescent="0.35">
      <c r="A13" s="45"/>
      <c r="B13" s="51">
        <v>44578</v>
      </c>
      <c r="C13" s="47" t="s">
        <v>26</v>
      </c>
      <c r="D13" s="47" t="s">
        <v>27</v>
      </c>
      <c r="E13" s="52">
        <v>36234000</v>
      </c>
      <c r="F13" s="40">
        <f t="shared" si="0"/>
        <v>3623400</v>
      </c>
      <c r="G13" s="41">
        <f t="shared" si="1"/>
        <v>39857400</v>
      </c>
      <c r="H13" s="49">
        <v>39857400</v>
      </c>
      <c r="I13" s="49"/>
      <c r="J13" s="43">
        <f t="shared" si="2"/>
        <v>0</v>
      </c>
      <c r="K13" s="50">
        <v>44645</v>
      </c>
      <c r="L13" s="94" t="s">
        <v>19</v>
      </c>
    </row>
    <row r="14" spans="1:17" ht="16.5" customHeight="1" x14ac:dyDescent="0.35">
      <c r="A14" s="45"/>
      <c r="B14" s="51">
        <v>44578</v>
      </c>
      <c r="C14" s="47" t="s">
        <v>28</v>
      </c>
      <c r="D14" s="47" t="s">
        <v>29</v>
      </c>
      <c r="E14" s="52">
        <v>19130000</v>
      </c>
      <c r="F14" s="40">
        <f t="shared" si="0"/>
        <v>1913000</v>
      </c>
      <c r="G14" s="41">
        <f t="shared" si="1"/>
        <v>21043000</v>
      </c>
      <c r="H14" s="49">
        <v>21043000</v>
      </c>
      <c r="I14" s="49"/>
      <c r="J14" s="43">
        <f t="shared" si="2"/>
        <v>0</v>
      </c>
      <c r="K14" s="50">
        <v>44645</v>
      </c>
      <c r="L14" s="94" t="s">
        <v>19</v>
      </c>
    </row>
    <row r="15" spans="1:17" ht="16.5" customHeight="1" x14ac:dyDescent="0.35">
      <c r="A15" s="45"/>
      <c r="B15" s="51">
        <v>44578</v>
      </c>
      <c r="C15" s="53" t="s">
        <v>30</v>
      </c>
      <c r="D15" s="53" t="s">
        <v>31</v>
      </c>
      <c r="E15" s="52">
        <v>5820000</v>
      </c>
      <c r="F15" s="40">
        <f t="shared" si="0"/>
        <v>582000</v>
      </c>
      <c r="G15" s="41">
        <f t="shared" si="1"/>
        <v>6402000</v>
      </c>
      <c r="H15" s="49">
        <v>6402000</v>
      </c>
      <c r="I15" s="49"/>
      <c r="J15" s="43">
        <f t="shared" si="2"/>
        <v>0</v>
      </c>
      <c r="K15" s="50">
        <v>44645</v>
      </c>
      <c r="L15" s="94" t="s">
        <v>19</v>
      </c>
    </row>
    <row r="16" spans="1:17" ht="16.5" customHeight="1" x14ac:dyDescent="0.35">
      <c r="A16" s="45"/>
      <c r="B16" s="54">
        <v>44613</v>
      </c>
      <c r="C16" s="53" t="s">
        <v>32</v>
      </c>
      <c r="D16" s="55"/>
      <c r="E16" s="52">
        <v>2430000</v>
      </c>
      <c r="F16" s="40">
        <f>+E16*0.08</f>
        <v>194400</v>
      </c>
      <c r="G16" s="41">
        <f t="shared" si="1"/>
        <v>2624400</v>
      </c>
      <c r="H16" s="49">
        <v>2624400</v>
      </c>
      <c r="I16" s="49"/>
      <c r="J16" s="43">
        <f t="shared" si="2"/>
        <v>0</v>
      </c>
      <c r="K16" s="50">
        <v>44645</v>
      </c>
      <c r="L16" s="94" t="s">
        <v>19</v>
      </c>
    </row>
    <row r="17" spans="1:12" ht="16.5" customHeight="1" x14ac:dyDescent="0.35">
      <c r="A17" s="45"/>
      <c r="B17" s="54">
        <v>44623</v>
      </c>
      <c r="C17" s="53" t="s">
        <v>33</v>
      </c>
      <c r="D17" s="55"/>
      <c r="E17" s="52">
        <v>7020000</v>
      </c>
      <c r="F17" s="40">
        <f t="shared" ref="F17:F73" si="3">+E17*0.08</f>
        <v>561600</v>
      </c>
      <c r="G17" s="41">
        <f t="shared" si="1"/>
        <v>7581600</v>
      </c>
      <c r="H17" s="49">
        <v>7581600</v>
      </c>
      <c r="I17" s="49"/>
      <c r="J17" s="43">
        <f t="shared" si="2"/>
        <v>0</v>
      </c>
      <c r="K17" s="50">
        <v>44666</v>
      </c>
      <c r="L17" s="94" t="s">
        <v>19</v>
      </c>
    </row>
    <row r="18" spans="1:12" ht="16.5" customHeight="1" x14ac:dyDescent="0.35">
      <c r="A18" s="45"/>
      <c r="B18" s="54">
        <v>44628</v>
      </c>
      <c r="C18" s="53" t="s">
        <v>34</v>
      </c>
      <c r="D18" s="55"/>
      <c r="E18" s="52">
        <v>1020000</v>
      </c>
      <c r="F18" s="40">
        <f t="shared" si="3"/>
        <v>81600</v>
      </c>
      <c r="G18" s="41">
        <f t="shared" si="1"/>
        <v>1101600</v>
      </c>
      <c r="H18" s="49">
        <v>1101600</v>
      </c>
      <c r="I18" s="49"/>
      <c r="J18" s="43">
        <f t="shared" si="2"/>
        <v>0</v>
      </c>
      <c r="K18" s="50">
        <v>44666</v>
      </c>
      <c r="L18" s="94" t="s">
        <v>19</v>
      </c>
    </row>
    <row r="19" spans="1:12" ht="16.5" customHeight="1" x14ac:dyDescent="0.35">
      <c r="A19" s="45"/>
      <c r="B19" s="54">
        <v>44638</v>
      </c>
      <c r="C19" s="53" t="s">
        <v>35</v>
      </c>
      <c r="D19" s="55"/>
      <c r="E19" s="52">
        <v>10470000</v>
      </c>
      <c r="F19" s="40">
        <f t="shared" si="3"/>
        <v>837600</v>
      </c>
      <c r="G19" s="41">
        <f t="shared" si="1"/>
        <v>11307600</v>
      </c>
      <c r="H19" s="49">
        <v>11307600</v>
      </c>
      <c r="I19" s="49"/>
      <c r="J19" s="43">
        <f t="shared" si="2"/>
        <v>0</v>
      </c>
      <c r="K19" s="50">
        <v>44666</v>
      </c>
      <c r="L19" s="94" t="s">
        <v>19</v>
      </c>
    </row>
    <row r="20" spans="1:12" ht="16.5" customHeight="1" x14ac:dyDescent="0.35">
      <c r="A20" s="45"/>
      <c r="B20" s="54">
        <v>44666</v>
      </c>
      <c r="C20" s="53" t="s">
        <v>36</v>
      </c>
      <c r="D20" s="55"/>
      <c r="E20" s="52">
        <v>5880000</v>
      </c>
      <c r="F20" s="40">
        <f t="shared" si="3"/>
        <v>470400</v>
      </c>
      <c r="G20" s="41">
        <f t="shared" si="1"/>
        <v>6350400</v>
      </c>
      <c r="H20" s="49">
        <v>6350400</v>
      </c>
      <c r="I20" s="49"/>
      <c r="J20" s="43">
        <f t="shared" si="2"/>
        <v>0</v>
      </c>
      <c r="K20" s="50">
        <v>44694</v>
      </c>
      <c r="L20" s="94" t="s">
        <v>19</v>
      </c>
    </row>
    <row r="21" spans="1:12" ht="16.5" customHeight="1" x14ac:dyDescent="0.35">
      <c r="A21" s="45"/>
      <c r="B21" s="54">
        <v>44673</v>
      </c>
      <c r="C21" s="53" t="s">
        <v>37</v>
      </c>
      <c r="D21" s="55"/>
      <c r="E21" s="52">
        <v>5100000</v>
      </c>
      <c r="F21" s="40">
        <f t="shared" si="3"/>
        <v>408000</v>
      </c>
      <c r="G21" s="41">
        <f t="shared" si="1"/>
        <v>5508000</v>
      </c>
      <c r="H21" s="49">
        <v>5508000</v>
      </c>
      <c r="I21" s="49"/>
      <c r="J21" s="43">
        <f t="shared" si="2"/>
        <v>0</v>
      </c>
      <c r="K21" s="50">
        <v>44694</v>
      </c>
      <c r="L21" s="94" t="s">
        <v>19</v>
      </c>
    </row>
    <row r="22" spans="1:12" ht="16.5" customHeight="1" x14ac:dyDescent="0.35">
      <c r="A22" s="45"/>
      <c r="B22" s="54">
        <v>44680</v>
      </c>
      <c r="C22" s="53" t="s">
        <v>38</v>
      </c>
      <c r="D22" s="55"/>
      <c r="E22" s="52">
        <v>4800000</v>
      </c>
      <c r="F22" s="40">
        <f t="shared" si="3"/>
        <v>384000</v>
      </c>
      <c r="G22" s="41">
        <f t="shared" si="1"/>
        <v>5184000</v>
      </c>
      <c r="H22" s="49">
        <v>5184000</v>
      </c>
      <c r="I22" s="49"/>
      <c r="J22" s="43">
        <f t="shared" si="2"/>
        <v>0</v>
      </c>
      <c r="K22" s="50">
        <v>44727</v>
      </c>
      <c r="L22" s="94" t="s">
        <v>19</v>
      </c>
    </row>
    <row r="23" spans="1:12" ht="16.5" customHeight="1" x14ac:dyDescent="0.35">
      <c r="A23" s="45"/>
      <c r="B23" s="54">
        <v>44686</v>
      </c>
      <c r="C23" s="53" t="s">
        <v>39</v>
      </c>
      <c r="D23" s="55"/>
      <c r="E23" s="52">
        <v>4590000</v>
      </c>
      <c r="F23" s="40">
        <f t="shared" si="3"/>
        <v>367200</v>
      </c>
      <c r="G23" s="41">
        <f t="shared" si="1"/>
        <v>4957200</v>
      </c>
      <c r="H23" s="49">
        <v>4957200</v>
      </c>
      <c r="I23" s="49"/>
      <c r="J23" s="43">
        <f t="shared" si="2"/>
        <v>0</v>
      </c>
      <c r="K23" s="50">
        <v>44727</v>
      </c>
      <c r="L23" s="94" t="s">
        <v>19</v>
      </c>
    </row>
    <row r="24" spans="1:12" ht="16.5" customHeight="1" x14ac:dyDescent="0.35">
      <c r="A24" s="45"/>
      <c r="B24" s="54" t="s">
        <v>40</v>
      </c>
      <c r="C24" s="53" t="s">
        <v>41</v>
      </c>
      <c r="D24" s="55"/>
      <c r="E24" s="52">
        <v>2045000</v>
      </c>
      <c r="F24" s="40">
        <f t="shared" si="3"/>
        <v>163600</v>
      </c>
      <c r="G24" s="41">
        <f t="shared" si="1"/>
        <v>2208600</v>
      </c>
      <c r="H24" s="49">
        <v>2208600</v>
      </c>
      <c r="I24" s="49"/>
      <c r="J24" s="43">
        <f t="shared" si="2"/>
        <v>0</v>
      </c>
      <c r="K24" s="50">
        <v>44727</v>
      </c>
      <c r="L24" s="94"/>
    </row>
    <row r="25" spans="1:12" ht="16.5" customHeight="1" x14ac:dyDescent="0.35">
      <c r="A25" s="45"/>
      <c r="B25" s="54" t="s">
        <v>42</v>
      </c>
      <c r="C25" s="53" t="s">
        <v>43</v>
      </c>
      <c r="D25" s="55"/>
      <c r="E25" s="52">
        <v>2880000</v>
      </c>
      <c r="F25" s="40">
        <f t="shared" si="3"/>
        <v>230400</v>
      </c>
      <c r="G25" s="41">
        <f t="shared" si="1"/>
        <v>3110400</v>
      </c>
      <c r="H25" s="49">
        <v>3110400</v>
      </c>
      <c r="I25" s="49"/>
      <c r="J25" s="43">
        <f t="shared" si="2"/>
        <v>0</v>
      </c>
      <c r="K25" s="50">
        <v>44727</v>
      </c>
      <c r="L25" s="94"/>
    </row>
    <row r="26" spans="1:12" ht="16.5" customHeight="1" x14ac:dyDescent="0.35">
      <c r="A26" s="45"/>
      <c r="B26" s="54" t="s">
        <v>42</v>
      </c>
      <c r="C26" s="53" t="s">
        <v>44</v>
      </c>
      <c r="D26" s="55"/>
      <c r="E26" s="52">
        <v>6489000</v>
      </c>
      <c r="F26" s="40">
        <f t="shared" si="3"/>
        <v>519120</v>
      </c>
      <c r="G26" s="41">
        <f t="shared" si="1"/>
        <v>7008120</v>
      </c>
      <c r="H26" s="49">
        <v>7008120</v>
      </c>
      <c r="I26" s="49"/>
      <c r="J26" s="43">
        <f t="shared" si="2"/>
        <v>0</v>
      </c>
      <c r="K26" s="50">
        <v>44727</v>
      </c>
      <c r="L26" s="94"/>
    </row>
    <row r="27" spans="1:12" ht="16.5" customHeight="1" x14ac:dyDescent="0.35">
      <c r="A27" s="45"/>
      <c r="B27" s="54" t="s">
        <v>45</v>
      </c>
      <c r="C27" s="53" t="s">
        <v>46</v>
      </c>
      <c r="D27" s="55"/>
      <c r="E27" s="52">
        <v>7560000</v>
      </c>
      <c r="F27" s="40">
        <f t="shared" si="3"/>
        <v>604800</v>
      </c>
      <c r="G27" s="41">
        <f t="shared" si="1"/>
        <v>8164800</v>
      </c>
      <c r="H27" s="49">
        <v>8164800</v>
      </c>
      <c r="I27" s="49"/>
      <c r="J27" s="43">
        <f t="shared" si="2"/>
        <v>0</v>
      </c>
      <c r="K27" s="50">
        <v>44757</v>
      </c>
      <c r="L27" s="94"/>
    </row>
    <row r="28" spans="1:12" ht="16.5" customHeight="1" x14ac:dyDescent="0.35">
      <c r="A28" s="45"/>
      <c r="B28" s="54" t="s">
        <v>47</v>
      </c>
      <c r="C28" s="53" t="s">
        <v>48</v>
      </c>
      <c r="D28" s="55"/>
      <c r="E28" s="52">
        <v>6489000</v>
      </c>
      <c r="F28" s="40">
        <f t="shared" si="3"/>
        <v>519120</v>
      </c>
      <c r="G28" s="41">
        <f t="shared" si="1"/>
        <v>7008120</v>
      </c>
      <c r="H28" s="49">
        <v>7008120</v>
      </c>
      <c r="I28" s="49"/>
      <c r="J28" s="43">
        <f t="shared" si="2"/>
        <v>0</v>
      </c>
      <c r="K28" s="50">
        <v>44757</v>
      </c>
      <c r="L28" s="94"/>
    </row>
    <row r="29" spans="1:12" ht="16.5" customHeight="1" x14ac:dyDescent="0.35">
      <c r="A29" s="45"/>
      <c r="B29" s="54" t="s">
        <v>47</v>
      </c>
      <c r="C29" s="53" t="s">
        <v>49</v>
      </c>
      <c r="D29" s="55"/>
      <c r="E29" s="52">
        <v>2550000</v>
      </c>
      <c r="F29" s="40">
        <f t="shared" si="3"/>
        <v>204000</v>
      </c>
      <c r="G29" s="41">
        <f t="shared" si="1"/>
        <v>2754000</v>
      </c>
      <c r="H29" s="49">
        <v>2754000</v>
      </c>
      <c r="I29" s="49"/>
      <c r="J29" s="43">
        <f t="shared" si="2"/>
        <v>0</v>
      </c>
      <c r="K29" s="50">
        <v>44757</v>
      </c>
      <c r="L29" s="94"/>
    </row>
    <row r="30" spans="1:12" ht="16.5" customHeight="1" x14ac:dyDescent="0.35">
      <c r="A30" s="45"/>
      <c r="B30" s="54" t="s">
        <v>50</v>
      </c>
      <c r="C30" s="53" t="s">
        <v>51</v>
      </c>
      <c r="D30" s="55"/>
      <c r="E30" s="52">
        <v>4680000</v>
      </c>
      <c r="F30" s="40">
        <f t="shared" si="3"/>
        <v>374400</v>
      </c>
      <c r="G30" s="41">
        <f t="shared" si="1"/>
        <v>5054400</v>
      </c>
      <c r="H30" s="49">
        <v>5054400</v>
      </c>
      <c r="I30" s="49"/>
      <c r="J30" s="43">
        <f t="shared" si="2"/>
        <v>0</v>
      </c>
      <c r="K30" s="50">
        <v>44757</v>
      </c>
      <c r="L30" s="94"/>
    </row>
    <row r="31" spans="1:12" ht="16.5" customHeight="1" x14ac:dyDescent="0.35">
      <c r="A31" s="45"/>
      <c r="B31" s="54" t="s">
        <v>52</v>
      </c>
      <c r="C31" s="53" t="s">
        <v>53</v>
      </c>
      <c r="D31" s="55"/>
      <c r="E31" s="52">
        <v>5880000</v>
      </c>
      <c r="F31" s="40">
        <f t="shared" si="3"/>
        <v>470400</v>
      </c>
      <c r="G31" s="41">
        <f t="shared" si="1"/>
        <v>6350400</v>
      </c>
      <c r="H31" s="49">
        <v>6350400</v>
      </c>
      <c r="I31" s="49"/>
      <c r="J31" s="43">
        <f t="shared" si="2"/>
        <v>0</v>
      </c>
      <c r="K31" s="50">
        <v>44789</v>
      </c>
      <c r="L31" s="94"/>
    </row>
    <row r="32" spans="1:12" ht="16.5" customHeight="1" x14ac:dyDescent="0.35">
      <c r="A32" s="45"/>
      <c r="B32" s="54" t="s">
        <v>54</v>
      </c>
      <c r="C32" s="53" t="s">
        <v>55</v>
      </c>
      <c r="D32" s="55"/>
      <c r="E32" s="52">
        <v>5880000</v>
      </c>
      <c r="F32" s="40">
        <f t="shared" si="3"/>
        <v>470400</v>
      </c>
      <c r="G32" s="41">
        <f t="shared" si="1"/>
        <v>6350400</v>
      </c>
      <c r="H32" s="49">
        <v>6350400</v>
      </c>
      <c r="I32" s="49"/>
      <c r="J32" s="43">
        <f t="shared" si="2"/>
        <v>0</v>
      </c>
      <c r="K32" s="50">
        <v>44789</v>
      </c>
      <c r="L32" s="94"/>
    </row>
    <row r="33" spans="1:12" ht="16.5" customHeight="1" x14ac:dyDescent="0.35">
      <c r="A33" s="45"/>
      <c r="B33" s="54" t="s">
        <v>56</v>
      </c>
      <c r="C33" s="53" t="s">
        <v>57</v>
      </c>
      <c r="D33" s="55"/>
      <c r="E33" s="52">
        <v>2550000</v>
      </c>
      <c r="F33" s="40">
        <f t="shared" si="3"/>
        <v>204000</v>
      </c>
      <c r="G33" s="41">
        <f t="shared" si="1"/>
        <v>2754000</v>
      </c>
      <c r="H33" s="49">
        <v>2754000</v>
      </c>
      <c r="I33" s="49"/>
      <c r="J33" s="43">
        <f t="shared" si="2"/>
        <v>0</v>
      </c>
      <c r="K33" s="50">
        <v>44789</v>
      </c>
      <c r="L33" s="94"/>
    </row>
    <row r="34" spans="1:12" ht="16.5" customHeight="1" x14ac:dyDescent="0.35">
      <c r="A34" s="45"/>
      <c r="B34" s="54" t="s">
        <v>58</v>
      </c>
      <c r="C34" s="53" t="s">
        <v>59</v>
      </c>
      <c r="D34" s="55"/>
      <c r="E34" s="52">
        <v>7125000</v>
      </c>
      <c r="F34" s="40">
        <f t="shared" si="3"/>
        <v>570000</v>
      </c>
      <c r="G34" s="41">
        <f t="shared" si="1"/>
        <v>7695000</v>
      </c>
      <c r="H34" s="49">
        <v>7695000</v>
      </c>
      <c r="I34" s="49"/>
      <c r="J34" s="43">
        <f t="shared" si="2"/>
        <v>0</v>
      </c>
      <c r="K34" s="50">
        <v>44819</v>
      </c>
      <c r="L34" s="94"/>
    </row>
    <row r="35" spans="1:12" ht="16.5" customHeight="1" x14ac:dyDescent="0.35">
      <c r="A35" s="45"/>
      <c r="B35" s="54" t="s">
        <v>60</v>
      </c>
      <c r="C35" s="53" t="s">
        <v>61</v>
      </c>
      <c r="D35" s="55"/>
      <c r="E35" s="52">
        <v>3435000</v>
      </c>
      <c r="F35" s="40">
        <f t="shared" si="3"/>
        <v>274800</v>
      </c>
      <c r="G35" s="41">
        <f t="shared" si="1"/>
        <v>3709800</v>
      </c>
      <c r="H35" s="49">
        <v>3709800</v>
      </c>
      <c r="I35" s="49"/>
      <c r="J35" s="43">
        <f t="shared" si="2"/>
        <v>0</v>
      </c>
      <c r="K35" s="50">
        <v>44819</v>
      </c>
      <c r="L35" s="94"/>
    </row>
    <row r="36" spans="1:12" ht="16.5" customHeight="1" x14ac:dyDescent="0.35">
      <c r="A36" s="45"/>
      <c r="B36" s="54" t="s">
        <v>62</v>
      </c>
      <c r="C36" s="53" t="s">
        <v>63</v>
      </c>
      <c r="D36" s="55"/>
      <c r="E36" s="52">
        <v>3435000</v>
      </c>
      <c r="F36" s="40">
        <f t="shared" si="3"/>
        <v>274800</v>
      </c>
      <c r="G36" s="41">
        <f t="shared" si="1"/>
        <v>3709800</v>
      </c>
      <c r="H36" s="49">
        <v>3709800</v>
      </c>
      <c r="I36" s="49"/>
      <c r="J36" s="43">
        <f t="shared" si="2"/>
        <v>0</v>
      </c>
      <c r="K36" s="50">
        <v>44819</v>
      </c>
      <c r="L36" s="94"/>
    </row>
    <row r="37" spans="1:12" ht="16.5" customHeight="1" x14ac:dyDescent="0.35">
      <c r="A37" s="45"/>
      <c r="B37" s="54" t="s">
        <v>64</v>
      </c>
      <c r="C37" s="53" t="s">
        <v>65</v>
      </c>
      <c r="D37" s="55"/>
      <c r="E37" s="52">
        <v>5040000</v>
      </c>
      <c r="F37" s="40">
        <f t="shared" si="3"/>
        <v>403200</v>
      </c>
      <c r="G37" s="41">
        <f t="shared" si="1"/>
        <v>5443200</v>
      </c>
      <c r="H37" s="49">
        <v>5443200</v>
      </c>
      <c r="I37" s="49"/>
      <c r="J37" s="43">
        <f t="shared" si="2"/>
        <v>0</v>
      </c>
      <c r="K37" s="50">
        <v>44819</v>
      </c>
      <c r="L37" s="94"/>
    </row>
    <row r="38" spans="1:12" ht="16.5" customHeight="1" x14ac:dyDescent="0.35">
      <c r="A38" s="45"/>
      <c r="B38" s="54" t="s">
        <v>66</v>
      </c>
      <c r="C38" s="53" t="s">
        <v>67</v>
      </c>
      <c r="D38" s="55"/>
      <c r="E38" s="52">
        <v>4468500</v>
      </c>
      <c r="F38" s="40">
        <f t="shared" si="3"/>
        <v>357480</v>
      </c>
      <c r="G38" s="41">
        <f t="shared" si="1"/>
        <v>4825980</v>
      </c>
      <c r="H38" s="49">
        <v>4825980</v>
      </c>
      <c r="I38" s="49"/>
      <c r="J38" s="43">
        <f t="shared" si="2"/>
        <v>0</v>
      </c>
      <c r="K38" s="50">
        <v>44848</v>
      </c>
      <c r="L38" s="94" t="s">
        <v>19</v>
      </c>
    </row>
    <row r="39" spans="1:12" ht="16.5" customHeight="1" x14ac:dyDescent="0.35">
      <c r="A39" s="45"/>
      <c r="B39" s="54" t="s">
        <v>68</v>
      </c>
      <c r="C39" s="53" t="s">
        <v>69</v>
      </c>
      <c r="D39" s="55"/>
      <c r="E39" s="52">
        <v>21856500</v>
      </c>
      <c r="F39" s="40">
        <f t="shared" si="3"/>
        <v>1748520</v>
      </c>
      <c r="G39" s="41">
        <f t="shared" si="1"/>
        <v>23605020</v>
      </c>
      <c r="H39" s="49">
        <v>23605020</v>
      </c>
      <c r="I39" s="49"/>
      <c r="J39" s="43">
        <f t="shared" si="2"/>
        <v>0</v>
      </c>
      <c r="K39" s="50">
        <v>44848</v>
      </c>
      <c r="L39" s="94" t="s">
        <v>19</v>
      </c>
    </row>
    <row r="40" spans="1:12" ht="16.5" customHeight="1" x14ac:dyDescent="0.35">
      <c r="A40" s="45"/>
      <c r="B40" s="54" t="s">
        <v>70</v>
      </c>
      <c r="C40" s="53" t="s">
        <v>71</v>
      </c>
      <c r="D40" s="55"/>
      <c r="E40" s="52">
        <v>14904000</v>
      </c>
      <c r="F40" s="40">
        <f t="shared" si="3"/>
        <v>1192320</v>
      </c>
      <c r="G40" s="41">
        <f t="shared" si="1"/>
        <v>16096320</v>
      </c>
      <c r="H40" s="49">
        <v>16096320</v>
      </c>
      <c r="I40" s="49"/>
      <c r="J40" s="43">
        <f t="shared" si="2"/>
        <v>0</v>
      </c>
      <c r="K40" s="50">
        <v>44848</v>
      </c>
      <c r="L40" s="94" t="s">
        <v>19</v>
      </c>
    </row>
    <row r="41" spans="1:12" ht="16.5" customHeight="1" x14ac:dyDescent="0.35">
      <c r="A41" s="45"/>
      <c r="B41" s="54" t="s">
        <v>72</v>
      </c>
      <c r="C41" s="53" t="s">
        <v>73</v>
      </c>
      <c r="D41" s="55"/>
      <c r="E41" s="52">
        <v>15395000</v>
      </c>
      <c r="F41" s="40">
        <f t="shared" si="3"/>
        <v>1231600</v>
      </c>
      <c r="G41" s="41">
        <f t="shared" si="1"/>
        <v>16626600</v>
      </c>
      <c r="H41" s="49">
        <v>16626600</v>
      </c>
      <c r="I41" s="49"/>
      <c r="J41" s="43">
        <f t="shared" si="2"/>
        <v>0</v>
      </c>
      <c r="K41" s="50">
        <v>44910</v>
      </c>
      <c r="L41" s="94"/>
    </row>
    <row r="42" spans="1:12" ht="16.5" customHeight="1" x14ac:dyDescent="0.35">
      <c r="A42" s="45"/>
      <c r="B42" s="54" t="s">
        <v>74</v>
      </c>
      <c r="C42" s="53" t="s">
        <v>75</v>
      </c>
      <c r="D42" s="55"/>
      <c r="E42" s="52">
        <v>3590000</v>
      </c>
      <c r="F42" s="40">
        <f t="shared" si="3"/>
        <v>287200</v>
      </c>
      <c r="G42" s="41">
        <f t="shared" si="1"/>
        <v>3877200</v>
      </c>
      <c r="H42" s="49">
        <v>3877200</v>
      </c>
      <c r="I42" s="49"/>
      <c r="J42" s="43">
        <f t="shared" si="2"/>
        <v>0</v>
      </c>
      <c r="K42" s="50">
        <v>44890</v>
      </c>
      <c r="L42" s="94"/>
    </row>
    <row r="43" spans="1:12" ht="16.5" customHeight="1" x14ac:dyDescent="0.35">
      <c r="A43" s="45"/>
      <c r="B43" s="54" t="s">
        <v>76</v>
      </c>
      <c r="C43" s="53" t="s">
        <v>77</v>
      </c>
      <c r="D43" s="55"/>
      <c r="E43" s="52">
        <v>3555000</v>
      </c>
      <c r="F43" s="40">
        <f t="shared" si="3"/>
        <v>284400</v>
      </c>
      <c r="G43" s="41">
        <f t="shared" si="1"/>
        <v>3839400</v>
      </c>
      <c r="H43" s="49">
        <v>3839400</v>
      </c>
      <c r="I43" s="49"/>
      <c r="J43" s="43">
        <f t="shared" si="2"/>
        <v>0</v>
      </c>
      <c r="K43" s="50">
        <v>44890</v>
      </c>
      <c r="L43" s="94" t="s">
        <v>19</v>
      </c>
    </row>
    <row r="44" spans="1:12" ht="16.5" customHeight="1" x14ac:dyDescent="0.35">
      <c r="A44" s="45"/>
      <c r="B44" s="54" t="s">
        <v>78</v>
      </c>
      <c r="C44" s="53" t="s">
        <v>79</v>
      </c>
      <c r="D44" s="55"/>
      <c r="E44" s="52">
        <v>3045000</v>
      </c>
      <c r="F44" s="40">
        <f t="shared" si="3"/>
        <v>243600</v>
      </c>
      <c r="G44" s="41">
        <f t="shared" si="1"/>
        <v>3288600</v>
      </c>
      <c r="H44" s="49">
        <v>3288600</v>
      </c>
      <c r="I44" s="49"/>
      <c r="J44" s="43">
        <f t="shared" si="2"/>
        <v>0</v>
      </c>
      <c r="K44" s="50">
        <v>44890</v>
      </c>
      <c r="L44" s="94" t="s">
        <v>19</v>
      </c>
    </row>
    <row r="45" spans="1:12" ht="16.5" customHeight="1" x14ac:dyDescent="0.35">
      <c r="A45" s="45"/>
      <c r="B45" s="54" t="s">
        <v>80</v>
      </c>
      <c r="C45" s="53" t="s">
        <v>81</v>
      </c>
      <c r="D45" s="55"/>
      <c r="E45" s="52">
        <v>4665000</v>
      </c>
      <c r="F45" s="40">
        <f t="shared" si="3"/>
        <v>373200</v>
      </c>
      <c r="G45" s="41">
        <f t="shared" si="1"/>
        <v>5038200</v>
      </c>
      <c r="H45" s="49">
        <v>5038200</v>
      </c>
      <c r="I45" s="49"/>
      <c r="J45" s="43">
        <f t="shared" si="2"/>
        <v>0</v>
      </c>
      <c r="K45" s="50">
        <v>44890</v>
      </c>
      <c r="L45" s="94" t="s">
        <v>19</v>
      </c>
    </row>
    <row r="46" spans="1:12" ht="16.5" customHeight="1" x14ac:dyDescent="0.35">
      <c r="A46" s="45"/>
      <c r="B46" s="54" t="s">
        <v>82</v>
      </c>
      <c r="C46" s="56" t="s">
        <v>83</v>
      </c>
      <c r="D46" s="55"/>
      <c r="E46" s="52">
        <v>4692000</v>
      </c>
      <c r="F46" s="40">
        <f t="shared" si="3"/>
        <v>375360</v>
      </c>
      <c r="G46" s="41">
        <f t="shared" si="1"/>
        <v>5067360</v>
      </c>
      <c r="H46" s="49">
        <v>5067360</v>
      </c>
      <c r="I46" s="49"/>
      <c r="J46" s="43">
        <f t="shared" si="2"/>
        <v>0</v>
      </c>
      <c r="K46" s="50">
        <v>44910</v>
      </c>
      <c r="L46" s="94" t="s">
        <v>19</v>
      </c>
    </row>
    <row r="47" spans="1:12" ht="16.5" customHeight="1" x14ac:dyDescent="0.35">
      <c r="A47" s="45"/>
      <c r="B47" s="54" t="s">
        <v>84</v>
      </c>
      <c r="C47" s="56" t="s">
        <v>85</v>
      </c>
      <c r="D47" s="55"/>
      <c r="E47" s="52">
        <v>2271000</v>
      </c>
      <c r="F47" s="40">
        <f t="shared" si="3"/>
        <v>181680</v>
      </c>
      <c r="G47" s="41">
        <f t="shared" si="1"/>
        <v>2452680</v>
      </c>
      <c r="H47" s="57">
        <v>2452680</v>
      </c>
      <c r="I47" s="49"/>
      <c r="J47" s="43">
        <f t="shared" si="2"/>
        <v>0</v>
      </c>
      <c r="K47" s="50">
        <v>44915</v>
      </c>
      <c r="L47" s="94" t="s">
        <v>19</v>
      </c>
    </row>
    <row r="48" spans="1:12" ht="16.5" customHeight="1" x14ac:dyDescent="0.35">
      <c r="A48" s="45"/>
      <c r="B48" s="54" t="s">
        <v>86</v>
      </c>
      <c r="C48" s="56" t="s">
        <v>87</v>
      </c>
      <c r="D48" s="55"/>
      <c r="E48" s="52">
        <v>11560500</v>
      </c>
      <c r="F48" s="40">
        <f t="shared" si="3"/>
        <v>924840</v>
      </c>
      <c r="G48" s="41">
        <f t="shared" si="1"/>
        <v>12485340</v>
      </c>
      <c r="H48" s="57">
        <v>12485340</v>
      </c>
      <c r="I48" s="49"/>
      <c r="J48" s="43">
        <f t="shared" si="2"/>
        <v>0</v>
      </c>
      <c r="K48" s="50">
        <v>44915</v>
      </c>
      <c r="L48" s="94" t="s">
        <v>19</v>
      </c>
    </row>
    <row r="49" spans="1:12" ht="16.5" customHeight="1" x14ac:dyDescent="0.3">
      <c r="A49" s="58"/>
      <c r="B49" s="54" t="s">
        <v>86</v>
      </c>
      <c r="C49" s="53" t="s">
        <v>88</v>
      </c>
      <c r="D49" s="53"/>
      <c r="E49" s="52">
        <v>1728000</v>
      </c>
      <c r="F49" s="40"/>
      <c r="G49" s="41"/>
      <c r="H49" s="49"/>
      <c r="I49" s="49"/>
      <c r="J49" s="43">
        <f t="shared" si="2"/>
        <v>0</v>
      </c>
      <c r="K49" s="50" t="s">
        <v>89</v>
      </c>
      <c r="L49" s="94"/>
    </row>
    <row r="50" spans="1:12" ht="16.5" customHeight="1" x14ac:dyDescent="0.35">
      <c r="A50" s="45"/>
      <c r="B50" s="54" t="s">
        <v>86</v>
      </c>
      <c r="C50" s="56" t="s">
        <v>90</v>
      </c>
      <c r="D50" s="55" t="s">
        <v>91</v>
      </c>
      <c r="E50" s="52">
        <v>1840500</v>
      </c>
      <c r="F50" s="40">
        <f t="shared" si="3"/>
        <v>147240</v>
      </c>
      <c r="G50" s="41">
        <f t="shared" si="1"/>
        <v>1987740</v>
      </c>
      <c r="H50" s="49">
        <v>1987740</v>
      </c>
      <c r="I50" s="49"/>
      <c r="J50" s="43">
        <f t="shared" si="2"/>
        <v>0</v>
      </c>
      <c r="K50" s="50">
        <v>44910</v>
      </c>
      <c r="L50" s="94" t="s">
        <v>19</v>
      </c>
    </row>
    <row r="51" spans="1:12" ht="16.5" customHeight="1" x14ac:dyDescent="0.35">
      <c r="A51" s="45"/>
      <c r="B51" s="54" t="s">
        <v>86</v>
      </c>
      <c r="C51" s="56" t="s">
        <v>92</v>
      </c>
      <c r="D51" s="55"/>
      <c r="E51" s="52">
        <v>2160000</v>
      </c>
      <c r="F51" s="40">
        <f t="shared" si="3"/>
        <v>172800</v>
      </c>
      <c r="G51" s="41">
        <f t="shared" si="1"/>
        <v>2332800</v>
      </c>
      <c r="H51" s="49">
        <v>2332800</v>
      </c>
      <c r="I51" s="49"/>
      <c r="J51" s="43">
        <f t="shared" si="2"/>
        <v>0</v>
      </c>
      <c r="K51" s="50">
        <v>44910</v>
      </c>
      <c r="L51" s="94" t="s">
        <v>19</v>
      </c>
    </row>
    <row r="52" spans="1:12" ht="16.5" customHeight="1" x14ac:dyDescent="0.35">
      <c r="A52" s="45"/>
      <c r="B52" s="54" t="s">
        <v>93</v>
      </c>
      <c r="C52" s="56" t="s">
        <v>94</v>
      </c>
      <c r="D52" s="55"/>
      <c r="E52" s="52">
        <v>1768500</v>
      </c>
      <c r="F52" s="40">
        <f t="shared" si="3"/>
        <v>141480</v>
      </c>
      <c r="G52" s="41">
        <f t="shared" si="1"/>
        <v>1909980</v>
      </c>
      <c r="H52" s="49">
        <v>1909980</v>
      </c>
      <c r="I52" s="49"/>
      <c r="J52" s="43">
        <f t="shared" si="2"/>
        <v>0</v>
      </c>
      <c r="K52" s="50">
        <v>44910</v>
      </c>
      <c r="L52" s="94" t="s">
        <v>19</v>
      </c>
    </row>
    <row r="53" spans="1:12" ht="16.5" customHeight="1" x14ac:dyDescent="0.35">
      <c r="A53" s="45"/>
      <c r="B53" s="54" t="s">
        <v>93</v>
      </c>
      <c r="C53" s="56" t="s">
        <v>95</v>
      </c>
      <c r="D53" s="55"/>
      <c r="E53" s="52">
        <v>2745000</v>
      </c>
      <c r="F53" s="40">
        <f t="shared" si="3"/>
        <v>219600</v>
      </c>
      <c r="G53" s="41">
        <f t="shared" si="1"/>
        <v>2964600</v>
      </c>
      <c r="H53" s="49">
        <v>2964600</v>
      </c>
      <c r="I53" s="49"/>
      <c r="J53" s="43">
        <f t="shared" si="2"/>
        <v>0</v>
      </c>
      <c r="K53" s="50">
        <v>44910</v>
      </c>
      <c r="L53" s="94" t="s">
        <v>19</v>
      </c>
    </row>
    <row r="54" spans="1:12" ht="16.5" customHeight="1" x14ac:dyDescent="0.35">
      <c r="A54" s="45"/>
      <c r="B54" s="54" t="s">
        <v>96</v>
      </c>
      <c r="C54" s="56" t="s">
        <v>97</v>
      </c>
      <c r="D54" s="55"/>
      <c r="E54" s="52">
        <v>2550000</v>
      </c>
      <c r="F54" s="40">
        <f t="shared" si="3"/>
        <v>204000</v>
      </c>
      <c r="G54" s="41">
        <f t="shared" si="1"/>
        <v>2754000</v>
      </c>
      <c r="H54" s="57">
        <v>2754000</v>
      </c>
      <c r="I54" s="49"/>
      <c r="J54" s="43">
        <f t="shared" si="2"/>
        <v>0</v>
      </c>
      <c r="K54" s="50">
        <v>44915</v>
      </c>
      <c r="L54" s="94" t="s">
        <v>19</v>
      </c>
    </row>
    <row r="55" spans="1:12" ht="16.5" customHeight="1" x14ac:dyDescent="0.35">
      <c r="A55" s="45"/>
      <c r="B55" s="54" t="s">
        <v>98</v>
      </c>
      <c r="C55" s="53" t="s">
        <v>99</v>
      </c>
      <c r="D55" s="55"/>
      <c r="E55" s="52">
        <v>4590000</v>
      </c>
      <c r="F55" s="40">
        <f t="shared" si="3"/>
        <v>367200</v>
      </c>
      <c r="G55" s="41">
        <f t="shared" si="1"/>
        <v>4957200</v>
      </c>
      <c r="H55" s="57">
        <v>4957200</v>
      </c>
      <c r="I55" s="49"/>
      <c r="J55" s="43">
        <f t="shared" si="2"/>
        <v>0</v>
      </c>
      <c r="K55" s="50">
        <v>44915</v>
      </c>
      <c r="L55" s="94" t="s">
        <v>19</v>
      </c>
    </row>
    <row r="56" spans="1:12" ht="16.5" customHeight="1" x14ac:dyDescent="0.35">
      <c r="A56" s="45"/>
      <c r="B56" s="54" t="s">
        <v>98</v>
      </c>
      <c r="C56" s="53" t="s">
        <v>100</v>
      </c>
      <c r="D56" s="55"/>
      <c r="E56" s="52">
        <v>5400000</v>
      </c>
      <c r="F56" s="40">
        <f t="shared" si="3"/>
        <v>432000</v>
      </c>
      <c r="G56" s="41">
        <f t="shared" si="1"/>
        <v>5832000</v>
      </c>
      <c r="H56" s="49">
        <v>5832000</v>
      </c>
      <c r="I56" s="49"/>
      <c r="J56" s="43">
        <f t="shared" si="2"/>
        <v>0</v>
      </c>
      <c r="K56" s="50">
        <v>44910</v>
      </c>
      <c r="L56" s="94" t="s">
        <v>19</v>
      </c>
    </row>
    <row r="57" spans="1:12" ht="16.5" customHeight="1" x14ac:dyDescent="0.35">
      <c r="A57" s="45"/>
      <c r="B57" s="54" t="s">
        <v>101</v>
      </c>
      <c r="C57" s="53" t="s">
        <v>102</v>
      </c>
      <c r="D57" s="55"/>
      <c r="E57" s="52">
        <v>2045000</v>
      </c>
      <c r="F57" s="40">
        <f t="shared" si="3"/>
        <v>163600</v>
      </c>
      <c r="G57" s="41">
        <f t="shared" si="1"/>
        <v>2208600</v>
      </c>
      <c r="H57" s="57">
        <v>2208600</v>
      </c>
      <c r="I57" s="49"/>
      <c r="J57" s="43">
        <f t="shared" si="2"/>
        <v>0</v>
      </c>
      <c r="K57" s="50">
        <v>44915</v>
      </c>
      <c r="L57" s="94" t="s">
        <v>19</v>
      </c>
    </row>
    <row r="58" spans="1:12" ht="16.5" customHeight="1" x14ac:dyDescent="0.35">
      <c r="A58" s="45"/>
      <c r="B58" s="54" t="s">
        <v>101</v>
      </c>
      <c r="C58" s="53" t="s">
        <v>103</v>
      </c>
      <c r="D58" s="55"/>
      <c r="E58" s="52">
        <v>11458800</v>
      </c>
      <c r="F58" s="40">
        <f t="shared" si="3"/>
        <v>916704</v>
      </c>
      <c r="G58" s="41">
        <f t="shared" si="1"/>
        <v>12375504</v>
      </c>
      <c r="H58" s="57">
        <v>12375504</v>
      </c>
      <c r="I58" s="49"/>
      <c r="J58" s="43">
        <f t="shared" si="2"/>
        <v>0</v>
      </c>
      <c r="K58" s="50">
        <v>44915</v>
      </c>
      <c r="L58" s="94" t="s">
        <v>19</v>
      </c>
    </row>
    <row r="59" spans="1:12" ht="16.5" customHeight="1" x14ac:dyDescent="0.35">
      <c r="A59" s="45"/>
      <c r="B59" s="54" t="s">
        <v>101</v>
      </c>
      <c r="C59" s="53" t="s">
        <v>104</v>
      </c>
      <c r="D59" s="55"/>
      <c r="E59" s="52">
        <v>15328800</v>
      </c>
      <c r="F59" s="40">
        <f t="shared" si="3"/>
        <v>1226304</v>
      </c>
      <c r="G59" s="41">
        <f t="shared" si="1"/>
        <v>16555104</v>
      </c>
      <c r="H59" s="57">
        <v>16555104</v>
      </c>
      <c r="I59" s="49"/>
      <c r="J59" s="43">
        <f t="shared" si="2"/>
        <v>0</v>
      </c>
      <c r="K59" s="50">
        <v>44915</v>
      </c>
      <c r="L59" s="94" t="s">
        <v>19</v>
      </c>
    </row>
    <row r="60" spans="1:12" ht="16.5" customHeight="1" x14ac:dyDescent="0.35">
      <c r="A60" s="45"/>
      <c r="B60" s="54" t="s">
        <v>105</v>
      </c>
      <c r="C60" s="53" t="s">
        <v>106</v>
      </c>
      <c r="D60" s="55"/>
      <c r="E60" s="52">
        <v>43505000</v>
      </c>
      <c r="F60" s="40">
        <f t="shared" si="3"/>
        <v>3480400</v>
      </c>
      <c r="G60" s="41">
        <f t="shared" si="1"/>
        <v>46985400</v>
      </c>
      <c r="H60" s="57">
        <v>46985400</v>
      </c>
      <c r="I60" s="49"/>
      <c r="J60" s="43">
        <f t="shared" si="2"/>
        <v>0</v>
      </c>
      <c r="K60" s="50">
        <v>44940</v>
      </c>
      <c r="L60" s="94" t="s">
        <v>19</v>
      </c>
    </row>
    <row r="61" spans="1:12" ht="16.5" customHeight="1" x14ac:dyDescent="0.35">
      <c r="A61" s="45"/>
      <c r="B61" s="54" t="s">
        <v>107</v>
      </c>
      <c r="C61" s="53" t="s">
        <v>108</v>
      </c>
      <c r="D61" s="55"/>
      <c r="E61" s="52">
        <v>17828000</v>
      </c>
      <c r="F61" s="40">
        <f t="shared" si="3"/>
        <v>1426240</v>
      </c>
      <c r="G61" s="41">
        <f t="shared" si="1"/>
        <v>19254240</v>
      </c>
      <c r="H61" s="57">
        <v>19254240</v>
      </c>
      <c r="I61" s="49"/>
      <c r="J61" s="43">
        <f t="shared" si="2"/>
        <v>0</v>
      </c>
      <c r="K61" s="50">
        <v>45000</v>
      </c>
      <c r="L61" s="94" t="s">
        <v>19</v>
      </c>
    </row>
    <row r="62" spans="1:12" ht="16.5" customHeight="1" x14ac:dyDescent="0.35">
      <c r="A62" s="45"/>
      <c r="B62" s="54" t="s">
        <v>109</v>
      </c>
      <c r="C62" s="53" t="s">
        <v>110</v>
      </c>
      <c r="D62" s="55"/>
      <c r="E62" s="52">
        <v>7935000</v>
      </c>
      <c r="F62" s="40">
        <f t="shared" si="3"/>
        <v>634800</v>
      </c>
      <c r="G62" s="41">
        <f t="shared" si="1"/>
        <v>8569800</v>
      </c>
      <c r="H62" s="57">
        <v>8569800</v>
      </c>
      <c r="I62" s="49"/>
      <c r="J62" s="43">
        <f t="shared" si="2"/>
        <v>0</v>
      </c>
      <c r="K62" s="50">
        <v>44940</v>
      </c>
      <c r="L62" s="94" t="s">
        <v>19</v>
      </c>
    </row>
    <row r="63" spans="1:12" ht="16.5" customHeight="1" x14ac:dyDescent="0.35">
      <c r="A63" s="45"/>
      <c r="B63" s="54" t="s">
        <v>111</v>
      </c>
      <c r="C63" s="53" t="s">
        <v>112</v>
      </c>
      <c r="D63" s="55"/>
      <c r="E63" s="52">
        <v>48337200</v>
      </c>
      <c r="F63" s="40">
        <f t="shared" si="3"/>
        <v>3866976</v>
      </c>
      <c r="G63" s="41">
        <f t="shared" si="1"/>
        <v>52204176</v>
      </c>
      <c r="H63" s="57">
        <v>52204176</v>
      </c>
      <c r="I63" s="49"/>
      <c r="J63" s="43">
        <f t="shared" si="2"/>
        <v>0</v>
      </c>
      <c r="K63" s="50">
        <v>44939</v>
      </c>
      <c r="L63" s="94" t="s">
        <v>19</v>
      </c>
    </row>
    <row r="64" spans="1:12" ht="16.5" customHeight="1" x14ac:dyDescent="0.35">
      <c r="A64" s="45"/>
      <c r="B64" s="54" t="s">
        <v>111</v>
      </c>
      <c r="C64" s="53" t="s">
        <v>113</v>
      </c>
      <c r="D64" s="55"/>
      <c r="E64" s="52">
        <v>3264000</v>
      </c>
      <c r="F64" s="40">
        <f t="shared" si="3"/>
        <v>261120</v>
      </c>
      <c r="G64" s="41">
        <f t="shared" si="1"/>
        <v>3525120</v>
      </c>
      <c r="H64" s="57">
        <v>3525120</v>
      </c>
      <c r="I64" s="49"/>
      <c r="J64" s="43">
        <f t="shared" si="2"/>
        <v>0</v>
      </c>
      <c r="K64" s="50">
        <v>44940</v>
      </c>
      <c r="L64" s="94" t="s">
        <v>19</v>
      </c>
    </row>
    <row r="65" spans="1:12" ht="16.5" customHeight="1" x14ac:dyDescent="0.35">
      <c r="A65" s="45"/>
      <c r="B65" s="54" t="s">
        <v>114</v>
      </c>
      <c r="C65" s="56" t="s">
        <v>115</v>
      </c>
      <c r="D65" s="55"/>
      <c r="E65" s="52">
        <v>37491500</v>
      </c>
      <c r="F65" s="40">
        <f t="shared" si="3"/>
        <v>2999320</v>
      </c>
      <c r="G65" s="41">
        <f t="shared" si="1"/>
        <v>40490820</v>
      </c>
      <c r="H65" s="57">
        <v>40490820</v>
      </c>
      <c r="I65" s="49"/>
      <c r="J65" s="43">
        <f t="shared" si="2"/>
        <v>0</v>
      </c>
      <c r="K65" s="50">
        <v>44940</v>
      </c>
      <c r="L65" s="94" t="s">
        <v>19</v>
      </c>
    </row>
    <row r="66" spans="1:12" ht="16.5" customHeight="1" x14ac:dyDescent="0.35">
      <c r="A66" s="45"/>
      <c r="B66" s="54" t="s">
        <v>116</v>
      </c>
      <c r="C66" s="53" t="s">
        <v>117</v>
      </c>
      <c r="D66" s="55"/>
      <c r="E66" s="52">
        <v>27547200</v>
      </c>
      <c r="F66" s="40">
        <f t="shared" si="3"/>
        <v>2203776</v>
      </c>
      <c r="G66" s="41">
        <f t="shared" si="1"/>
        <v>29750976</v>
      </c>
      <c r="H66" s="49">
        <v>29750976</v>
      </c>
      <c r="I66" s="49"/>
      <c r="J66" s="43">
        <f t="shared" si="2"/>
        <v>0</v>
      </c>
      <c r="K66" s="50">
        <v>44940</v>
      </c>
      <c r="L66" s="94" t="s">
        <v>19</v>
      </c>
    </row>
    <row r="67" spans="1:12" ht="16.5" customHeight="1" x14ac:dyDescent="0.35">
      <c r="A67" s="45"/>
      <c r="B67" s="54" t="s">
        <v>116</v>
      </c>
      <c r="C67" s="53" t="s">
        <v>118</v>
      </c>
      <c r="D67" s="55"/>
      <c r="E67" s="52">
        <v>23885000</v>
      </c>
      <c r="F67" s="40">
        <f t="shared" si="3"/>
        <v>1910800</v>
      </c>
      <c r="G67" s="41">
        <f>E67+F67</f>
        <v>25795800</v>
      </c>
      <c r="H67" s="49">
        <v>25795800</v>
      </c>
      <c r="I67" s="49"/>
      <c r="J67" s="43">
        <f t="shared" si="2"/>
        <v>0</v>
      </c>
      <c r="K67" s="50">
        <v>44940</v>
      </c>
      <c r="L67" s="94" t="s">
        <v>19</v>
      </c>
    </row>
    <row r="68" spans="1:12" ht="16.5" customHeight="1" x14ac:dyDescent="0.35">
      <c r="A68" s="45"/>
      <c r="B68" s="54" t="s">
        <v>116</v>
      </c>
      <c r="C68" s="53" t="s">
        <v>119</v>
      </c>
      <c r="D68" s="55"/>
      <c r="E68" s="52">
        <v>45097200</v>
      </c>
      <c r="F68" s="40">
        <f t="shared" si="3"/>
        <v>3607776</v>
      </c>
      <c r="G68" s="41">
        <f t="shared" si="1"/>
        <v>48704976</v>
      </c>
      <c r="H68" s="49">
        <v>48704976</v>
      </c>
      <c r="I68" s="49"/>
      <c r="J68" s="43">
        <f t="shared" si="2"/>
        <v>0</v>
      </c>
      <c r="K68" s="50">
        <v>44940</v>
      </c>
      <c r="L68" s="94" t="s">
        <v>19</v>
      </c>
    </row>
    <row r="69" spans="1:12" ht="16.5" customHeight="1" x14ac:dyDescent="0.35">
      <c r="A69" s="45"/>
      <c r="B69" s="54" t="s">
        <v>120</v>
      </c>
      <c r="C69" s="56" t="s">
        <v>121</v>
      </c>
      <c r="D69" s="55"/>
      <c r="E69" s="52">
        <v>32794800</v>
      </c>
      <c r="F69" s="40">
        <f t="shared" si="3"/>
        <v>2623584</v>
      </c>
      <c r="G69" s="41">
        <f t="shared" si="1"/>
        <v>35418384</v>
      </c>
      <c r="H69" s="49">
        <v>35418384</v>
      </c>
      <c r="I69" s="49"/>
      <c r="J69" s="43">
        <f t="shared" si="2"/>
        <v>0</v>
      </c>
      <c r="K69" s="50">
        <v>44940</v>
      </c>
      <c r="L69" s="94" t="s">
        <v>19</v>
      </c>
    </row>
    <row r="70" spans="1:12" ht="16.5" customHeight="1" x14ac:dyDescent="0.35">
      <c r="A70" s="45"/>
      <c r="B70" s="54" t="s">
        <v>122</v>
      </c>
      <c r="C70" s="53" t="s">
        <v>123</v>
      </c>
      <c r="D70" s="55"/>
      <c r="E70" s="52">
        <v>43774800</v>
      </c>
      <c r="F70" s="40">
        <f t="shared" si="3"/>
        <v>3501984</v>
      </c>
      <c r="G70" s="41">
        <f t="shared" si="1"/>
        <v>47276784</v>
      </c>
      <c r="H70" s="49">
        <v>47276784</v>
      </c>
      <c r="I70" s="49"/>
      <c r="J70" s="43">
        <f t="shared" si="2"/>
        <v>0</v>
      </c>
      <c r="K70" s="50">
        <v>44940</v>
      </c>
      <c r="L70" s="94" t="s">
        <v>19</v>
      </c>
    </row>
    <row r="71" spans="1:12" ht="16.5" customHeight="1" x14ac:dyDescent="0.35">
      <c r="A71" s="45"/>
      <c r="B71" s="54" t="s">
        <v>122</v>
      </c>
      <c r="C71" s="56" t="s">
        <v>124</v>
      </c>
      <c r="D71" s="55"/>
      <c r="E71" s="52">
        <v>28374000</v>
      </c>
      <c r="F71" s="40">
        <f t="shared" si="3"/>
        <v>2269920</v>
      </c>
      <c r="G71" s="41">
        <f t="shared" si="1"/>
        <v>30643920</v>
      </c>
      <c r="H71" s="49">
        <v>30643920</v>
      </c>
      <c r="I71" s="49"/>
      <c r="J71" s="43">
        <f t="shared" si="2"/>
        <v>0</v>
      </c>
      <c r="K71" s="50">
        <v>44940</v>
      </c>
      <c r="L71" s="94" t="s">
        <v>19</v>
      </c>
    </row>
    <row r="72" spans="1:12" ht="16.5" customHeight="1" x14ac:dyDescent="0.35">
      <c r="A72" s="45"/>
      <c r="B72" s="54" t="s">
        <v>125</v>
      </c>
      <c r="C72" s="56" t="s">
        <v>126</v>
      </c>
      <c r="D72" s="55"/>
      <c r="E72" s="52">
        <v>4101000</v>
      </c>
      <c r="F72" s="40">
        <f t="shared" si="3"/>
        <v>328080</v>
      </c>
      <c r="G72" s="41">
        <f t="shared" si="1"/>
        <v>4429080</v>
      </c>
      <c r="H72" s="49">
        <v>4429080</v>
      </c>
      <c r="I72" s="49"/>
      <c r="J72" s="43">
        <f t="shared" si="2"/>
        <v>0</v>
      </c>
      <c r="K72" s="50">
        <v>44940</v>
      </c>
      <c r="L72" s="94" t="s">
        <v>19</v>
      </c>
    </row>
    <row r="73" spans="1:12" ht="16.5" customHeight="1" x14ac:dyDescent="0.35">
      <c r="A73" s="45"/>
      <c r="B73" s="54" t="s">
        <v>127</v>
      </c>
      <c r="C73" s="53" t="s">
        <v>128</v>
      </c>
      <c r="D73" s="55"/>
      <c r="E73" s="52">
        <v>52236000</v>
      </c>
      <c r="F73" s="40">
        <f t="shared" si="3"/>
        <v>4178880</v>
      </c>
      <c r="G73" s="41">
        <f t="shared" ref="G73:G136" si="4">E73+F73</f>
        <v>56414880</v>
      </c>
      <c r="H73" s="57">
        <v>56414880</v>
      </c>
      <c r="I73" s="49"/>
      <c r="J73" s="43">
        <f>G73-H73</f>
        <v>0</v>
      </c>
      <c r="K73" s="50">
        <v>44939</v>
      </c>
      <c r="L73" s="94" t="s">
        <v>19</v>
      </c>
    </row>
    <row r="74" spans="1:12" ht="16.5" customHeight="1" x14ac:dyDescent="0.3">
      <c r="A74" s="58"/>
      <c r="B74" s="54" t="s">
        <v>129</v>
      </c>
      <c r="C74" s="53" t="s">
        <v>130</v>
      </c>
      <c r="D74" s="53"/>
      <c r="E74" s="52">
        <v>18936000</v>
      </c>
      <c r="F74" s="40"/>
      <c r="G74" s="41"/>
      <c r="H74" s="57"/>
      <c r="I74" s="49"/>
      <c r="J74" s="43">
        <f t="shared" ref="J74:J137" si="5">G74-H74</f>
        <v>0</v>
      </c>
      <c r="K74" s="50" t="s">
        <v>131</v>
      </c>
      <c r="L74" s="94"/>
    </row>
    <row r="75" spans="1:12" ht="16.5" customHeight="1" x14ac:dyDescent="0.35">
      <c r="A75" s="45"/>
      <c r="B75" s="54">
        <v>44935</v>
      </c>
      <c r="C75" s="53" t="s">
        <v>132</v>
      </c>
      <c r="D75" s="55" t="s">
        <v>133</v>
      </c>
      <c r="E75" s="52">
        <v>15708000</v>
      </c>
      <c r="F75" s="40">
        <f t="shared" ref="F75:F104" si="6">+E75*0.1</f>
        <v>1570800</v>
      </c>
      <c r="G75" s="41">
        <f t="shared" si="4"/>
        <v>17278800</v>
      </c>
      <c r="H75" s="57">
        <v>17278800</v>
      </c>
      <c r="I75" s="49"/>
      <c r="J75" s="43">
        <f t="shared" si="5"/>
        <v>0</v>
      </c>
      <c r="K75" s="50">
        <v>45000</v>
      </c>
      <c r="L75" s="94"/>
    </row>
    <row r="76" spans="1:12" ht="16.5" customHeight="1" x14ac:dyDescent="0.35">
      <c r="A76" s="45"/>
      <c r="B76" s="54" t="s">
        <v>134</v>
      </c>
      <c r="C76" s="53" t="s">
        <v>135</v>
      </c>
      <c r="D76" s="55"/>
      <c r="E76" s="52">
        <v>6645000</v>
      </c>
      <c r="F76" s="40">
        <f t="shared" si="6"/>
        <v>664500</v>
      </c>
      <c r="G76" s="41">
        <f t="shared" si="4"/>
        <v>7309500</v>
      </c>
      <c r="H76" s="57">
        <v>7309500</v>
      </c>
      <c r="I76" s="49"/>
      <c r="J76" s="43">
        <f t="shared" si="5"/>
        <v>0</v>
      </c>
      <c r="K76" s="50">
        <v>45000</v>
      </c>
      <c r="L76" s="94"/>
    </row>
    <row r="77" spans="1:12" ht="16.5" customHeight="1" x14ac:dyDescent="0.35">
      <c r="A77" s="45"/>
      <c r="B77" s="54" t="s">
        <v>134</v>
      </c>
      <c r="C77" s="53" t="s">
        <v>136</v>
      </c>
      <c r="D77" s="55"/>
      <c r="E77" s="52">
        <v>24930000</v>
      </c>
      <c r="F77" s="40">
        <f t="shared" si="6"/>
        <v>2493000</v>
      </c>
      <c r="G77" s="41">
        <f t="shared" si="4"/>
        <v>27423000</v>
      </c>
      <c r="H77" s="57">
        <v>27423000</v>
      </c>
      <c r="I77" s="49"/>
      <c r="J77" s="43">
        <f t="shared" si="5"/>
        <v>0</v>
      </c>
      <c r="K77" s="50">
        <v>45000</v>
      </c>
      <c r="L77" s="94"/>
    </row>
    <row r="78" spans="1:12" ht="16.5" customHeight="1" x14ac:dyDescent="0.35">
      <c r="A78" s="45"/>
      <c r="B78" s="54" t="s">
        <v>134</v>
      </c>
      <c r="C78" s="53" t="s">
        <v>137</v>
      </c>
      <c r="D78" s="55"/>
      <c r="E78" s="52">
        <v>20916000</v>
      </c>
      <c r="F78" s="40">
        <f t="shared" si="6"/>
        <v>2091600</v>
      </c>
      <c r="G78" s="41">
        <f t="shared" si="4"/>
        <v>23007600</v>
      </c>
      <c r="H78" s="57">
        <v>23007600</v>
      </c>
      <c r="I78" s="49"/>
      <c r="J78" s="43">
        <f t="shared" si="5"/>
        <v>0</v>
      </c>
      <c r="K78" s="50">
        <v>45000</v>
      </c>
      <c r="L78" s="94"/>
    </row>
    <row r="79" spans="1:12" ht="16.5" customHeight="1" x14ac:dyDescent="0.35">
      <c r="A79" s="45"/>
      <c r="B79" s="54" t="s">
        <v>134</v>
      </c>
      <c r="C79" s="56" t="s">
        <v>138</v>
      </c>
      <c r="D79" s="55"/>
      <c r="E79" s="52">
        <v>8820000</v>
      </c>
      <c r="F79" s="40">
        <f t="shared" si="6"/>
        <v>882000</v>
      </c>
      <c r="G79" s="41">
        <f t="shared" si="4"/>
        <v>9702000</v>
      </c>
      <c r="H79" s="57">
        <v>9702000</v>
      </c>
      <c r="I79" s="49"/>
      <c r="J79" s="43">
        <f t="shared" si="5"/>
        <v>0</v>
      </c>
      <c r="K79" s="50">
        <v>45000</v>
      </c>
      <c r="L79" s="94"/>
    </row>
    <row r="80" spans="1:12" ht="16.5" customHeight="1" x14ac:dyDescent="0.35">
      <c r="A80" s="45"/>
      <c r="B80" s="54" t="s">
        <v>139</v>
      </c>
      <c r="C80" s="53" t="s">
        <v>140</v>
      </c>
      <c r="D80" s="55"/>
      <c r="E80" s="52">
        <v>9540000</v>
      </c>
      <c r="F80" s="40">
        <f t="shared" si="6"/>
        <v>954000</v>
      </c>
      <c r="G80" s="41">
        <f t="shared" si="4"/>
        <v>10494000</v>
      </c>
      <c r="H80" s="57">
        <v>10494000</v>
      </c>
      <c r="I80" s="49"/>
      <c r="J80" s="43">
        <f t="shared" si="5"/>
        <v>0</v>
      </c>
      <c r="K80" s="50">
        <v>45000</v>
      </c>
      <c r="L80" s="94"/>
    </row>
    <row r="81" spans="1:12" ht="16.5" customHeight="1" x14ac:dyDescent="0.35">
      <c r="A81" s="45"/>
      <c r="B81" s="54" t="s">
        <v>141</v>
      </c>
      <c r="C81" s="53" t="s">
        <v>142</v>
      </c>
      <c r="D81" s="55"/>
      <c r="E81" s="52">
        <v>13788000</v>
      </c>
      <c r="F81" s="40">
        <f t="shared" si="6"/>
        <v>1378800</v>
      </c>
      <c r="G81" s="41">
        <f t="shared" si="4"/>
        <v>15166800</v>
      </c>
      <c r="H81" s="57">
        <v>15166800</v>
      </c>
      <c r="I81" s="49"/>
      <c r="J81" s="43">
        <f t="shared" si="5"/>
        <v>0</v>
      </c>
      <c r="K81" s="50">
        <v>45000</v>
      </c>
      <c r="L81" s="94"/>
    </row>
    <row r="82" spans="1:12" ht="16.5" customHeight="1" x14ac:dyDescent="0.35">
      <c r="A82" s="45"/>
      <c r="B82" s="54" t="s">
        <v>141</v>
      </c>
      <c r="C82" s="53" t="s">
        <v>143</v>
      </c>
      <c r="D82" s="55"/>
      <c r="E82" s="52">
        <v>24103000</v>
      </c>
      <c r="F82" s="40">
        <f t="shared" si="6"/>
        <v>2410300</v>
      </c>
      <c r="G82" s="41">
        <f t="shared" si="4"/>
        <v>26513300</v>
      </c>
      <c r="H82" s="57">
        <v>26513300</v>
      </c>
      <c r="I82" s="49"/>
      <c r="J82" s="43">
        <f t="shared" si="5"/>
        <v>0</v>
      </c>
      <c r="K82" s="50">
        <v>45000</v>
      </c>
      <c r="L82" s="94"/>
    </row>
    <row r="83" spans="1:12" ht="16.5" customHeight="1" x14ac:dyDescent="0.35">
      <c r="A83" s="45"/>
      <c r="B83" s="54" t="s">
        <v>141</v>
      </c>
      <c r="C83" s="53" t="s">
        <v>144</v>
      </c>
      <c r="D83" s="55"/>
      <c r="E83" s="52">
        <v>20471000</v>
      </c>
      <c r="F83" s="40">
        <f t="shared" si="6"/>
        <v>2047100</v>
      </c>
      <c r="G83" s="41">
        <f t="shared" si="4"/>
        <v>22518100</v>
      </c>
      <c r="H83" s="57">
        <v>22518100</v>
      </c>
      <c r="I83" s="49"/>
      <c r="J83" s="43">
        <f t="shared" si="5"/>
        <v>0</v>
      </c>
      <c r="K83" s="50">
        <v>45000</v>
      </c>
      <c r="L83" s="94"/>
    </row>
    <row r="84" spans="1:12" ht="16.5" customHeight="1" x14ac:dyDescent="0.35">
      <c r="A84" s="45"/>
      <c r="B84" s="54" t="s">
        <v>141</v>
      </c>
      <c r="C84" s="53" t="s">
        <v>145</v>
      </c>
      <c r="D84" s="55"/>
      <c r="E84" s="52">
        <v>9576000</v>
      </c>
      <c r="F84" s="40">
        <f t="shared" si="6"/>
        <v>957600</v>
      </c>
      <c r="G84" s="41">
        <f t="shared" si="4"/>
        <v>10533600</v>
      </c>
      <c r="H84" s="57">
        <v>10533600</v>
      </c>
      <c r="I84" s="49"/>
      <c r="J84" s="43">
        <f t="shared" si="5"/>
        <v>0</v>
      </c>
      <c r="K84" s="50">
        <v>45000</v>
      </c>
      <c r="L84" s="94"/>
    </row>
    <row r="85" spans="1:12" ht="16.5" customHeight="1" x14ac:dyDescent="0.35">
      <c r="A85" s="45"/>
      <c r="B85" s="54">
        <v>44935</v>
      </c>
      <c r="C85" s="53" t="s">
        <v>146</v>
      </c>
      <c r="D85" s="55"/>
      <c r="E85" s="52">
        <v>1020000</v>
      </c>
      <c r="F85" s="40">
        <f t="shared" si="6"/>
        <v>102000</v>
      </c>
      <c r="G85" s="41">
        <f t="shared" si="4"/>
        <v>1122000</v>
      </c>
      <c r="H85" s="57">
        <v>1122000</v>
      </c>
      <c r="I85" s="49"/>
      <c r="J85" s="43">
        <f t="shared" si="5"/>
        <v>0</v>
      </c>
      <c r="K85" s="50">
        <v>45000</v>
      </c>
      <c r="L85" s="94"/>
    </row>
    <row r="86" spans="1:12" ht="16.5" customHeight="1" x14ac:dyDescent="0.35">
      <c r="A86" s="45"/>
      <c r="B86" s="54" t="s">
        <v>147</v>
      </c>
      <c r="C86" s="53" t="s">
        <v>148</v>
      </c>
      <c r="D86" s="55"/>
      <c r="E86" s="52">
        <v>10085000</v>
      </c>
      <c r="F86" s="40">
        <f t="shared" si="6"/>
        <v>1008500</v>
      </c>
      <c r="G86" s="41">
        <f t="shared" si="4"/>
        <v>11093500</v>
      </c>
      <c r="H86" s="49">
        <v>11093500</v>
      </c>
      <c r="I86" s="49"/>
      <c r="J86" s="43">
        <f t="shared" si="5"/>
        <v>0</v>
      </c>
      <c r="K86" s="50">
        <v>45000</v>
      </c>
      <c r="L86" s="94"/>
    </row>
    <row r="87" spans="1:12" ht="16.5" customHeight="1" x14ac:dyDescent="0.35">
      <c r="A87" s="45"/>
      <c r="B87" s="54" t="s">
        <v>147</v>
      </c>
      <c r="C87" s="53" t="s">
        <v>149</v>
      </c>
      <c r="D87" s="55"/>
      <c r="E87" s="52">
        <v>5060000</v>
      </c>
      <c r="F87" s="40">
        <f t="shared" si="6"/>
        <v>506000</v>
      </c>
      <c r="G87" s="41">
        <f t="shared" si="4"/>
        <v>5566000</v>
      </c>
      <c r="H87" s="49">
        <v>5566000</v>
      </c>
      <c r="I87" s="49"/>
      <c r="J87" s="43">
        <f t="shared" si="5"/>
        <v>0</v>
      </c>
      <c r="K87" s="50">
        <v>45000</v>
      </c>
      <c r="L87" s="94"/>
    </row>
    <row r="88" spans="1:12" ht="16.5" customHeight="1" x14ac:dyDescent="0.35">
      <c r="A88" s="45"/>
      <c r="B88" s="54" t="s">
        <v>150</v>
      </c>
      <c r="C88" s="53" t="s">
        <v>151</v>
      </c>
      <c r="D88" s="55"/>
      <c r="E88" s="52">
        <v>8400000</v>
      </c>
      <c r="F88" s="40">
        <f t="shared" si="6"/>
        <v>840000</v>
      </c>
      <c r="G88" s="41">
        <f t="shared" si="4"/>
        <v>9240000</v>
      </c>
      <c r="H88" s="57">
        <v>9240000</v>
      </c>
      <c r="I88" s="49"/>
      <c r="J88" s="43">
        <f t="shared" si="5"/>
        <v>0</v>
      </c>
      <c r="K88" s="50">
        <v>45000</v>
      </c>
      <c r="L88" s="94"/>
    </row>
    <row r="89" spans="1:12" ht="16.5" customHeight="1" x14ac:dyDescent="0.35">
      <c r="A89" s="45"/>
      <c r="B89" s="54" t="s">
        <v>150</v>
      </c>
      <c r="C89" s="53" t="s">
        <v>152</v>
      </c>
      <c r="D89" s="55"/>
      <c r="E89" s="52">
        <v>33970500</v>
      </c>
      <c r="F89" s="40">
        <f t="shared" si="6"/>
        <v>3397050</v>
      </c>
      <c r="G89" s="41">
        <f t="shared" si="4"/>
        <v>37367550</v>
      </c>
      <c r="H89" s="57">
        <v>37367550</v>
      </c>
      <c r="I89" s="49"/>
      <c r="J89" s="43">
        <f t="shared" si="5"/>
        <v>0</v>
      </c>
      <c r="K89" s="50">
        <v>45000</v>
      </c>
      <c r="L89" s="94"/>
    </row>
    <row r="90" spans="1:12" ht="16.5" customHeight="1" x14ac:dyDescent="0.35">
      <c r="A90" s="45"/>
      <c r="B90" s="54" t="s">
        <v>153</v>
      </c>
      <c r="C90" s="56" t="s">
        <v>154</v>
      </c>
      <c r="D90" s="55"/>
      <c r="E90" s="52">
        <v>5120000</v>
      </c>
      <c r="F90" s="40">
        <f t="shared" si="6"/>
        <v>512000</v>
      </c>
      <c r="G90" s="41">
        <f t="shared" si="4"/>
        <v>5632000</v>
      </c>
      <c r="H90" s="49">
        <v>5632000</v>
      </c>
      <c r="I90" s="49"/>
      <c r="J90" s="43">
        <f t="shared" si="5"/>
        <v>0</v>
      </c>
      <c r="K90" s="50">
        <v>45000</v>
      </c>
      <c r="L90" s="94"/>
    </row>
    <row r="91" spans="1:12" ht="16.5" customHeight="1" x14ac:dyDescent="0.35">
      <c r="A91" s="45"/>
      <c r="B91" s="54" t="s">
        <v>155</v>
      </c>
      <c r="C91" s="56" t="s">
        <v>156</v>
      </c>
      <c r="D91" s="55"/>
      <c r="E91" s="52">
        <v>6515000</v>
      </c>
      <c r="F91" s="40">
        <f t="shared" si="6"/>
        <v>651500</v>
      </c>
      <c r="G91" s="41">
        <f t="shared" si="4"/>
        <v>7166500</v>
      </c>
      <c r="H91" s="49">
        <v>7166500</v>
      </c>
      <c r="I91" s="49"/>
      <c r="J91" s="43">
        <f t="shared" si="5"/>
        <v>0</v>
      </c>
      <c r="K91" s="50">
        <v>45000</v>
      </c>
      <c r="L91" s="94"/>
    </row>
    <row r="92" spans="1:12" ht="16.5" customHeight="1" x14ac:dyDescent="0.35">
      <c r="A92" s="45"/>
      <c r="B92" s="54" t="s">
        <v>155</v>
      </c>
      <c r="C92" s="56" t="s">
        <v>157</v>
      </c>
      <c r="D92" s="55"/>
      <c r="E92" s="52">
        <v>5760000</v>
      </c>
      <c r="F92" s="40">
        <f t="shared" si="6"/>
        <v>576000</v>
      </c>
      <c r="G92" s="41">
        <f t="shared" si="4"/>
        <v>6336000</v>
      </c>
      <c r="H92" s="49">
        <v>6336000</v>
      </c>
      <c r="I92" s="49"/>
      <c r="J92" s="43">
        <f t="shared" si="5"/>
        <v>0</v>
      </c>
      <c r="K92" s="50">
        <v>45000</v>
      </c>
      <c r="L92" s="94"/>
    </row>
    <row r="93" spans="1:12" ht="16.5" customHeight="1" x14ac:dyDescent="0.35">
      <c r="A93" s="45"/>
      <c r="B93" s="54" t="s">
        <v>158</v>
      </c>
      <c r="C93" s="56" t="s">
        <v>159</v>
      </c>
      <c r="D93" s="55"/>
      <c r="E93" s="52">
        <v>5880000</v>
      </c>
      <c r="F93" s="40">
        <f t="shared" si="6"/>
        <v>588000</v>
      </c>
      <c r="G93" s="41">
        <f t="shared" si="4"/>
        <v>6468000</v>
      </c>
      <c r="H93" s="49">
        <v>6468000</v>
      </c>
      <c r="I93" s="49"/>
      <c r="J93" s="43">
        <f t="shared" si="5"/>
        <v>0</v>
      </c>
      <c r="K93" s="50">
        <v>45000</v>
      </c>
      <c r="L93" s="94"/>
    </row>
    <row r="94" spans="1:12" ht="16.5" customHeight="1" x14ac:dyDescent="0.35">
      <c r="A94" s="45"/>
      <c r="B94" s="54" t="s">
        <v>160</v>
      </c>
      <c r="C94" s="56" t="s">
        <v>161</v>
      </c>
      <c r="D94" s="55"/>
      <c r="E94" s="52">
        <v>3560000</v>
      </c>
      <c r="F94" s="40">
        <f t="shared" si="6"/>
        <v>356000</v>
      </c>
      <c r="G94" s="41">
        <f t="shared" si="4"/>
        <v>3916000</v>
      </c>
      <c r="H94" s="49">
        <v>3916000</v>
      </c>
      <c r="I94" s="49"/>
      <c r="J94" s="43">
        <f t="shared" si="5"/>
        <v>0</v>
      </c>
      <c r="K94" s="50">
        <v>45030</v>
      </c>
      <c r="L94" s="94" t="s">
        <v>162</v>
      </c>
    </row>
    <row r="95" spans="1:12" ht="16.5" customHeight="1" x14ac:dyDescent="0.35">
      <c r="A95" s="45"/>
      <c r="B95" s="54" t="s">
        <v>160</v>
      </c>
      <c r="C95" s="56" t="s">
        <v>163</v>
      </c>
      <c r="D95" s="55"/>
      <c r="E95" s="52">
        <v>6840000</v>
      </c>
      <c r="F95" s="40">
        <f t="shared" si="6"/>
        <v>684000</v>
      </c>
      <c r="G95" s="41">
        <f t="shared" si="4"/>
        <v>7524000</v>
      </c>
      <c r="H95" s="49">
        <v>7524000</v>
      </c>
      <c r="I95" s="49"/>
      <c r="J95" s="43">
        <f t="shared" si="5"/>
        <v>0</v>
      </c>
      <c r="K95" s="50">
        <v>45030</v>
      </c>
      <c r="L95" s="94" t="s">
        <v>162</v>
      </c>
    </row>
    <row r="96" spans="1:12" ht="16.5" customHeight="1" x14ac:dyDescent="0.35">
      <c r="A96" s="45"/>
      <c r="B96" s="54" t="s">
        <v>164</v>
      </c>
      <c r="C96" s="56" t="s">
        <v>165</v>
      </c>
      <c r="D96" s="55"/>
      <c r="E96" s="52">
        <v>5475000</v>
      </c>
      <c r="F96" s="40">
        <f t="shared" si="6"/>
        <v>547500</v>
      </c>
      <c r="G96" s="41">
        <f t="shared" si="4"/>
        <v>6022500</v>
      </c>
      <c r="H96" s="49">
        <v>6022500</v>
      </c>
      <c r="I96" s="49"/>
      <c r="J96" s="43">
        <f t="shared" si="5"/>
        <v>0</v>
      </c>
      <c r="K96" s="50">
        <v>45030</v>
      </c>
      <c r="L96" s="94" t="s">
        <v>162</v>
      </c>
    </row>
    <row r="97" spans="1:12" ht="16.5" customHeight="1" x14ac:dyDescent="0.35">
      <c r="A97" s="45"/>
      <c r="B97" s="54" t="s">
        <v>166</v>
      </c>
      <c r="C97" s="56" t="s">
        <v>167</v>
      </c>
      <c r="D97" s="55"/>
      <c r="E97" s="52">
        <v>9000000</v>
      </c>
      <c r="F97" s="40">
        <f t="shared" si="6"/>
        <v>900000</v>
      </c>
      <c r="G97" s="41">
        <f t="shared" si="4"/>
        <v>9900000</v>
      </c>
      <c r="H97" s="49">
        <v>9900000</v>
      </c>
      <c r="I97" s="49"/>
      <c r="J97" s="43">
        <f t="shared" si="5"/>
        <v>0</v>
      </c>
      <c r="K97" s="50">
        <v>45030</v>
      </c>
      <c r="L97" s="94" t="s">
        <v>162</v>
      </c>
    </row>
    <row r="98" spans="1:12" ht="16.5" customHeight="1" x14ac:dyDescent="0.35">
      <c r="A98" s="45"/>
      <c r="B98" s="54" t="s">
        <v>168</v>
      </c>
      <c r="C98" s="56" t="s">
        <v>169</v>
      </c>
      <c r="D98" s="55"/>
      <c r="E98" s="52">
        <v>5430000</v>
      </c>
      <c r="F98" s="40">
        <f t="shared" si="6"/>
        <v>543000</v>
      </c>
      <c r="G98" s="41">
        <f t="shared" si="4"/>
        <v>5973000</v>
      </c>
      <c r="H98" s="49">
        <v>5973000</v>
      </c>
      <c r="I98" s="49"/>
      <c r="J98" s="43">
        <f t="shared" si="5"/>
        <v>0</v>
      </c>
      <c r="K98" s="50">
        <v>45030</v>
      </c>
      <c r="L98" s="94" t="s">
        <v>162</v>
      </c>
    </row>
    <row r="99" spans="1:12" ht="16.5" customHeight="1" x14ac:dyDescent="0.35">
      <c r="A99" s="45"/>
      <c r="B99" s="54" t="s">
        <v>168</v>
      </c>
      <c r="C99" s="56" t="s">
        <v>170</v>
      </c>
      <c r="D99" s="55"/>
      <c r="E99" s="52">
        <v>3435000</v>
      </c>
      <c r="F99" s="40">
        <f t="shared" si="6"/>
        <v>343500</v>
      </c>
      <c r="G99" s="41">
        <f t="shared" si="4"/>
        <v>3778500</v>
      </c>
      <c r="H99" s="49">
        <v>3778500</v>
      </c>
      <c r="I99" s="49"/>
      <c r="J99" s="43">
        <f t="shared" si="5"/>
        <v>0</v>
      </c>
      <c r="K99" s="50">
        <v>45030</v>
      </c>
      <c r="L99" s="94" t="s">
        <v>162</v>
      </c>
    </row>
    <row r="100" spans="1:12" ht="16.5" customHeight="1" x14ac:dyDescent="0.35">
      <c r="A100" s="45"/>
      <c r="B100" s="54" t="s">
        <v>171</v>
      </c>
      <c r="C100" s="53" t="s">
        <v>172</v>
      </c>
      <c r="D100" s="55"/>
      <c r="E100" s="52">
        <v>510000</v>
      </c>
      <c r="F100" s="40">
        <f t="shared" si="6"/>
        <v>51000</v>
      </c>
      <c r="G100" s="41">
        <f t="shared" si="4"/>
        <v>561000</v>
      </c>
      <c r="H100" s="49">
        <v>561000</v>
      </c>
      <c r="I100" s="49"/>
      <c r="J100" s="43">
        <f t="shared" si="5"/>
        <v>0</v>
      </c>
      <c r="K100" s="50">
        <v>45030</v>
      </c>
      <c r="L100" s="94"/>
    </row>
    <row r="101" spans="1:12" ht="16.5" customHeight="1" x14ac:dyDescent="0.35">
      <c r="A101" s="45"/>
      <c r="B101" s="54" t="s">
        <v>171</v>
      </c>
      <c r="C101" s="56" t="s">
        <v>173</v>
      </c>
      <c r="D101" s="55"/>
      <c r="E101" s="52">
        <v>8645000</v>
      </c>
      <c r="F101" s="40">
        <f t="shared" si="6"/>
        <v>864500</v>
      </c>
      <c r="G101" s="41">
        <f t="shared" si="4"/>
        <v>9509500</v>
      </c>
      <c r="H101" s="49">
        <v>9509500</v>
      </c>
      <c r="I101" s="49"/>
      <c r="J101" s="43">
        <f t="shared" si="5"/>
        <v>0</v>
      </c>
      <c r="K101" s="50">
        <v>45030</v>
      </c>
      <c r="L101" s="94"/>
    </row>
    <row r="102" spans="1:12" ht="16.5" customHeight="1" x14ac:dyDescent="0.3">
      <c r="A102" s="58"/>
      <c r="B102" s="54" t="s">
        <v>174</v>
      </c>
      <c r="C102" s="53" t="s">
        <v>175</v>
      </c>
      <c r="D102" s="53"/>
      <c r="E102" s="52">
        <v>1920000</v>
      </c>
      <c r="F102" s="40"/>
      <c r="G102" s="41"/>
      <c r="H102" s="49"/>
      <c r="I102" s="49"/>
      <c r="J102" s="43">
        <f t="shared" si="5"/>
        <v>0</v>
      </c>
      <c r="K102" s="50" t="s">
        <v>131</v>
      </c>
      <c r="L102" s="94"/>
    </row>
    <row r="103" spans="1:12" s="87" customFormat="1" ht="16.5" customHeight="1" x14ac:dyDescent="0.3">
      <c r="A103" s="78"/>
      <c r="B103" s="79">
        <v>45106</v>
      </c>
      <c r="C103" s="80" t="s">
        <v>176</v>
      </c>
      <c r="D103" s="80" t="s">
        <v>177</v>
      </c>
      <c r="E103" s="81">
        <v>3965000</v>
      </c>
      <c r="F103" s="82">
        <f t="shared" si="6"/>
        <v>396500</v>
      </c>
      <c r="G103" s="83"/>
      <c r="H103" s="84"/>
      <c r="I103" s="84"/>
      <c r="J103" s="85">
        <f t="shared" si="5"/>
        <v>0</v>
      </c>
      <c r="K103" s="86" t="s">
        <v>178</v>
      </c>
      <c r="L103" s="94"/>
    </row>
    <row r="104" spans="1:12" ht="16.5" customHeight="1" x14ac:dyDescent="0.35">
      <c r="A104" s="45"/>
      <c r="B104" s="54">
        <v>45016</v>
      </c>
      <c r="C104" s="56" t="s">
        <v>179</v>
      </c>
      <c r="D104" s="55"/>
      <c r="E104" s="52">
        <v>4890000</v>
      </c>
      <c r="F104" s="40">
        <f t="shared" si="6"/>
        <v>489000</v>
      </c>
      <c r="G104" s="41">
        <f t="shared" si="4"/>
        <v>5379000</v>
      </c>
      <c r="H104" s="49">
        <v>5379000</v>
      </c>
      <c r="I104" s="49"/>
      <c r="J104" s="43">
        <f t="shared" si="5"/>
        <v>0</v>
      </c>
      <c r="K104" s="50">
        <v>45061</v>
      </c>
      <c r="L104" s="94"/>
    </row>
    <row r="105" spans="1:12" ht="16.5" customHeight="1" x14ac:dyDescent="0.3">
      <c r="A105" s="58"/>
      <c r="B105" s="54">
        <v>45027</v>
      </c>
      <c r="C105" s="53" t="s">
        <v>180</v>
      </c>
      <c r="D105" s="53"/>
      <c r="E105" s="52">
        <v>3555000</v>
      </c>
      <c r="F105" s="40"/>
      <c r="G105" s="41"/>
      <c r="H105" s="49"/>
      <c r="I105" s="49"/>
      <c r="J105" s="43">
        <f t="shared" si="5"/>
        <v>0</v>
      </c>
      <c r="K105" s="50" t="s">
        <v>181</v>
      </c>
      <c r="L105" s="94"/>
    </row>
    <row r="106" spans="1:12" ht="16.5" customHeight="1" x14ac:dyDescent="0.35">
      <c r="A106" s="45"/>
      <c r="B106" s="54" t="s">
        <v>182</v>
      </c>
      <c r="C106" s="56" t="s">
        <v>183</v>
      </c>
      <c r="D106" s="55"/>
      <c r="E106" s="52">
        <v>5392500</v>
      </c>
      <c r="F106" s="40">
        <f t="shared" ref="F106:F122" si="7">+E106*0.1</f>
        <v>539250</v>
      </c>
      <c r="G106" s="41">
        <f t="shared" si="4"/>
        <v>5931750</v>
      </c>
      <c r="H106" s="49">
        <v>5931750</v>
      </c>
      <c r="I106" s="49"/>
      <c r="J106" s="43">
        <f t="shared" si="5"/>
        <v>0</v>
      </c>
      <c r="K106" s="50">
        <v>45061</v>
      </c>
      <c r="L106" s="94"/>
    </row>
    <row r="107" spans="1:12" ht="16.5" customHeight="1" x14ac:dyDescent="0.35">
      <c r="A107" s="45"/>
      <c r="B107" s="54" t="s">
        <v>182</v>
      </c>
      <c r="C107" s="56" t="s">
        <v>184</v>
      </c>
      <c r="D107" s="55"/>
      <c r="E107" s="52">
        <v>25102500</v>
      </c>
      <c r="F107" s="40">
        <f t="shared" si="7"/>
        <v>2510250</v>
      </c>
      <c r="G107" s="41">
        <f t="shared" si="4"/>
        <v>27612750</v>
      </c>
      <c r="H107" s="49">
        <v>27612750</v>
      </c>
      <c r="I107" s="49"/>
      <c r="J107" s="43">
        <f t="shared" si="5"/>
        <v>0</v>
      </c>
      <c r="K107" s="50">
        <v>45061</v>
      </c>
      <c r="L107" s="94"/>
    </row>
    <row r="108" spans="1:12" ht="16.5" customHeight="1" x14ac:dyDescent="0.35">
      <c r="A108" s="45"/>
      <c r="B108" s="54" t="s">
        <v>185</v>
      </c>
      <c r="C108" s="56" t="s">
        <v>186</v>
      </c>
      <c r="D108" s="55"/>
      <c r="E108" s="52">
        <v>19930500</v>
      </c>
      <c r="F108" s="40">
        <f t="shared" si="7"/>
        <v>1993050</v>
      </c>
      <c r="G108" s="41">
        <f t="shared" si="4"/>
        <v>21923550</v>
      </c>
      <c r="H108" s="49">
        <v>21923550</v>
      </c>
      <c r="I108" s="49"/>
      <c r="J108" s="43">
        <f t="shared" si="5"/>
        <v>0</v>
      </c>
      <c r="K108" s="50">
        <v>45092</v>
      </c>
      <c r="L108" s="94"/>
    </row>
    <row r="109" spans="1:12" ht="16.5" customHeight="1" x14ac:dyDescent="0.35">
      <c r="A109" s="45"/>
      <c r="B109" s="54" t="s">
        <v>187</v>
      </c>
      <c r="C109" s="53" t="s">
        <v>188</v>
      </c>
      <c r="D109" s="55"/>
      <c r="E109" s="52">
        <v>1020000</v>
      </c>
      <c r="F109" s="40">
        <f t="shared" si="7"/>
        <v>102000</v>
      </c>
      <c r="G109" s="41">
        <f t="shared" si="4"/>
        <v>1122000</v>
      </c>
      <c r="H109" s="49">
        <v>1122000</v>
      </c>
      <c r="I109" s="49"/>
      <c r="J109" s="43">
        <f t="shared" si="5"/>
        <v>0</v>
      </c>
      <c r="K109" s="50">
        <v>45092</v>
      </c>
      <c r="L109" s="94"/>
    </row>
    <row r="110" spans="1:12" ht="16.5" customHeight="1" x14ac:dyDescent="0.35">
      <c r="A110" s="45"/>
      <c r="B110" s="54" t="s">
        <v>187</v>
      </c>
      <c r="C110" s="56" t="s">
        <v>189</v>
      </c>
      <c r="D110" s="55"/>
      <c r="E110" s="52">
        <v>7900500</v>
      </c>
      <c r="F110" s="40">
        <f t="shared" si="7"/>
        <v>790050</v>
      </c>
      <c r="G110" s="41">
        <f t="shared" si="4"/>
        <v>8690550</v>
      </c>
      <c r="H110" s="49">
        <v>8690550</v>
      </c>
      <c r="I110" s="49"/>
      <c r="J110" s="43">
        <f t="shared" si="5"/>
        <v>0</v>
      </c>
      <c r="K110" s="50">
        <v>45092</v>
      </c>
      <c r="L110" s="94"/>
    </row>
    <row r="111" spans="1:12" ht="16.5" customHeight="1" x14ac:dyDescent="0.35">
      <c r="A111" s="45"/>
      <c r="B111" s="54" t="s">
        <v>187</v>
      </c>
      <c r="C111" s="56" t="s">
        <v>190</v>
      </c>
      <c r="D111" s="55"/>
      <c r="E111" s="52">
        <v>510000</v>
      </c>
      <c r="F111" s="40">
        <f t="shared" si="7"/>
        <v>51000</v>
      </c>
      <c r="G111" s="41">
        <f t="shared" si="4"/>
        <v>561000</v>
      </c>
      <c r="H111" s="49">
        <v>561000</v>
      </c>
      <c r="I111" s="49"/>
      <c r="J111" s="43">
        <f t="shared" si="5"/>
        <v>0</v>
      </c>
      <c r="K111" s="50">
        <v>45092</v>
      </c>
      <c r="L111" s="94"/>
    </row>
    <row r="112" spans="1:12" ht="16.5" customHeight="1" x14ac:dyDescent="0.35">
      <c r="A112" s="45"/>
      <c r="B112" s="54" t="s">
        <v>191</v>
      </c>
      <c r="C112" s="56" t="s">
        <v>192</v>
      </c>
      <c r="D112" s="55"/>
      <c r="E112" s="52">
        <v>8764500</v>
      </c>
      <c r="F112" s="40">
        <f t="shared" si="7"/>
        <v>876450</v>
      </c>
      <c r="G112" s="41">
        <f t="shared" si="4"/>
        <v>9640950</v>
      </c>
      <c r="H112" s="49">
        <v>9640950</v>
      </c>
      <c r="I112" s="49"/>
      <c r="J112" s="43">
        <f t="shared" si="5"/>
        <v>0</v>
      </c>
      <c r="K112" s="50">
        <v>45092</v>
      </c>
      <c r="L112" s="94"/>
    </row>
    <row r="113" spans="1:12" ht="16.5" customHeight="1" x14ac:dyDescent="0.35">
      <c r="A113" s="45"/>
      <c r="B113" s="54" t="s">
        <v>191</v>
      </c>
      <c r="C113" s="56" t="s">
        <v>193</v>
      </c>
      <c r="D113" s="55"/>
      <c r="E113" s="52">
        <v>11362500</v>
      </c>
      <c r="F113" s="40">
        <f t="shared" si="7"/>
        <v>1136250</v>
      </c>
      <c r="G113" s="41">
        <f t="shared" si="4"/>
        <v>12498750</v>
      </c>
      <c r="H113" s="49">
        <v>12498750</v>
      </c>
      <c r="I113" s="49"/>
      <c r="J113" s="43">
        <f t="shared" si="5"/>
        <v>0</v>
      </c>
      <c r="K113" s="50">
        <v>45092</v>
      </c>
      <c r="L113" s="94"/>
    </row>
    <row r="114" spans="1:12" ht="16.5" customHeight="1" x14ac:dyDescent="0.35">
      <c r="A114" s="45"/>
      <c r="B114" s="54" t="s">
        <v>191</v>
      </c>
      <c r="C114" s="56" t="s">
        <v>194</v>
      </c>
      <c r="D114" s="55"/>
      <c r="E114" s="52">
        <v>1020000</v>
      </c>
      <c r="F114" s="40">
        <f t="shared" si="7"/>
        <v>102000</v>
      </c>
      <c r="G114" s="41">
        <f t="shared" si="4"/>
        <v>1122000</v>
      </c>
      <c r="H114" s="49">
        <v>1122000</v>
      </c>
      <c r="I114" s="49"/>
      <c r="J114" s="43">
        <f t="shared" si="5"/>
        <v>0</v>
      </c>
      <c r="K114" s="50">
        <v>45092</v>
      </c>
      <c r="L114" s="94"/>
    </row>
    <row r="115" spans="1:12" ht="16.5" customHeight="1" x14ac:dyDescent="0.35">
      <c r="A115" s="45"/>
      <c r="B115" s="54">
        <v>45044</v>
      </c>
      <c r="C115" s="56" t="s">
        <v>195</v>
      </c>
      <c r="D115" s="55"/>
      <c r="E115" s="52">
        <v>5305500</v>
      </c>
      <c r="F115" s="40">
        <f t="shared" si="7"/>
        <v>530550</v>
      </c>
      <c r="G115" s="41">
        <f t="shared" si="4"/>
        <v>5836050</v>
      </c>
      <c r="H115" s="49">
        <v>5836050</v>
      </c>
      <c r="I115" s="49"/>
      <c r="J115" s="43">
        <f t="shared" si="5"/>
        <v>0</v>
      </c>
      <c r="K115" s="50">
        <v>45092</v>
      </c>
      <c r="L115" s="94"/>
    </row>
    <row r="116" spans="1:12" ht="16.5" customHeight="1" x14ac:dyDescent="0.35">
      <c r="A116" s="45" t="s">
        <v>196</v>
      </c>
      <c r="B116" s="54" t="s">
        <v>197</v>
      </c>
      <c r="C116" s="53" t="s">
        <v>198</v>
      </c>
      <c r="D116" s="55"/>
      <c r="E116" s="52">
        <v>936000</v>
      </c>
      <c r="F116" s="40">
        <f t="shared" si="7"/>
        <v>93600</v>
      </c>
      <c r="G116" s="41">
        <f t="shared" si="4"/>
        <v>1029600</v>
      </c>
      <c r="H116" s="49">
        <v>1029600</v>
      </c>
      <c r="I116" s="49"/>
      <c r="J116" s="43">
        <f t="shared" si="5"/>
        <v>0</v>
      </c>
      <c r="K116" s="50">
        <v>45092</v>
      </c>
      <c r="L116" s="94"/>
    </row>
    <row r="117" spans="1:12" ht="16.5" customHeight="1" x14ac:dyDescent="0.35">
      <c r="A117" s="45" t="s">
        <v>196</v>
      </c>
      <c r="B117" s="54" t="s">
        <v>199</v>
      </c>
      <c r="C117" s="53" t="s">
        <v>200</v>
      </c>
      <c r="D117" s="55"/>
      <c r="E117" s="52">
        <v>1040000</v>
      </c>
      <c r="F117" s="40">
        <f t="shared" si="7"/>
        <v>104000</v>
      </c>
      <c r="G117" s="41">
        <f t="shared" si="4"/>
        <v>1144000</v>
      </c>
      <c r="H117" s="49">
        <v>1144000</v>
      </c>
      <c r="I117" s="49"/>
      <c r="J117" s="43">
        <f t="shared" si="5"/>
        <v>0</v>
      </c>
      <c r="K117" s="50">
        <v>45092</v>
      </c>
      <c r="L117" s="94"/>
    </row>
    <row r="118" spans="1:12" ht="16.5" customHeight="1" x14ac:dyDescent="0.35">
      <c r="A118" s="45"/>
      <c r="B118" s="54" t="s">
        <v>201</v>
      </c>
      <c r="C118" s="53" t="s">
        <v>202</v>
      </c>
      <c r="D118" s="55"/>
      <c r="E118" s="52">
        <v>1005000</v>
      </c>
      <c r="F118" s="40">
        <f t="shared" si="7"/>
        <v>100500</v>
      </c>
      <c r="G118" s="41">
        <f t="shared" si="4"/>
        <v>1105500</v>
      </c>
      <c r="H118" s="49">
        <v>1105500</v>
      </c>
      <c r="I118" s="49"/>
      <c r="J118" s="43">
        <f t="shared" si="5"/>
        <v>0</v>
      </c>
      <c r="K118" s="50">
        <v>45092</v>
      </c>
      <c r="L118" s="94"/>
    </row>
    <row r="119" spans="1:12" ht="16.5" customHeight="1" x14ac:dyDescent="0.35">
      <c r="A119" s="45" t="s">
        <v>203</v>
      </c>
      <c r="B119" s="54" t="s">
        <v>204</v>
      </c>
      <c r="C119" s="53" t="s">
        <v>205</v>
      </c>
      <c r="D119" s="55"/>
      <c r="E119" s="52">
        <v>8805000</v>
      </c>
      <c r="F119" s="40">
        <f t="shared" si="7"/>
        <v>880500</v>
      </c>
      <c r="G119" s="41">
        <f t="shared" si="4"/>
        <v>9685500</v>
      </c>
      <c r="H119" s="49">
        <v>9685500</v>
      </c>
      <c r="I119" s="49"/>
      <c r="J119" s="43">
        <f t="shared" si="5"/>
        <v>0</v>
      </c>
      <c r="K119" s="50">
        <v>45121</v>
      </c>
      <c r="L119" s="94"/>
    </row>
    <row r="120" spans="1:12" ht="16.5" customHeight="1" x14ac:dyDescent="0.35">
      <c r="A120" s="45" t="s">
        <v>203</v>
      </c>
      <c r="B120" s="54" t="s">
        <v>206</v>
      </c>
      <c r="C120" s="53" t="s">
        <v>207</v>
      </c>
      <c r="D120" s="55"/>
      <c r="E120" s="52">
        <v>6765000</v>
      </c>
      <c r="F120" s="40">
        <f t="shared" si="7"/>
        <v>676500</v>
      </c>
      <c r="G120" s="41">
        <f t="shared" si="4"/>
        <v>7441500</v>
      </c>
      <c r="H120" s="49">
        <v>7441500</v>
      </c>
      <c r="I120" s="49"/>
      <c r="J120" s="43">
        <f t="shared" si="5"/>
        <v>0</v>
      </c>
      <c r="K120" s="50">
        <v>45121</v>
      </c>
      <c r="L120" s="94"/>
    </row>
    <row r="121" spans="1:12" ht="16.5" customHeight="1" x14ac:dyDescent="0.35">
      <c r="A121" s="45" t="s">
        <v>196</v>
      </c>
      <c r="B121" s="54" t="s">
        <v>208</v>
      </c>
      <c r="C121" s="53" t="s">
        <v>209</v>
      </c>
      <c r="D121" s="55"/>
      <c r="E121" s="52">
        <v>1040000</v>
      </c>
      <c r="F121" s="40">
        <f t="shared" si="7"/>
        <v>104000</v>
      </c>
      <c r="G121" s="41">
        <f t="shared" si="4"/>
        <v>1144000</v>
      </c>
      <c r="H121" s="49">
        <v>1144000</v>
      </c>
      <c r="I121" s="49"/>
      <c r="J121" s="43">
        <f t="shared" si="5"/>
        <v>0</v>
      </c>
      <c r="K121" s="50">
        <v>45121</v>
      </c>
      <c r="L121" s="94"/>
    </row>
    <row r="122" spans="1:12" ht="16.5" customHeight="1" x14ac:dyDescent="0.35">
      <c r="A122" s="45" t="s">
        <v>196</v>
      </c>
      <c r="B122" s="54" t="s">
        <v>210</v>
      </c>
      <c r="C122" s="56" t="s">
        <v>211</v>
      </c>
      <c r="D122" s="55"/>
      <c r="E122" s="52">
        <v>3590000</v>
      </c>
      <c r="F122" s="40">
        <f t="shared" si="7"/>
        <v>359000</v>
      </c>
      <c r="G122" s="41">
        <f t="shared" si="4"/>
        <v>3949000</v>
      </c>
      <c r="H122" s="49">
        <v>3949000</v>
      </c>
      <c r="I122" s="49"/>
      <c r="J122" s="43">
        <f t="shared" si="5"/>
        <v>0</v>
      </c>
      <c r="K122" s="50">
        <v>45121</v>
      </c>
      <c r="L122" s="94"/>
    </row>
    <row r="123" spans="1:12" ht="16.5" customHeight="1" x14ac:dyDescent="0.35">
      <c r="A123" s="45" t="s">
        <v>196</v>
      </c>
      <c r="B123" s="54" t="s">
        <v>212</v>
      </c>
      <c r="C123" s="56" t="s">
        <v>213</v>
      </c>
      <c r="D123" s="55"/>
      <c r="E123" s="52">
        <v>5630000</v>
      </c>
      <c r="F123" s="40">
        <f>+E123*0.08</f>
        <v>450400</v>
      </c>
      <c r="G123" s="41">
        <f t="shared" si="4"/>
        <v>6080400</v>
      </c>
      <c r="H123" s="49">
        <v>6080400</v>
      </c>
      <c r="I123" s="49"/>
      <c r="J123" s="43">
        <f t="shared" si="5"/>
        <v>0</v>
      </c>
      <c r="K123" s="50">
        <v>45153</v>
      </c>
      <c r="L123" s="94"/>
    </row>
    <row r="124" spans="1:12" ht="16.5" customHeight="1" x14ac:dyDescent="0.35">
      <c r="A124" s="45" t="s">
        <v>196</v>
      </c>
      <c r="B124" s="54" t="s">
        <v>214</v>
      </c>
      <c r="C124" s="56" t="s">
        <v>215</v>
      </c>
      <c r="D124" s="55"/>
      <c r="E124" s="52">
        <v>7025000</v>
      </c>
      <c r="F124" s="40">
        <f t="shared" ref="F124:F187" si="8">+E124*0.08</f>
        <v>562000</v>
      </c>
      <c r="G124" s="41">
        <f t="shared" si="4"/>
        <v>7587000</v>
      </c>
      <c r="H124" s="49">
        <v>7587000</v>
      </c>
      <c r="I124" s="49"/>
      <c r="J124" s="43">
        <f t="shared" si="5"/>
        <v>0</v>
      </c>
      <c r="K124" s="50">
        <v>45153</v>
      </c>
      <c r="L124" s="94"/>
    </row>
    <row r="125" spans="1:12" ht="16.5" customHeight="1" x14ac:dyDescent="0.35">
      <c r="A125" s="45" t="s">
        <v>196</v>
      </c>
      <c r="B125" s="54" t="s">
        <v>216</v>
      </c>
      <c r="C125" s="56" t="s">
        <v>217</v>
      </c>
      <c r="D125" s="55"/>
      <c r="E125" s="52">
        <v>6515000</v>
      </c>
      <c r="F125" s="40">
        <f t="shared" si="8"/>
        <v>521200</v>
      </c>
      <c r="G125" s="41">
        <f t="shared" si="4"/>
        <v>7036200</v>
      </c>
      <c r="H125" s="49">
        <v>7036200</v>
      </c>
      <c r="I125" s="49"/>
      <c r="J125" s="43">
        <f t="shared" si="5"/>
        <v>0</v>
      </c>
      <c r="K125" s="50">
        <v>45153</v>
      </c>
      <c r="L125" s="94"/>
    </row>
    <row r="126" spans="1:12" ht="16.5" customHeight="1" x14ac:dyDescent="0.35">
      <c r="A126" s="45" t="s">
        <v>218</v>
      </c>
      <c r="B126" s="54" t="s">
        <v>219</v>
      </c>
      <c r="C126" s="56" t="s">
        <v>220</v>
      </c>
      <c r="D126" s="55"/>
      <c r="E126" s="52">
        <v>4440000</v>
      </c>
      <c r="F126" s="40">
        <f t="shared" si="8"/>
        <v>355200</v>
      </c>
      <c r="G126" s="41">
        <f t="shared" si="4"/>
        <v>4795200</v>
      </c>
      <c r="H126" s="49">
        <v>4795200</v>
      </c>
      <c r="I126" s="49"/>
      <c r="J126" s="43">
        <f t="shared" si="5"/>
        <v>0</v>
      </c>
      <c r="K126" s="50">
        <v>45184</v>
      </c>
      <c r="L126" s="94"/>
    </row>
    <row r="127" spans="1:12" ht="16.5" customHeight="1" x14ac:dyDescent="0.35">
      <c r="A127" s="45" t="s">
        <v>196</v>
      </c>
      <c r="B127" s="54" t="s">
        <v>221</v>
      </c>
      <c r="C127" s="56" t="s">
        <v>222</v>
      </c>
      <c r="D127" s="55"/>
      <c r="E127" s="52">
        <v>3080000</v>
      </c>
      <c r="F127" s="40">
        <f t="shared" si="8"/>
        <v>246400</v>
      </c>
      <c r="G127" s="41">
        <f t="shared" si="4"/>
        <v>3326400</v>
      </c>
      <c r="H127" s="49">
        <v>3326400</v>
      </c>
      <c r="I127" s="49"/>
      <c r="J127" s="43">
        <f t="shared" si="5"/>
        <v>0</v>
      </c>
      <c r="K127" s="50">
        <v>45184</v>
      </c>
      <c r="L127" s="94"/>
    </row>
    <row r="128" spans="1:12" ht="16.5" customHeight="1" x14ac:dyDescent="0.35">
      <c r="A128" s="45" t="s">
        <v>196</v>
      </c>
      <c r="B128" s="54" t="s">
        <v>223</v>
      </c>
      <c r="C128" s="53" t="s">
        <v>224</v>
      </c>
      <c r="D128" s="55"/>
      <c r="E128" s="52">
        <v>1920000</v>
      </c>
      <c r="F128" s="40">
        <f t="shared" si="8"/>
        <v>153600</v>
      </c>
      <c r="G128" s="41">
        <f t="shared" si="4"/>
        <v>2073600</v>
      </c>
      <c r="H128" s="49">
        <v>2073600</v>
      </c>
      <c r="I128" s="49"/>
      <c r="J128" s="43">
        <f t="shared" si="5"/>
        <v>0</v>
      </c>
      <c r="K128" s="50">
        <v>45153</v>
      </c>
      <c r="L128" s="94"/>
    </row>
    <row r="129" spans="1:12" ht="16.5" customHeight="1" x14ac:dyDescent="0.35">
      <c r="A129" s="45" t="s">
        <v>218</v>
      </c>
      <c r="B129" s="54" t="s">
        <v>225</v>
      </c>
      <c r="C129" s="56" t="s">
        <v>226</v>
      </c>
      <c r="D129" s="55"/>
      <c r="E129" s="52">
        <v>4350000</v>
      </c>
      <c r="F129" s="40">
        <f t="shared" si="8"/>
        <v>348000</v>
      </c>
      <c r="G129" s="41">
        <f t="shared" si="4"/>
        <v>4698000</v>
      </c>
      <c r="H129" s="49">
        <v>4698000</v>
      </c>
      <c r="I129" s="49"/>
      <c r="J129" s="43">
        <f t="shared" si="5"/>
        <v>0</v>
      </c>
      <c r="K129" s="50">
        <v>45184</v>
      </c>
      <c r="L129" s="94"/>
    </row>
    <row r="130" spans="1:12" ht="16.5" customHeight="1" x14ac:dyDescent="0.35">
      <c r="A130" s="45" t="s">
        <v>196</v>
      </c>
      <c r="B130" s="54" t="s">
        <v>227</v>
      </c>
      <c r="C130" s="53" t="s">
        <v>228</v>
      </c>
      <c r="D130" s="55"/>
      <c r="E130" s="52">
        <v>4845000</v>
      </c>
      <c r="F130" s="40">
        <f t="shared" si="8"/>
        <v>387600</v>
      </c>
      <c r="G130" s="41">
        <f t="shared" si="4"/>
        <v>5232600</v>
      </c>
      <c r="H130" s="49">
        <v>5232600</v>
      </c>
      <c r="I130" s="49"/>
      <c r="J130" s="43">
        <f t="shared" si="5"/>
        <v>0</v>
      </c>
      <c r="K130" s="50">
        <v>45184</v>
      </c>
      <c r="L130" s="94"/>
    </row>
    <row r="131" spans="1:12" ht="16.5" customHeight="1" x14ac:dyDescent="0.35">
      <c r="A131" s="45" t="s">
        <v>196</v>
      </c>
      <c r="B131" s="54" t="s">
        <v>229</v>
      </c>
      <c r="C131" s="56" t="s">
        <v>230</v>
      </c>
      <c r="D131" s="55"/>
      <c r="E131" s="52">
        <v>5430000</v>
      </c>
      <c r="F131" s="40">
        <f t="shared" si="8"/>
        <v>434400</v>
      </c>
      <c r="G131" s="41">
        <f t="shared" si="4"/>
        <v>5864400</v>
      </c>
      <c r="H131" s="49">
        <v>5864400</v>
      </c>
      <c r="I131" s="49"/>
      <c r="J131" s="43">
        <f t="shared" si="5"/>
        <v>0</v>
      </c>
      <c r="K131" s="50">
        <v>45184</v>
      </c>
      <c r="L131" s="94"/>
    </row>
    <row r="132" spans="1:12" ht="16.5" customHeight="1" x14ac:dyDescent="0.35">
      <c r="A132" s="45" t="s">
        <v>196</v>
      </c>
      <c r="B132" s="54" t="s">
        <v>231</v>
      </c>
      <c r="C132" s="56" t="s">
        <v>232</v>
      </c>
      <c r="D132" s="55"/>
      <c r="E132" s="52">
        <v>5430000</v>
      </c>
      <c r="F132" s="40">
        <f t="shared" si="8"/>
        <v>434400</v>
      </c>
      <c r="G132" s="41">
        <f t="shared" si="4"/>
        <v>5864400</v>
      </c>
      <c r="H132" s="49">
        <v>5864400</v>
      </c>
      <c r="I132" s="49"/>
      <c r="J132" s="43">
        <f t="shared" si="5"/>
        <v>0</v>
      </c>
      <c r="K132" s="50">
        <v>45184</v>
      </c>
      <c r="L132" s="94"/>
    </row>
    <row r="133" spans="1:12" ht="16.5" customHeight="1" x14ac:dyDescent="0.35">
      <c r="A133" s="45" t="s">
        <v>196</v>
      </c>
      <c r="B133" s="54" t="s">
        <v>233</v>
      </c>
      <c r="C133" s="56" t="s">
        <v>234</v>
      </c>
      <c r="D133" s="55"/>
      <c r="E133" s="52">
        <v>3590000</v>
      </c>
      <c r="F133" s="40">
        <f t="shared" si="8"/>
        <v>287200</v>
      </c>
      <c r="G133" s="41">
        <f t="shared" si="4"/>
        <v>3877200</v>
      </c>
      <c r="H133" s="49">
        <v>3877200</v>
      </c>
      <c r="I133" s="49"/>
      <c r="J133" s="43">
        <f t="shared" si="5"/>
        <v>0</v>
      </c>
      <c r="K133" s="50">
        <v>45184</v>
      </c>
      <c r="L133" s="94"/>
    </row>
    <row r="134" spans="1:12" ht="16.5" customHeight="1" x14ac:dyDescent="0.35">
      <c r="A134" s="45" t="s">
        <v>196</v>
      </c>
      <c r="B134" s="54" t="s">
        <v>233</v>
      </c>
      <c r="C134" s="56" t="s">
        <v>235</v>
      </c>
      <c r="D134" s="55"/>
      <c r="E134" s="52">
        <v>3590000</v>
      </c>
      <c r="F134" s="40">
        <f t="shared" si="8"/>
        <v>287200</v>
      </c>
      <c r="G134" s="41">
        <f t="shared" si="4"/>
        <v>3877200</v>
      </c>
      <c r="H134" s="49">
        <v>3877200</v>
      </c>
      <c r="I134" s="49"/>
      <c r="J134" s="43">
        <f t="shared" si="5"/>
        <v>0</v>
      </c>
      <c r="K134" s="50">
        <v>45246</v>
      </c>
      <c r="L134" s="94"/>
    </row>
    <row r="135" spans="1:12" ht="16.5" customHeight="1" x14ac:dyDescent="0.35">
      <c r="A135" s="45" t="s">
        <v>196</v>
      </c>
      <c r="B135" s="54" t="s">
        <v>236</v>
      </c>
      <c r="C135" s="53" t="s">
        <v>237</v>
      </c>
      <c r="D135" s="55"/>
      <c r="E135" s="52">
        <v>3214500</v>
      </c>
      <c r="F135" s="40">
        <f t="shared" si="8"/>
        <v>257160</v>
      </c>
      <c r="G135" s="41">
        <f t="shared" si="4"/>
        <v>3471660</v>
      </c>
      <c r="H135" s="49">
        <v>3471660</v>
      </c>
      <c r="I135" s="49"/>
      <c r="J135" s="43">
        <f t="shared" si="5"/>
        <v>0</v>
      </c>
      <c r="K135" s="50">
        <v>45184</v>
      </c>
      <c r="L135" s="94"/>
    </row>
    <row r="136" spans="1:12" ht="16.5" customHeight="1" x14ac:dyDescent="0.35">
      <c r="A136" s="45" t="s">
        <v>218</v>
      </c>
      <c r="B136" s="54" t="s">
        <v>238</v>
      </c>
      <c r="C136" s="53" t="s">
        <v>239</v>
      </c>
      <c r="D136" s="55"/>
      <c r="E136" s="52">
        <v>11034000</v>
      </c>
      <c r="F136" s="40">
        <f t="shared" si="8"/>
        <v>882720</v>
      </c>
      <c r="G136" s="41">
        <f t="shared" si="4"/>
        <v>11916720</v>
      </c>
      <c r="H136" s="49">
        <v>11916720</v>
      </c>
      <c r="I136" s="49"/>
      <c r="J136" s="43">
        <f t="shared" si="5"/>
        <v>0</v>
      </c>
      <c r="K136" s="50">
        <v>45212</v>
      </c>
      <c r="L136" s="94"/>
    </row>
    <row r="137" spans="1:12" ht="16.5" customHeight="1" x14ac:dyDescent="0.35">
      <c r="A137" s="45" t="s">
        <v>218</v>
      </c>
      <c r="B137" s="54" t="s">
        <v>238</v>
      </c>
      <c r="C137" s="56" t="s">
        <v>240</v>
      </c>
      <c r="D137" s="55"/>
      <c r="E137" s="52">
        <v>7636500</v>
      </c>
      <c r="F137" s="40">
        <f t="shared" si="8"/>
        <v>610920</v>
      </c>
      <c r="G137" s="41">
        <f t="shared" ref="G137:G200" si="9">E137+F137</f>
        <v>8247420</v>
      </c>
      <c r="H137" s="49">
        <v>8247420</v>
      </c>
      <c r="I137" s="49"/>
      <c r="J137" s="43">
        <f t="shared" si="5"/>
        <v>0</v>
      </c>
      <c r="K137" s="50">
        <v>45212</v>
      </c>
      <c r="L137" s="94"/>
    </row>
    <row r="138" spans="1:12" ht="16.5" customHeight="1" x14ac:dyDescent="0.35">
      <c r="A138" s="45" t="s">
        <v>218</v>
      </c>
      <c r="B138" s="54" t="s">
        <v>241</v>
      </c>
      <c r="C138" s="53" t="s">
        <v>110</v>
      </c>
      <c r="D138" s="55"/>
      <c r="E138" s="52">
        <v>18262500</v>
      </c>
      <c r="F138" s="40">
        <f t="shared" si="8"/>
        <v>1461000</v>
      </c>
      <c r="G138" s="41">
        <f t="shared" si="9"/>
        <v>19723500</v>
      </c>
      <c r="H138" s="49">
        <v>19723500</v>
      </c>
      <c r="I138" s="49"/>
      <c r="J138" s="43">
        <f t="shared" ref="J138:J201" si="10">G138-H138</f>
        <v>0</v>
      </c>
      <c r="K138" s="50">
        <v>45212</v>
      </c>
      <c r="L138" s="94"/>
    </row>
    <row r="139" spans="1:12" ht="16.5" customHeight="1" x14ac:dyDescent="0.35">
      <c r="A139" s="45" t="s">
        <v>196</v>
      </c>
      <c r="B139" s="54" t="s">
        <v>241</v>
      </c>
      <c r="C139" s="56" t="s">
        <v>242</v>
      </c>
      <c r="D139" s="55"/>
      <c r="E139" s="52">
        <v>14688000</v>
      </c>
      <c r="F139" s="40">
        <f t="shared" si="8"/>
        <v>1175040</v>
      </c>
      <c r="G139" s="41">
        <f t="shared" si="9"/>
        <v>15863040</v>
      </c>
      <c r="H139" s="49">
        <v>15863040</v>
      </c>
      <c r="I139" s="49"/>
      <c r="J139" s="43">
        <f t="shared" si="10"/>
        <v>0</v>
      </c>
      <c r="K139" s="50">
        <v>45212</v>
      </c>
      <c r="L139" s="94"/>
    </row>
    <row r="140" spans="1:12" ht="16.5" customHeight="1" x14ac:dyDescent="0.35">
      <c r="A140" s="45" t="s">
        <v>196</v>
      </c>
      <c r="B140" s="54" t="s">
        <v>243</v>
      </c>
      <c r="C140" s="53" t="s">
        <v>244</v>
      </c>
      <c r="D140" s="55"/>
      <c r="E140" s="52">
        <v>15592500</v>
      </c>
      <c r="F140" s="40">
        <f t="shared" si="8"/>
        <v>1247400</v>
      </c>
      <c r="G140" s="41">
        <f t="shared" si="9"/>
        <v>16839900</v>
      </c>
      <c r="H140" s="49">
        <v>16839900</v>
      </c>
      <c r="I140" s="49"/>
      <c r="J140" s="43">
        <f t="shared" si="10"/>
        <v>0</v>
      </c>
      <c r="K140" s="50">
        <v>45212</v>
      </c>
      <c r="L140" s="94"/>
    </row>
    <row r="141" spans="1:12" ht="16.5" customHeight="1" x14ac:dyDescent="0.35">
      <c r="A141" s="45" t="s">
        <v>196</v>
      </c>
      <c r="B141" s="54" t="s">
        <v>245</v>
      </c>
      <c r="C141" s="56" t="s">
        <v>246</v>
      </c>
      <c r="D141" s="55"/>
      <c r="E141" s="52">
        <v>10030500</v>
      </c>
      <c r="F141" s="40">
        <f t="shared" si="8"/>
        <v>802440</v>
      </c>
      <c r="G141" s="41">
        <f t="shared" si="9"/>
        <v>10832940</v>
      </c>
      <c r="H141" s="49">
        <v>10832940</v>
      </c>
      <c r="I141" s="49"/>
      <c r="J141" s="43">
        <f t="shared" si="10"/>
        <v>0</v>
      </c>
      <c r="K141" s="50">
        <v>45212</v>
      </c>
      <c r="L141" s="94"/>
    </row>
    <row r="142" spans="1:12" ht="16.5" customHeight="1" x14ac:dyDescent="0.35">
      <c r="A142" s="45" t="s">
        <v>196</v>
      </c>
      <c r="B142" s="54" t="s">
        <v>245</v>
      </c>
      <c r="C142" s="53" t="s">
        <v>247</v>
      </c>
      <c r="D142" s="55"/>
      <c r="E142" s="52">
        <v>9126000</v>
      </c>
      <c r="F142" s="40">
        <f t="shared" si="8"/>
        <v>730080</v>
      </c>
      <c r="G142" s="41">
        <f t="shared" si="9"/>
        <v>9856080</v>
      </c>
      <c r="H142" s="49">
        <v>9856080</v>
      </c>
      <c r="I142" s="49"/>
      <c r="J142" s="43">
        <f t="shared" si="10"/>
        <v>0</v>
      </c>
      <c r="K142" s="50">
        <v>45212</v>
      </c>
      <c r="L142" s="94"/>
    </row>
    <row r="143" spans="1:12" ht="16.5" customHeight="1" x14ac:dyDescent="0.35">
      <c r="A143" s="45" t="s">
        <v>196</v>
      </c>
      <c r="B143" s="54" t="s">
        <v>245</v>
      </c>
      <c r="C143" s="56" t="s">
        <v>248</v>
      </c>
      <c r="D143" s="55"/>
      <c r="E143" s="52">
        <v>14160000</v>
      </c>
      <c r="F143" s="40">
        <f t="shared" si="8"/>
        <v>1132800</v>
      </c>
      <c r="G143" s="41">
        <f t="shared" si="9"/>
        <v>15292800</v>
      </c>
      <c r="H143" s="49">
        <v>15292800</v>
      </c>
      <c r="I143" s="49"/>
      <c r="J143" s="43">
        <f t="shared" si="10"/>
        <v>0</v>
      </c>
      <c r="K143" s="50">
        <v>45212</v>
      </c>
      <c r="L143" s="94"/>
    </row>
    <row r="144" spans="1:12" ht="16.5" customHeight="1" x14ac:dyDescent="0.35">
      <c r="A144" s="45" t="s">
        <v>196</v>
      </c>
      <c r="B144" s="54" t="s">
        <v>245</v>
      </c>
      <c r="C144" s="53" t="s">
        <v>249</v>
      </c>
      <c r="D144" s="55"/>
      <c r="E144" s="52">
        <v>1020000</v>
      </c>
      <c r="F144" s="40">
        <f t="shared" si="8"/>
        <v>81600</v>
      </c>
      <c r="G144" s="41">
        <f t="shared" si="9"/>
        <v>1101600</v>
      </c>
      <c r="H144" s="49">
        <v>1101600</v>
      </c>
      <c r="I144" s="49"/>
      <c r="J144" s="43">
        <f t="shared" si="10"/>
        <v>0</v>
      </c>
      <c r="K144" s="50">
        <v>45212</v>
      </c>
      <c r="L144" s="94"/>
    </row>
    <row r="145" spans="1:13" ht="15" customHeight="1" x14ac:dyDescent="0.35">
      <c r="A145" s="45" t="s">
        <v>196</v>
      </c>
      <c r="B145" s="54">
        <v>45194</v>
      </c>
      <c r="C145" s="53" t="s">
        <v>250</v>
      </c>
      <c r="D145" s="55"/>
      <c r="E145" s="52">
        <v>7804500</v>
      </c>
      <c r="F145" s="40">
        <f t="shared" si="8"/>
        <v>624360</v>
      </c>
      <c r="G145" s="41">
        <f t="shared" si="9"/>
        <v>8428860</v>
      </c>
      <c r="H145" s="49">
        <v>8428860</v>
      </c>
      <c r="I145" s="49"/>
      <c r="J145" s="43">
        <f t="shared" si="10"/>
        <v>0</v>
      </c>
      <c r="K145" s="50">
        <v>45246</v>
      </c>
      <c r="L145" s="94"/>
    </row>
    <row r="146" spans="1:13" ht="15" customHeight="1" x14ac:dyDescent="0.35">
      <c r="A146" s="45" t="s">
        <v>196</v>
      </c>
      <c r="B146" s="54" t="s">
        <v>251</v>
      </c>
      <c r="C146" s="56" t="s">
        <v>252</v>
      </c>
      <c r="D146" s="55"/>
      <c r="E146" s="52">
        <v>1550000</v>
      </c>
      <c r="F146" s="40">
        <f t="shared" si="8"/>
        <v>124000</v>
      </c>
      <c r="G146" s="41">
        <f t="shared" si="9"/>
        <v>1674000</v>
      </c>
      <c r="H146" s="49">
        <v>1674000</v>
      </c>
      <c r="I146" s="49"/>
      <c r="J146" s="43">
        <f t="shared" si="10"/>
        <v>0</v>
      </c>
      <c r="K146" s="50">
        <v>45246</v>
      </c>
      <c r="L146" s="94"/>
    </row>
    <row r="147" spans="1:13" ht="15" customHeight="1" x14ac:dyDescent="0.3">
      <c r="A147" s="58" t="s">
        <v>253</v>
      </c>
      <c r="B147" s="54" t="s">
        <v>254</v>
      </c>
      <c r="C147" s="53" t="s">
        <v>255</v>
      </c>
      <c r="D147" s="53"/>
      <c r="E147" s="52">
        <v>15395000</v>
      </c>
      <c r="F147" s="40"/>
      <c r="G147" s="41"/>
      <c r="H147" s="49"/>
      <c r="I147" s="49"/>
      <c r="J147" s="43">
        <f t="shared" si="10"/>
        <v>0</v>
      </c>
      <c r="K147" s="50" t="s">
        <v>256</v>
      </c>
      <c r="L147" s="94"/>
    </row>
    <row r="148" spans="1:13" ht="15" customHeight="1" x14ac:dyDescent="0.35">
      <c r="A148" s="45" t="s">
        <v>196</v>
      </c>
      <c r="B148" s="54" t="s">
        <v>257</v>
      </c>
      <c r="C148" s="53" t="s">
        <v>258</v>
      </c>
      <c r="D148" s="55"/>
      <c r="E148" s="52">
        <v>1920000</v>
      </c>
      <c r="F148" s="40">
        <f t="shared" si="8"/>
        <v>153600</v>
      </c>
      <c r="G148" s="41">
        <f t="shared" si="9"/>
        <v>2073600</v>
      </c>
      <c r="H148" s="49">
        <v>2073600</v>
      </c>
      <c r="I148" s="49"/>
      <c r="J148" s="43">
        <f t="shared" si="10"/>
        <v>0</v>
      </c>
      <c r="K148" s="50">
        <v>45246</v>
      </c>
      <c r="L148" s="94"/>
    </row>
    <row r="149" spans="1:13" ht="15" customHeight="1" x14ac:dyDescent="0.35">
      <c r="A149" s="45" t="s">
        <v>196</v>
      </c>
      <c r="B149" s="54" t="s">
        <v>257</v>
      </c>
      <c r="C149" s="53" t="s">
        <v>259</v>
      </c>
      <c r="D149" s="55"/>
      <c r="E149" s="52">
        <v>2040000</v>
      </c>
      <c r="F149" s="40">
        <f t="shared" si="8"/>
        <v>163200</v>
      </c>
      <c r="G149" s="41">
        <f t="shared" si="9"/>
        <v>2203200</v>
      </c>
      <c r="H149" s="49">
        <v>2203200</v>
      </c>
      <c r="I149" s="49"/>
      <c r="J149" s="43">
        <f t="shared" si="10"/>
        <v>0</v>
      </c>
      <c r="K149" s="50">
        <v>45246</v>
      </c>
      <c r="L149" s="94"/>
    </row>
    <row r="150" spans="1:13" ht="15" customHeight="1" x14ac:dyDescent="0.35">
      <c r="A150" s="45" t="s">
        <v>203</v>
      </c>
      <c r="B150" s="54" t="s">
        <v>260</v>
      </c>
      <c r="C150" s="56" t="s">
        <v>261</v>
      </c>
      <c r="D150" s="55"/>
      <c r="E150" s="52">
        <v>5085000</v>
      </c>
      <c r="F150" s="40">
        <f t="shared" si="8"/>
        <v>406800</v>
      </c>
      <c r="G150" s="41">
        <f t="shared" si="9"/>
        <v>5491800</v>
      </c>
      <c r="H150" s="49">
        <v>5491800</v>
      </c>
      <c r="I150" s="49"/>
      <c r="J150" s="43">
        <f t="shared" si="10"/>
        <v>0</v>
      </c>
      <c r="K150" s="50">
        <v>45275</v>
      </c>
      <c r="L150" s="94"/>
    </row>
    <row r="151" spans="1:13" ht="15" customHeight="1" x14ac:dyDescent="0.3">
      <c r="A151" s="58" t="s">
        <v>218</v>
      </c>
      <c r="B151" s="54">
        <v>45267</v>
      </c>
      <c r="C151" s="56" t="s">
        <v>262</v>
      </c>
      <c r="D151" s="53" t="s">
        <v>263</v>
      </c>
      <c r="E151" s="52">
        <v>1920000</v>
      </c>
      <c r="F151" s="40">
        <f t="shared" si="8"/>
        <v>153600</v>
      </c>
      <c r="G151" s="41">
        <f t="shared" si="9"/>
        <v>2073600</v>
      </c>
      <c r="H151" s="49">
        <v>2073600</v>
      </c>
      <c r="I151" s="49"/>
      <c r="J151" s="43">
        <f t="shared" si="10"/>
        <v>0</v>
      </c>
      <c r="K151" s="50">
        <v>45387</v>
      </c>
      <c r="L151" s="94"/>
      <c r="M151" s="2" t="s">
        <v>264</v>
      </c>
    </row>
    <row r="152" spans="1:13" ht="15" customHeight="1" x14ac:dyDescent="0.35">
      <c r="A152" s="45" t="s">
        <v>196</v>
      </c>
      <c r="B152" s="54" t="s">
        <v>265</v>
      </c>
      <c r="C152" s="56" t="s">
        <v>266</v>
      </c>
      <c r="D152" s="55"/>
      <c r="E152" s="52">
        <v>2510000</v>
      </c>
      <c r="F152" s="40">
        <f t="shared" si="8"/>
        <v>200800</v>
      </c>
      <c r="G152" s="41">
        <f t="shared" si="9"/>
        <v>2710800</v>
      </c>
      <c r="H152" s="49">
        <v>2710800</v>
      </c>
      <c r="I152" s="49"/>
      <c r="J152" s="43">
        <f t="shared" si="10"/>
        <v>0</v>
      </c>
      <c r="K152" s="50">
        <v>45275</v>
      </c>
      <c r="L152" s="94"/>
    </row>
    <row r="153" spans="1:13" ht="15" customHeight="1" x14ac:dyDescent="0.35">
      <c r="A153" s="45" t="s">
        <v>196</v>
      </c>
      <c r="B153" s="54" t="s">
        <v>267</v>
      </c>
      <c r="C153" s="56" t="s">
        <v>268</v>
      </c>
      <c r="D153" s="55"/>
      <c r="E153" s="52">
        <v>5085000</v>
      </c>
      <c r="F153" s="40">
        <f t="shared" si="8"/>
        <v>406800</v>
      </c>
      <c r="G153" s="41">
        <f t="shared" si="9"/>
        <v>5491800</v>
      </c>
      <c r="H153" s="49">
        <v>5491800</v>
      </c>
      <c r="I153" s="49"/>
      <c r="J153" s="43">
        <f t="shared" si="10"/>
        <v>0</v>
      </c>
      <c r="K153" s="50">
        <v>45275</v>
      </c>
      <c r="L153" s="94"/>
    </row>
    <row r="154" spans="1:13" ht="15" customHeight="1" x14ac:dyDescent="0.35">
      <c r="A154" s="45" t="s">
        <v>196</v>
      </c>
      <c r="B154" s="54" t="s">
        <v>269</v>
      </c>
      <c r="C154" s="56" t="s">
        <v>270</v>
      </c>
      <c r="D154" s="55"/>
      <c r="E154" s="52">
        <v>6125000</v>
      </c>
      <c r="F154" s="40">
        <f t="shared" si="8"/>
        <v>490000</v>
      </c>
      <c r="G154" s="41">
        <f t="shared" si="9"/>
        <v>6615000</v>
      </c>
      <c r="H154" s="49">
        <v>6615000</v>
      </c>
      <c r="I154" s="49"/>
      <c r="J154" s="43">
        <f t="shared" si="10"/>
        <v>0</v>
      </c>
      <c r="K154" s="50">
        <v>45275</v>
      </c>
      <c r="L154" s="94"/>
    </row>
    <row r="155" spans="1:13" ht="15" customHeight="1" x14ac:dyDescent="0.35">
      <c r="A155" s="45" t="s">
        <v>196</v>
      </c>
      <c r="B155" s="54" t="s">
        <v>271</v>
      </c>
      <c r="C155" s="56" t="s">
        <v>272</v>
      </c>
      <c r="D155" s="55"/>
      <c r="E155" s="52">
        <v>3045000</v>
      </c>
      <c r="F155" s="40">
        <f t="shared" si="8"/>
        <v>243600</v>
      </c>
      <c r="G155" s="41">
        <f t="shared" si="9"/>
        <v>3288600</v>
      </c>
      <c r="H155" s="49">
        <v>3288600</v>
      </c>
      <c r="I155" s="49"/>
      <c r="J155" s="43">
        <f t="shared" si="10"/>
        <v>0</v>
      </c>
      <c r="K155" s="50">
        <v>45275</v>
      </c>
      <c r="L155" s="94"/>
    </row>
    <row r="156" spans="1:13" ht="15" customHeight="1" x14ac:dyDescent="0.35">
      <c r="A156" s="45" t="s">
        <v>196</v>
      </c>
      <c r="B156" s="54" t="s">
        <v>273</v>
      </c>
      <c r="C156" s="56" t="s">
        <v>274</v>
      </c>
      <c r="D156" s="55"/>
      <c r="E156" s="52">
        <v>8925000</v>
      </c>
      <c r="F156" s="40">
        <f t="shared" si="8"/>
        <v>714000</v>
      </c>
      <c r="G156" s="41">
        <f t="shared" si="9"/>
        <v>9639000</v>
      </c>
      <c r="H156" s="49">
        <v>9639000</v>
      </c>
      <c r="I156" s="49"/>
      <c r="J156" s="43">
        <f t="shared" si="10"/>
        <v>0</v>
      </c>
      <c r="K156" s="50">
        <v>45275</v>
      </c>
      <c r="L156" s="94"/>
    </row>
    <row r="157" spans="1:13" ht="15" customHeight="1" x14ac:dyDescent="0.35">
      <c r="A157" s="45" t="s">
        <v>196</v>
      </c>
      <c r="B157" s="54" t="s">
        <v>273</v>
      </c>
      <c r="C157" s="56" t="s">
        <v>275</v>
      </c>
      <c r="D157" s="55"/>
      <c r="E157" s="52">
        <v>6125000</v>
      </c>
      <c r="F157" s="40">
        <f t="shared" si="8"/>
        <v>490000</v>
      </c>
      <c r="G157" s="41">
        <f t="shared" si="9"/>
        <v>6615000</v>
      </c>
      <c r="H157" s="49">
        <v>6615000</v>
      </c>
      <c r="I157" s="49"/>
      <c r="J157" s="43">
        <f t="shared" si="10"/>
        <v>0</v>
      </c>
      <c r="K157" s="50">
        <v>45275</v>
      </c>
      <c r="L157" s="94"/>
    </row>
    <row r="158" spans="1:13" ht="15" customHeight="1" x14ac:dyDescent="0.3">
      <c r="A158" s="58" t="s">
        <v>218</v>
      </c>
      <c r="B158" s="54" t="s">
        <v>276</v>
      </c>
      <c r="C158" s="56" t="s">
        <v>277</v>
      </c>
      <c r="D158" s="53"/>
      <c r="E158" s="52">
        <v>26950000</v>
      </c>
      <c r="F158" s="40">
        <f t="shared" si="8"/>
        <v>2156000</v>
      </c>
      <c r="G158" s="41">
        <f t="shared" si="9"/>
        <v>29106000</v>
      </c>
      <c r="H158" s="49">
        <v>29106000</v>
      </c>
      <c r="I158" s="49"/>
      <c r="J158" s="43">
        <f t="shared" si="10"/>
        <v>0</v>
      </c>
      <c r="K158" s="50">
        <v>45387</v>
      </c>
      <c r="L158" s="94"/>
    </row>
    <row r="159" spans="1:13" ht="15" customHeight="1" x14ac:dyDescent="0.3">
      <c r="A159" s="58" t="s">
        <v>218</v>
      </c>
      <c r="B159" s="54" t="s">
        <v>278</v>
      </c>
      <c r="C159" s="53" t="s">
        <v>279</v>
      </c>
      <c r="D159" s="53"/>
      <c r="E159" s="52">
        <v>6264000</v>
      </c>
      <c r="F159" s="40"/>
      <c r="G159" s="41"/>
      <c r="H159" s="49"/>
      <c r="I159" s="49"/>
      <c r="J159" s="43">
        <f t="shared" si="10"/>
        <v>0</v>
      </c>
      <c r="K159" s="50" t="s">
        <v>181</v>
      </c>
      <c r="L159" s="94"/>
    </row>
    <row r="160" spans="1:13" ht="15" customHeight="1" x14ac:dyDescent="0.3">
      <c r="A160" s="58" t="s">
        <v>218</v>
      </c>
      <c r="B160" s="54">
        <v>45282</v>
      </c>
      <c r="C160" s="56" t="s">
        <v>280</v>
      </c>
      <c r="D160" s="53" t="s">
        <v>281</v>
      </c>
      <c r="E160" s="52">
        <v>7200000</v>
      </c>
      <c r="F160" s="40">
        <f t="shared" si="8"/>
        <v>576000</v>
      </c>
      <c r="G160" s="41">
        <f t="shared" si="9"/>
        <v>7776000</v>
      </c>
      <c r="H160" s="49">
        <v>7776000</v>
      </c>
      <c r="I160" s="49"/>
      <c r="J160" s="43">
        <f t="shared" si="10"/>
        <v>0</v>
      </c>
      <c r="K160" s="50">
        <v>45387</v>
      </c>
      <c r="L160" s="94"/>
    </row>
    <row r="161" spans="1:12" ht="15" customHeight="1" x14ac:dyDescent="0.3">
      <c r="A161" s="58" t="s">
        <v>196</v>
      </c>
      <c r="B161" s="54" t="s">
        <v>282</v>
      </c>
      <c r="C161" s="56" t="s">
        <v>283</v>
      </c>
      <c r="D161" s="53"/>
      <c r="E161" s="52">
        <v>6196500</v>
      </c>
      <c r="F161" s="40">
        <f>+E161*0.08</f>
        <v>495720</v>
      </c>
      <c r="G161" s="41">
        <f t="shared" si="9"/>
        <v>6692220</v>
      </c>
      <c r="H161" s="49">
        <v>6692220</v>
      </c>
      <c r="I161" s="49"/>
      <c r="J161" s="43">
        <f t="shared" si="10"/>
        <v>0</v>
      </c>
      <c r="K161" s="50">
        <v>45387</v>
      </c>
      <c r="L161" s="94"/>
    </row>
    <row r="162" spans="1:12" ht="15" customHeight="1" x14ac:dyDescent="0.3">
      <c r="A162" s="58" t="s">
        <v>196</v>
      </c>
      <c r="B162" s="54" t="s">
        <v>282</v>
      </c>
      <c r="C162" s="53" t="s">
        <v>284</v>
      </c>
      <c r="D162" s="53"/>
      <c r="E162" s="52">
        <v>8928000</v>
      </c>
      <c r="F162" s="40">
        <f t="shared" si="8"/>
        <v>714240</v>
      </c>
      <c r="G162" s="41">
        <f t="shared" si="9"/>
        <v>9642240</v>
      </c>
      <c r="H162" s="49">
        <v>9642240</v>
      </c>
      <c r="I162" s="49"/>
      <c r="J162" s="43">
        <f t="shared" si="10"/>
        <v>0</v>
      </c>
      <c r="K162" s="50">
        <v>45387</v>
      </c>
      <c r="L162" s="94"/>
    </row>
    <row r="163" spans="1:12" ht="15" customHeight="1" x14ac:dyDescent="0.3">
      <c r="A163" s="58" t="s">
        <v>218</v>
      </c>
      <c r="B163" s="54" t="s">
        <v>282</v>
      </c>
      <c r="C163" s="53" t="s">
        <v>285</v>
      </c>
      <c r="D163" s="53"/>
      <c r="E163" s="52">
        <v>5404500</v>
      </c>
      <c r="F163" s="40">
        <f t="shared" si="8"/>
        <v>432360</v>
      </c>
      <c r="G163" s="41">
        <f t="shared" si="9"/>
        <v>5836860</v>
      </c>
      <c r="H163" s="49">
        <v>5836860</v>
      </c>
      <c r="I163" s="49"/>
      <c r="J163" s="43">
        <f t="shared" si="10"/>
        <v>0</v>
      </c>
      <c r="K163" s="50">
        <v>45387</v>
      </c>
      <c r="L163" s="94"/>
    </row>
    <row r="164" spans="1:12" ht="15" customHeight="1" x14ac:dyDescent="0.3">
      <c r="A164" s="58" t="s">
        <v>253</v>
      </c>
      <c r="B164" s="54" t="s">
        <v>286</v>
      </c>
      <c r="C164" s="56" t="s">
        <v>287</v>
      </c>
      <c r="D164" s="53"/>
      <c r="E164" s="52">
        <v>1020000</v>
      </c>
      <c r="F164" s="40">
        <f t="shared" si="8"/>
        <v>81600</v>
      </c>
      <c r="G164" s="41">
        <f t="shared" si="9"/>
        <v>1101600</v>
      </c>
      <c r="H164" s="49">
        <v>1101600</v>
      </c>
      <c r="I164" s="49"/>
      <c r="J164" s="43">
        <f t="shared" si="10"/>
        <v>0</v>
      </c>
      <c r="K164" s="50">
        <v>45387</v>
      </c>
      <c r="L164" s="94"/>
    </row>
    <row r="165" spans="1:12" ht="15" customHeight="1" x14ac:dyDescent="0.3">
      <c r="A165" s="58" t="s">
        <v>203</v>
      </c>
      <c r="B165" s="54" t="s">
        <v>288</v>
      </c>
      <c r="C165" s="56" t="s">
        <v>289</v>
      </c>
      <c r="D165" s="53"/>
      <c r="E165" s="52">
        <v>6196500</v>
      </c>
      <c r="F165" s="40">
        <f t="shared" si="8"/>
        <v>495720</v>
      </c>
      <c r="G165" s="41">
        <f t="shared" si="9"/>
        <v>6692220</v>
      </c>
      <c r="H165" s="49">
        <v>6692220</v>
      </c>
      <c r="I165" s="49"/>
      <c r="J165" s="43">
        <f t="shared" si="10"/>
        <v>0</v>
      </c>
      <c r="K165" s="50">
        <v>45387</v>
      </c>
      <c r="L165" s="94"/>
    </row>
    <row r="166" spans="1:12" ht="15" customHeight="1" x14ac:dyDescent="0.3">
      <c r="A166" s="58" t="s">
        <v>253</v>
      </c>
      <c r="B166" s="54" t="s">
        <v>288</v>
      </c>
      <c r="C166" s="56" t="s">
        <v>290</v>
      </c>
      <c r="D166" s="53"/>
      <c r="E166" s="52">
        <v>904500</v>
      </c>
      <c r="F166" s="40">
        <f t="shared" si="8"/>
        <v>72360</v>
      </c>
      <c r="G166" s="41">
        <f t="shared" si="9"/>
        <v>976860</v>
      </c>
      <c r="H166" s="49">
        <v>976860</v>
      </c>
      <c r="I166" s="49"/>
      <c r="J166" s="43">
        <f t="shared" si="10"/>
        <v>0</v>
      </c>
      <c r="K166" s="50">
        <v>45387</v>
      </c>
      <c r="L166" s="94"/>
    </row>
    <row r="167" spans="1:12" ht="15" customHeight="1" x14ac:dyDescent="0.3">
      <c r="A167" s="58" t="s">
        <v>218</v>
      </c>
      <c r="B167" s="54" t="s">
        <v>291</v>
      </c>
      <c r="C167" s="56" t="s">
        <v>292</v>
      </c>
      <c r="D167" s="53"/>
      <c r="E167" s="52">
        <v>1020000</v>
      </c>
      <c r="F167" s="40">
        <f t="shared" si="8"/>
        <v>81600</v>
      </c>
      <c r="G167" s="41">
        <f t="shared" si="9"/>
        <v>1101600</v>
      </c>
      <c r="H167" s="49">
        <v>1101600</v>
      </c>
      <c r="I167" s="49"/>
      <c r="J167" s="43">
        <f t="shared" si="10"/>
        <v>0</v>
      </c>
      <c r="K167" s="50">
        <v>45387</v>
      </c>
      <c r="L167" s="94"/>
    </row>
    <row r="168" spans="1:12" ht="15" customHeight="1" x14ac:dyDescent="0.3">
      <c r="A168" s="58" t="s">
        <v>253</v>
      </c>
      <c r="B168" s="54" t="s">
        <v>293</v>
      </c>
      <c r="C168" s="53" t="s">
        <v>294</v>
      </c>
      <c r="D168" s="53"/>
      <c r="E168" s="52">
        <v>6706400</v>
      </c>
      <c r="F168" s="40"/>
      <c r="G168" s="41"/>
      <c r="H168" s="49"/>
      <c r="I168" s="49"/>
      <c r="J168" s="43">
        <f t="shared" si="10"/>
        <v>0</v>
      </c>
      <c r="K168" s="50" t="s">
        <v>181</v>
      </c>
      <c r="L168" s="94"/>
    </row>
    <row r="169" spans="1:12" ht="15" customHeight="1" x14ac:dyDescent="0.3">
      <c r="A169" s="58" t="s">
        <v>218</v>
      </c>
      <c r="B169" s="54" t="s">
        <v>293</v>
      </c>
      <c r="C169" s="56" t="s">
        <v>295</v>
      </c>
      <c r="D169" s="53"/>
      <c r="E169" s="52">
        <v>11968800</v>
      </c>
      <c r="F169" s="40">
        <f t="shared" si="8"/>
        <v>957504</v>
      </c>
      <c r="G169" s="41">
        <f t="shared" si="9"/>
        <v>12926304</v>
      </c>
      <c r="H169" s="49">
        <v>12926304</v>
      </c>
      <c r="I169" s="49"/>
      <c r="J169" s="43">
        <f t="shared" si="10"/>
        <v>0</v>
      </c>
      <c r="K169" s="50">
        <v>45387</v>
      </c>
      <c r="L169" s="94"/>
    </row>
    <row r="170" spans="1:12" ht="15" customHeight="1" x14ac:dyDescent="0.3">
      <c r="A170" s="58" t="s">
        <v>253</v>
      </c>
      <c r="B170" s="54" t="s">
        <v>293</v>
      </c>
      <c r="C170" s="56" t="s">
        <v>296</v>
      </c>
      <c r="D170" s="53"/>
      <c r="E170" s="52">
        <v>2025000</v>
      </c>
      <c r="F170" s="40">
        <f t="shared" si="8"/>
        <v>162000</v>
      </c>
      <c r="G170" s="41">
        <f t="shared" si="9"/>
        <v>2187000</v>
      </c>
      <c r="H170" s="49">
        <v>2187000</v>
      </c>
      <c r="I170" s="49"/>
      <c r="J170" s="43">
        <f t="shared" si="10"/>
        <v>0</v>
      </c>
      <c r="K170" s="50">
        <v>45387</v>
      </c>
      <c r="L170" s="94"/>
    </row>
    <row r="171" spans="1:12" ht="15" customHeight="1" x14ac:dyDescent="0.3">
      <c r="A171" s="58" t="s">
        <v>203</v>
      </c>
      <c r="B171" s="54" t="s">
        <v>297</v>
      </c>
      <c r="C171" s="53" t="s">
        <v>298</v>
      </c>
      <c r="D171" s="53"/>
      <c r="E171" s="52">
        <v>4920000</v>
      </c>
      <c r="F171" s="40"/>
      <c r="G171" s="41"/>
      <c r="H171" s="49"/>
      <c r="I171" s="49"/>
      <c r="J171" s="43">
        <f t="shared" si="10"/>
        <v>0</v>
      </c>
      <c r="K171" s="50" t="s">
        <v>181</v>
      </c>
      <c r="L171" s="94"/>
    </row>
    <row r="172" spans="1:12" ht="15" customHeight="1" x14ac:dyDescent="0.3">
      <c r="A172" s="58" t="s">
        <v>253</v>
      </c>
      <c r="B172" s="54" t="s">
        <v>299</v>
      </c>
      <c r="C172" s="56" t="s">
        <v>300</v>
      </c>
      <c r="D172" s="53"/>
      <c r="E172" s="52">
        <v>71506800</v>
      </c>
      <c r="F172" s="40">
        <f t="shared" si="8"/>
        <v>5720544</v>
      </c>
      <c r="G172" s="41">
        <f t="shared" si="9"/>
        <v>77227344</v>
      </c>
      <c r="H172" s="49">
        <v>77227344</v>
      </c>
      <c r="I172" s="49"/>
      <c r="J172" s="43">
        <f t="shared" si="10"/>
        <v>0</v>
      </c>
      <c r="K172" s="50">
        <v>45387</v>
      </c>
      <c r="L172" s="94"/>
    </row>
    <row r="173" spans="1:12" ht="15" customHeight="1" x14ac:dyDescent="0.3">
      <c r="A173" s="58" t="s">
        <v>203</v>
      </c>
      <c r="B173" s="54" t="s">
        <v>299</v>
      </c>
      <c r="C173" s="56" t="s">
        <v>301</v>
      </c>
      <c r="D173" s="53"/>
      <c r="E173" s="52">
        <v>1965000</v>
      </c>
      <c r="F173" s="40">
        <f t="shared" si="8"/>
        <v>157200</v>
      </c>
      <c r="G173" s="41">
        <f t="shared" si="9"/>
        <v>2122200</v>
      </c>
      <c r="H173" s="49">
        <v>2122200</v>
      </c>
      <c r="I173" s="49"/>
      <c r="J173" s="43">
        <f t="shared" si="10"/>
        <v>0</v>
      </c>
      <c r="K173" s="50">
        <v>45387</v>
      </c>
      <c r="L173" s="94"/>
    </row>
    <row r="174" spans="1:12" ht="15" customHeight="1" x14ac:dyDescent="0.3">
      <c r="A174" s="58" t="s">
        <v>218</v>
      </c>
      <c r="B174" s="54" t="s">
        <v>299</v>
      </c>
      <c r="C174" s="56" t="s">
        <v>302</v>
      </c>
      <c r="D174" s="53"/>
      <c r="E174" s="52">
        <v>1515000</v>
      </c>
      <c r="F174" s="40">
        <f t="shared" si="8"/>
        <v>121200</v>
      </c>
      <c r="G174" s="41">
        <f t="shared" si="9"/>
        <v>1636200</v>
      </c>
      <c r="H174" s="49">
        <v>1636200</v>
      </c>
      <c r="I174" s="49"/>
      <c r="J174" s="43">
        <f t="shared" si="10"/>
        <v>0</v>
      </c>
      <c r="K174" s="50">
        <v>45387</v>
      </c>
      <c r="L174" s="94"/>
    </row>
    <row r="175" spans="1:12" ht="15" customHeight="1" x14ac:dyDescent="0.3">
      <c r="A175" s="58" t="s">
        <v>253</v>
      </c>
      <c r="B175" s="54" t="s">
        <v>299</v>
      </c>
      <c r="C175" s="56" t="s">
        <v>303</v>
      </c>
      <c r="D175" s="53"/>
      <c r="E175" s="52">
        <v>28792000</v>
      </c>
      <c r="F175" s="40">
        <f t="shared" si="8"/>
        <v>2303360</v>
      </c>
      <c r="G175" s="41">
        <f t="shared" si="9"/>
        <v>31095360</v>
      </c>
      <c r="H175" s="49">
        <v>31095360</v>
      </c>
      <c r="I175" s="49"/>
      <c r="J175" s="43">
        <f t="shared" si="10"/>
        <v>0</v>
      </c>
      <c r="K175" s="50">
        <v>45387</v>
      </c>
      <c r="L175" s="94"/>
    </row>
    <row r="176" spans="1:12" ht="15" customHeight="1" x14ac:dyDescent="0.3">
      <c r="A176" s="58" t="s">
        <v>203</v>
      </c>
      <c r="B176" s="54" t="s">
        <v>299</v>
      </c>
      <c r="C176" s="56" t="s">
        <v>304</v>
      </c>
      <c r="D176" s="53"/>
      <c r="E176" s="52">
        <v>11904800</v>
      </c>
      <c r="F176" s="40">
        <f t="shared" si="8"/>
        <v>952384</v>
      </c>
      <c r="G176" s="41">
        <f t="shared" si="9"/>
        <v>12857184</v>
      </c>
      <c r="H176" s="49">
        <v>12857184</v>
      </c>
      <c r="I176" s="49"/>
      <c r="J176" s="43">
        <f t="shared" si="10"/>
        <v>0</v>
      </c>
      <c r="K176" s="50">
        <v>45387</v>
      </c>
      <c r="L176" s="94"/>
    </row>
    <row r="177" spans="1:12" ht="15" customHeight="1" x14ac:dyDescent="0.3">
      <c r="A177" s="58" t="s">
        <v>203</v>
      </c>
      <c r="B177" s="54" t="s">
        <v>299</v>
      </c>
      <c r="C177" s="56" t="s">
        <v>305</v>
      </c>
      <c r="D177" s="53"/>
      <c r="E177" s="52">
        <v>71506800</v>
      </c>
      <c r="F177" s="40">
        <f t="shared" si="8"/>
        <v>5720544</v>
      </c>
      <c r="G177" s="41">
        <f t="shared" si="9"/>
        <v>77227344</v>
      </c>
      <c r="H177" s="49">
        <v>77227344</v>
      </c>
      <c r="I177" s="49"/>
      <c r="J177" s="43">
        <f t="shared" si="10"/>
        <v>0</v>
      </c>
      <c r="K177" s="50">
        <v>45387</v>
      </c>
      <c r="L177" s="94"/>
    </row>
    <row r="178" spans="1:12" ht="15" customHeight="1" x14ac:dyDescent="0.3">
      <c r="A178" s="58" t="s">
        <v>196</v>
      </c>
      <c r="B178" s="54" t="s">
        <v>299</v>
      </c>
      <c r="C178" s="56" t="s">
        <v>306</v>
      </c>
      <c r="D178" s="53"/>
      <c r="E178" s="52">
        <v>14525200</v>
      </c>
      <c r="F178" s="40">
        <f t="shared" si="8"/>
        <v>1162016</v>
      </c>
      <c r="G178" s="41">
        <f t="shared" si="9"/>
        <v>15687216</v>
      </c>
      <c r="H178" s="49">
        <v>15687216</v>
      </c>
      <c r="I178" s="49"/>
      <c r="J178" s="43">
        <f t="shared" si="10"/>
        <v>0</v>
      </c>
      <c r="K178" s="50">
        <v>45387</v>
      </c>
      <c r="L178" s="94"/>
    </row>
    <row r="179" spans="1:12" ht="15" customHeight="1" x14ac:dyDescent="0.3">
      <c r="A179" s="58" t="s">
        <v>196</v>
      </c>
      <c r="B179" s="54" t="s">
        <v>307</v>
      </c>
      <c r="C179" s="56" t="s">
        <v>308</v>
      </c>
      <c r="D179" s="53"/>
      <c r="E179" s="52">
        <v>71506800</v>
      </c>
      <c r="F179" s="40">
        <f t="shared" si="8"/>
        <v>5720544</v>
      </c>
      <c r="G179" s="41">
        <f t="shared" si="9"/>
        <v>77227344</v>
      </c>
      <c r="H179" s="49">
        <v>77227344</v>
      </c>
      <c r="I179" s="49"/>
      <c r="J179" s="43">
        <f t="shared" si="10"/>
        <v>0</v>
      </c>
      <c r="K179" s="50">
        <v>45387</v>
      </c>
      <c r="L179" s="94"/>
    </row>
    <row r="180" spans="1:12" ht="15" customHeight="1" x14ac:dyDescent="0.3">
      <c r="A180" s="58" t="s">
        <v>253</v>
      </c>
      <c r="B180" s="54" t="s">
        <v>309</v>
      </c>
      <c r="C180" s="56" t="s">
        <v>310</v>
      </c>
      <c r="D180" s="53"/>
      <c r="E180" s="52">
        <v>4025000</v>
      </c>
      <c r="F180" s="40">
        <f t="shared" si="8"/>
        <v>322000</v>
      </c>
      <c r="G180" s="41">
        <f t="shared" si="9"/>
        <v>4347000</v>
      </c>
      <c r="H180" s="49">
        <v>4347000</v>
      </c>
      <c r="I180" s="49"/>
      <c r="J180" s="43">
        <f t="shared" si="10"/>
        <v>0</v>
      </c>
      <c r="K180" s="50">
        <v>45387</v>
      </c>
      <c r="L180" s="94"/>
    </row>
    <row r="181" spans="1:12" ht="15" customHeight="1" x14ac:dyDescent="0.3">
      <c r="A181" s="58" t="s">
        <v>253</v>
      </c>
      <c r="B181" s="54" t="s">
        <v>309</v>
      </c>
      <c r="C181" s="56" t="s">
        <v>311</v>
      </c>
      <c r="D181" s="53"/>
      <c r="E181" s="52">
        <v>26998000</v>
      </c>
      <c r="F181" s="40">
        <f t="shared" si="8"/>
        <v>2159840</v>
      </c>
      <c r="G181" s="41">
        <f t="shared" si="9"/>
        <v>29157840</v>
      </c>
      <c r="H181" s="49">
        <v>29157840</v>
      </c>
      <c r="I181" s="49"/>
      <c r="J181" s="43">
        <f t="shared" si="10"/>
        <v>0</v>
      </c>
      <c r="K181" s="50">
        <v>45387</v>
      </c>
      <c r="L181" s="94"/>
    </row>
    <row r="182" spans="1:12" ht="15" customHeight="1" x14ac:dyDescent="0.3">
      <c r="A182" s="58" t="s">
        <v>203</v>
      </c>
      <c r="B182" s="54" t="s">
        <v>309</v>
      </c>
      <c r="C182" s="56" t="s">
        <v>312</v>
      </c>
      <c r="D182" s="53"/>
      <c r="E182" s="52">
        <v>25998000</v>
      </c>
      <c r="F182" s="40">
        <f t="shared" si="8"/>
        <v>2079840</v>
      </c>
      <c r="G182" s="41">
        <f t="shared" si="9"/>
        <v>28077840</v>
      </c>
      <c r="H182" s="49">
        <v>28077840</v>
      </c>
      <c r="I182" s="49"/>
      <c r="J182" s="43">
        <f t="shared" si="10"/>
        <v>0</v>
      </c>
      <c r="K182" s="50">
        <v>45387</v>
      </c>
      <c r="L182" s="94"/>
    </row>
    <row r="183" spans="1:12" ht="15" customHeight="1" x14ac:dyDescent="0.3">
      <c r="A183" s="58" t="s">
        <v>196</v>
      </c>
      <c r="B183" s="54" t="s">
        <v>309</v>
      </c>
      <c r="C183" s="56" t="s">
        <v>313</v>
      </c>
      <c r="D183" s="53"/>
      <c r="E183" s="52">
        <v>26890000</v>
      </c>
      <c r="F183" s="40">
        <f t="shared" si="8"/>
        <v>2151200</v>
      </c>
      <c r="G183" s="41">
        <f t="shared" si="9"/>
        <v>29041200</v>
      </c>
      <c r="H183" s="49">
        <v>29041200</v>
      </c>
      <c r="I183" s="49"/>
      <c r="J183" s="43">
        <f t="shared" si="10"/>
        <v>0</v>
      </c>
      <c r="K183" s="50">
        <v>45387</v>
      </c>
      <c r="L183" s="94"/>
    </row>
    <row r="184" spans="1:12" ht="15" customHeight="1" x14ac:dyDescent="0.3">
      <c r="A184" s="58" t="s">
        <v>203</v>
      </c>
      <c r="B184" s="54" t="s">
        <v>314</v>
      </c>
      <c r="C184" s="56" t="s">
        <v>315</v>
      </c>
      <c r="D184" s="53"/>
      <c r="E184" s="52">
        <v>1040000</v>
      </c>
      <c r="F184" s="40">
        <f t="shared" si="8"/>
        <v>83200</v>
      </c>
      <c r="G184" s="41">
        <f t="shared" si="9"/>
        <v>1123200</v>
      </c>
      <c r="H184" s="49">
        <v>1123200</v>
      </c>
      <c r="I184" s="49"/>
      <c r="J184" s="43">
        <f t="shared" si="10"/>
        <v>0</v>
      </c>
      <c r="K184" s="50">
        <v>45387</v>
      </c>
      <c r="L184" s="94"/>
    </row>
    <row r="185" spans="1:12" ht="15" customHeight="1" x14ac:dyDescent="0.3">
      <c r="A185" s="58" t="s">
        <v>196</v>
      </c>
      <c r="B185" s="54" t="s">
        <v>314</v>
      </c>
      <c r="C185" s="56" t="s">
        <v>316</v>
      </c>
      <c r="D185" s="53"/>
      <c r="E185" s="52">
        <v>3085000</v>
      </c>
      <c r="F185" s="40">
        <f t="shared" si="8"/>
        <v>246800</v>
      </c>
      <c r="G185" s="41">
        <f t="shared" si="9"/>
        <v>3331800</v>
      </c>
      <c r="H185" s="49">
        <v>3331800</v>
      </c>
      <c r="I185" s="49"/>
      <c r="J185" s="43">
        <f t="shared" si="10"/>
        <v>0</v>
      </c>
      <c r="K185" s="50">
        <v>45387</v>
      </c>
      <c r="L185" s="94"/>
    </row>
    <row r="186" spans="1:12" ht="15" customHeight="1" x14ac:dyDescent="0.3">
      <c r="A186" s="58" t="s">
        <v>196</v>
      </c>
      <c r="B186" s="54" t="s">
        <v>314</v>
      </c>
      <c r="C186" s="56" t="s">
        <v>317</v>
      </c>
      <c r="D186" s="53"/>
      <c r="E186" s="52">
        <v>26022000</v>
      </c>
      <c r="F186" s="40">
        <f t="shared" si="8"/>
        <v>2081760</v>
      </c>
      <c r="G186" s="41">
        <f t="shared" si="9"/>
        <v>28103760</v>
      </c>
      <c r="H186" s="49">
        <v>28103760</v>
      </c>
      <c r="I186" s="49"/>
      <c r="J186" s="43">
        <f t="shared" si="10"/>
        <v>0</v>
      </c>
      <c r="K186" s="50">
        <v>45387</v>
      </c>
      <c r="L186" s="94"/>
    </row>
    <row r="187" spans="1:12" ht="15" customHeight="1" x14ac:dyDescent="0.3">
      <c r="A187" s="58" t="s">
        <v>196</v>
      </c>
      <c r="B187" s="54">
        <v>45323</v>
      </c>
      <c r="C187" s="56" t="s">
        <v>318</v>
      </c>
      <c r="D187" s="53" t="s">
        <v>319</v>
      </c>
      <c r="E187" s="52">
        <v>14688000</v>
      </c>
      <c r="F187" s="40">
        <f t="shared" si="8"/>
        <v>1175040</v>
      </c>
      <c r="G187" s="41">
        <f t="shared" si="9"/>
        <v>15863040</v>
      </c>
      <c r="H187" s="49">
        <v>15863040</v>
      </c>
      <c r="I187" s="49"/>
      <c r="J187" s="43">
        <f t="shared" si="10"/>
        <v>0</v>
      </c>
      <c r="K187" s="50">
        <v>45387</v>
      </c>
      <c r="L187" s="94"/>
    </row>
    <row r="188" spans="1:12" ht="15" customHeight="1" x14ac:dyDescent="0.3">
      <c r="A188" s="58" t="s">
        <v>203</v>
      </c>
      <c r="B188" s="54" t="s">
        <v>314</v>
      </c>
      <c r="C188" s="56" t="s">
        <v>320</v>
      </c>
      <c r="D188" s="53"/>
      <c r="E188" s="52">
        <v>16560000</v>
      </c>
      <c r="F188" s="40">
        <f t="shared" ref="F188:F251" si="11">+E188*0.08</f>
        <v>1324800</v>
      </c>
      <c r="G188" s="41">
        <f t="shared" si="9"/>
        <v>17884800</v>
      </c>
      <c r="H188" s="49">
        <v>17884800</v>
      </c>
      <c r="I188" s="49"/>
      <c r="J188" s="43">
        <f t="shared" si="10"/>
        <v>0</v>
      </c>
      <c r="K188" s="50">
        <v>45387</v>
      </c>
      <c r="L188" s="94"/>
    </row>
    <row r="189" spans="1:12" ht="15" customHeight="1" x14ac:dyDescent="0.3">
      <c r="A189" s="58" t="s">
        <v>253</v>
      </c>
      <c r="B189" s="54" t="s">
        <v>314</v>
      </c>
      <c r="C189" s="56" t="s">
        <v>321</v>
      </c>
      <c r="D189" s="53"/>
      <c r="E189" s="52">
        <v>20994000</v>
      </c>
      <c r="F189" s="40">
        <f t="shared" si="11"/>
        <v>1679520</v>
      </c>
      <c r="G189" s="41">
        <f t="shared" si="9"/>
        <v>22673520</v>
      </c>
      <c r="H189" s="49">
        <v>22673520</v>
      </c>
      <c r="I189" s="49"/>
      <c r="J189" s="43">
        <f t="shared" si="10"/>
        <v>0</v>
      </c>
      <c r="K189" s="50">
        <v>45387</v>
      </c>
      <c r="L189" s="94"/>
    </row>
    <row r="190" spans="1:12" ht="15" customHeight="1" x14ac:dyDescent="0.3">
      <c r="A190" s="58" t="s">
        <v>253</v>
      </c>
      <c r="B190" s="54" t="s">
        <v>314</v>
      </c>
      <c r="C190" s="56" t="s">
        <v>322</v>
      </c>
      <c r="D190" s="53"/>
      <c r="E190" s="52">
        <v>16560000</v>
      </c>
      <c r="F190" s="40">
        <f t="shared" si="11"/>
        <v>1324800</v>
      </c>
      <c r="G190" s="41">
        <f t="shared" si="9"/>
        <v>17884800</v>
      </c>
      <c r="H190" s="49">
        <v>17884800</v>
      </c>
      <c r="I190" s="49"/>
      <c r="J190" s="43">
        <f t="shared" si="10"/>
        <v>0</v>
      </c>
      <c r="K190" s="50">
        <v>45387</v>
      </c>
      <c r="L190" s="94"/>
    </row>
    <row r="191" spans="1:12" s="14" customFormat="1" ht="15" customHeight="1" x14ac:dyDescent="0.3">
      <c r="A191" s="59" t="s">
        <v>203</v>
      </c>
      <c r="B191" s="60" t="s">
        <v>323</v>
      </c>
      <c r="C191" s="61" t="s">
        <v>324</v>
      </c>
      <c r="D191" s="62"/>
      <c r="E191" s="63">
        <v>3005000</v>
      </c>
      <c r="F191" s="63">
        <f t="shared" si="11"/>
        <v>240400</v>
      </c>
      <c r="G191" s="64">
        <f t="shared" si="9"/>
        <v>3245400</v>
      </c>
      <c r="H191" s="64">
        <v>3245400</v>
      </c>
      <c r="I191" s="65"/>
      <c r="J191" s="66">
        <f t="shared" si="10"/>
        <v>0</v>
      </c>
      <c r="K191" s="67">
        <v>45387</v>
      </c>
      <c r="L191" s="94"/>
    </row>
    <row r="192" spans="1:12" s="14" customFormat="1" ht="15" customHeight="1" x14ac:dyDescent="0.3">
      <c r="A192" s="59" t="s">
        <v>325</v>
      </c>
      <c r="B192" s="60">
        <v>45323</v>
      </c>
      <c r="C192" s="61" t="s">
        <v>326</v>
      </c>
      <c r="D192" s="62" t="s">
        <v>327</v>
      </c>
      <c r="E192" s="63">
        <v>11221000</v>
      </c>
      <c r="F192" s="63">
        <f t="shared" si="11"/>
        <v>897680</v>
      </c>
      <c r="G192" s="64">
        <f t="shared" si="9"/>
        <v>12118680</v>
      </c>
      <c r="H192" s="65">
        <v>12118680</v>
      </c>
      <c r="I192" s="65"/>
      <c r="J192" s="66">
        <f t="shared" si="10"/>
        <v>0</v>
      </c>
      <c r="K192" s="67">
        <v>45387</v>
      </c>
      <c r="L192" s="94"/>
    </row>
    <row r="193" spans="1:12" s="14" customFormat="1" ht="15" customHeight="1" x14ac:dyDescent="0.3">
      <c r="A193" s="59" t="s">
        <v>325</v>
      </c>
      <c r="B193" s="60" t="s">
        <v>323</v>
      </c>
      <c r="C193" s="61" t="s">
        <v>328</v>
      </c>
      <c r="D193" s="62"/>
      <c r="E193" s="63">
        <v>16560000</v>
      </c>
      <c r="F193" s="63">
        <f t="shared" si="11"/>
        <v>1324800</v>
      </c>
      <c r="G193" s="64">
        <f t="shared" si="9"/>
        <v>17884800</v>
      </c>
      <c r="H193" s="65">
        <v>17884800</v>
      </c>
      <c r="I193" s="65"/>
      <c r="J193" s="66">
        <f t="shared" si="10"/>
        <v>0</v>
      </c>
      <c r="K193" s="67">
        <v>45387</v>
      </c>
      <c r="L193" s="94"/>
    </row>
    <row r="194" spans="1:12" s="14" customFormat="1" ht="15" customHeight="1" x14ac:dyDescent="0.3">
      <c r="A194" s="59" t="s">
        <v>253</v>
      </c>
      <c r="B194" s="60" t="s">
        <v>329</v>
      </c>
      <c r="C194" s="61" t="s">
        <v>330</v>
      </c>
      <c r="D194" s="62"/>
      <c r="E194" s="63">
        <v>9360000</v>
      </c>
      <c r="F194" s="63">
        <f t="shared" si="11"/>
        <v>748800</v>
      </c>
      <c r="G194" s="64">
        <f t="shared" si="9"/>
        <v>10108800</v>
      </c>
      <c r="H194" s="65">
        <v>10108800</v>
      </c>
      <c r="I194" s="65"/>
      <c r="J194" s="66">
        <f t="shared" si="10"/>
        <v>0</v>
      </c>
      <c r="K194" s="67">
        <v>45387</v>
      </c>
      <c r="L194" s="94"/>
    </row>
    <row r="195" spans="1:12" s="14" customFormat="1" ht="15" customHeight="1" x14ac:dyDescent="0.3">
      <c r="A195" s="59" t="s">
        <v>325</v>
      </c>
      <c r="B195" s="60" t="s">
        <v>331</v>
      </c>
      <c r="C195" s="61" t="s">
        <v>332</v>
      </c>
      <c r="D195" s="62"/>
      <c r="E195" s="63">
        <v>22041200</v>
      </c>
      <c r="F195" s="63">
        <f t="shared" si="11"/>
        <v>1763296</v>
      </c>
      <c r="G195" s="64">
        <f t="shared" si="9"/>
        <v>23804496</v>
      </c>
      <c r="H195" s="65">
        <v>23804496</v>
      </c>
      <c r="I195" s="65"/>
      <c r="J195" s="66">
        <f t="shared" si="10"/>
        <v>0</v>
      </c>
      <c r="K195" s="67">
        <v>45387</v>
      </c>
      <c r="L195" s="94"/>
    </row>
    <row r="196" spans="1:12" s="14" customFormat="1" ht="15" customHeight="1" x14ac:dyDescent="0.3">
      <c r="A196" s="59" t="s">
        <v>203</v>
      </c>
      <c r="B196" s="60" t="s">
        <v>331</v>
      </c>
      <c r="C196" s="62" t="s">
        <v>333</v>
      </c>
      <c r="D196" s="62"/>
      <c r="E196" s="63">
        <v>16140800</v>
      </c>
      <c r="F196" s="63">
        <f t="shared" si="11"/>
        <v>1291264</v>
      </c>
      <c r="G196" s="64">
        <f t="shared" si="9"/>
        <v>17432064</v>
      </c>
      <c r="H196" s="65">
        <v>17432064</v>
      </c>
      <c r="I196" s="65"/>
      <c r="J196" s="66">
        <f t="shared" si="10"/>
        <v>0</v>
      </c>
      <c r="K196" s="67">
        <v>45387</v>
      </c>
      <c r="L196" s="94"/>
    </row>
    <row r="197" spans="1:12" s="14" customFormat="1" ht="15" customHeight="1" x14ac:dyDescent="0.3">
      <c r="A197" s="59" t="s">
        <v>253</v>
      </c>
      <c r="B197" s="60" t="s">
        <v>331</v>
      </c>
      <c r="C197" s="61" t="s">
        <v>334</v>
      </c>
      <c r="D197" s="62"/>
      <c r="E197" s="63">
        <v>19054000</v>
      </c>
      <c r="F197" s="63">
        <f t="shared" si="11"/>
        <v>1524320</v>
      </c>
      <c r="G197" s="64">
        <f t="shared" si="9"/>
        <v>20578320</v>
      </c>
      <c r="H197" s="65">
        <v>20578320</v>
      </c>
      <c r="I197" s="65"/>
      <c r="J197" s="66">
        <f t="shared" si="10"/>
        <v>0</v>
      </c>
      <c r="K197" s="67">
        <v>45387</v>
      </c>
      <c r="L197" s="94"/>
    </row>
    <row r="198" spans="1:12" s="14" customFormat="1" ht="15" customHeight="1" x14ac:dyDescent="0.3">
      <c r="A198" s="59" t="s">
        <v>253</v>
      </c>
      <c r="B198" s="60" t="s">
        <v>331</v>
      </c>
      <c r="C198" s="61" t="s">
        <v>335</v>
      </c>
      <c r="D198" s="62"/>
      <c r="E198" s="63">
        <v>11367000</v>
      </c>
      <c r="F198" s="63">
        <f t="shared" si="11"/>
        <v>909360</v>
      </c>
      <c r="G198" s="64">
        <f t="shared" si="9"/>
        <v>12276360</v>
      </c>
      <c r="H198" s="65">
        <v>12276360</v>
      </c>
      <c r="I198" s="65"/>
      <c r="J198" s="66">
        <f t="shared" si="10"/>
        <v>0</v>
      </c>
      <c r="K198" s="67">
        <v>45387</v>
      </c>
      <c r="L198" s="94"/>
    </row>
    <row r="199" spans="1:12" s="14" customFormat="1" ht="15" customHeight="1" x14ac:dyDescent="0.3">
      <c r="A199" s="59" t="s">
        <v>325</v>
      </c>
      <c r="B199" s="60">
        <v>45343</v>
      </c>
      <c r="C199" s="61" t="s">
        <v>151</v>
      </c>
      <c r="D199" s="62" t="s">
        <v>336</v>
      </c>
      <c r="E199" s="63">
        <v>23871000</v>
      </c>
      <c r="F199" s="63">
        <f t="shared" si="11"/>
        <v>1909680</v>
      </c>
      <c r="G199" s="64">
        <f t="shared" si="9"/>
        <v>25780680</v>
      </c>
      <c r="H199" s="65">
        <v>25780680</v>
      </c>
      <c r="I199" s="65"/>
      <c r="J199" s="66">
        <f t="shared" si="10"/>
        <v>0</v>
      </c>
      <c r="K199" s="67">
        <v>45387</v>
      </c>
      <c r="L199" s="94"/>
    </row>
    <row r="200" spans="1:12" s="14" customFormat="1" ht="15" customHeight="1" x14ac:dyDescent="0.3">
      <c r="A200" s="59" t="s">
        <v>203</v>
      </c>
      <c r="B200" s="60" t="s">
        <v>337</v>
      </c>
      <c r="C200" s="62" t="s">
        <v>152</v>
      </c>
      <c r="D200" s="62"/>
      <c r="E200" s="63">
        <v>6225000</v>
      </c>
      <c r="F200" s="63">
        <f t="shared" si="11"/>
        <v>498000</v>
      </c>
      <c r="G200" s="64">
        <f t="shared" si="9"/>
        <v>6723000</v>
      </c>
      <c r="H200" s="65">
        <v>6723000</v>
      </c>
      <c r="I200" s="65"/>
      <c r="J200" s="66">
        <f t="shared" si="10"/>
        <v>0</v>
      </c>
      <c r="K200" s="67">
        <v>45387</v>
      </c>
      <c r="L200" s="94"/>
    </row>
    <row r="201" spans="1:12" s="14" customFormat="1" ht="15" customHeight="1" x14ac:dyDescent="0.3">
      <c r="A201" s="59" t="s">
        <v>253</v>
      </c>
      <c r="B201" s="60" t="s">
        <v>337</v>
      </c>
      <c r="C201" s="62" t="s">
        <v>338</v>
      </c>
      <c r="D201" s="62"/>
      <c r="E201" s="63">
        <v>5991000</v>
      </c>
      <c r="F201" s="63">
        <f t="shared" si="11"/>
        <v>479280</v>
      </c>
      <c r="G201" s="64">
        <f t="shared" ref="G201:G264" si="12">E201+F201</f>
        <v>6470280</v>
      </c>
      <c r="H201" s="65">
        <v>6470280</v>
      </c>
      <c r="I201" s="65"/>
      <c r="J201" s="66">
        <f t="shared" si="10"/>
        <v>0</v>
      </c>
      <c r="K201" s="67">
        <v>45387</v>
      </c>
      <c r="L201" s="94"/>
    </row>
    <row r="202" spans="1:12" s="14" customFormat="1" ht="15" customHeight="1" x14ac:dyDescent="0.3">
      <c r="A202" s="59" t="s">
        <v>196</v>
      </c>
      <c r="B202" s="60">
        <v>45345</v>
      </c>
      <c r="C202" s="62" t="s">
        <v>339</v>
      </c>
      <c r="D202" s="62" t="s">
        <v>340</v>
      </c>
      <c r="E202" s="63">
        <v>4965000</v>
      </c>
      <c r="F202" s="63">
        <f t="shared" si="11"/>
        <v>397200</v>
      </c>
      <c r="G202" s="64">
        <f t="shared" si="12"/>
        <v>5362200</v>
      </c>
      <c r="H202" s="65">
        <v>5362200</v>
      </c>
      <c r="I202" s="65"/>
      <c r="J202" s="66">
        <f t="shared" ref="J202:J265" si="13">G202-H202</f>
        <v>0</v>
      </c>
      <c r="K202" s="67">
        <v>45387</v>
      </c>
      <c r="L202" s="94"/>
    </row>
    <row r="203" spans="1:12" s="14" customFormat="1" ht="15" customHeight="1" x14ac:dyDescent="0.3">
      <c r="A203" s="59" t="s">
        <v>203</v>
      </c>
      <c r="B203" s="60" t="s">
        <v>341</v>
      </c>
      <c r="C203" s="62" t="s">
        <v>342</v>
      </c>
      <c r="D203" s="62"/>
      <c r="E203" s="63">
        <v>14010000</v>
      </c>
      <c r="F203" s="63">
        <f t="shared" si="11"/>
        <v>1120800</v>
      </c>
      <c r="G203" s="64">
        <f t="shared" si="12"/>
        <v>15130800</v>
      </c>
      <c r="H203" s="65">
        <v>15130800</v>
      </c>
      <c r="I203" s="65"/>
      <c r="J203" s="66">
        <f t="shared" si="13"/>
        <v>0</v>
      </c>
      <c r="K203" s="67">
        <v>45387</v>
      </c>
      <c r="L203" s="94"/>
    </row>
    <row r="204" spans="1:12" s="14" customFormat="1" ht="15" customHeight="1" x14ac:dyDescent="0.3">
      <c r="A204" s="59" t="s">
        <v>253</v>
      </c>
      <c r="B204" s="60" t="s">
        <v>341</v>
      </c>
      <c r="C204" s="62" t="s">
        <v>343</v>
      </c>
      <c r="D204" s="62"/>
      <c r="E204" s="63">
        <v>4905000</v>
      </c>
      <c r="F204" s="63">
        <f t="shared" si="11"/>
        <v>392400</v>
      </c>
      <c r="G204" s="64">
        <f t="shared" si="12"/>
        <v>5297400</v>
      </c>
      <c r="H204" s="65">
        <v>5297400</v>
      </c>
      <c r="I204" s="65"/>
      <c r="J204" s="66">
        <f t="shared" si="13"/>
        <v>0</v>
      </c>
      <c r="K204" s="67">
        <v>45387</v>
      </c>
      <c r="L204" s="94"/>
    </row>
    <row r="205" spans="1:12" s="14" customFormat="1" ht="15" customHeight="1" x14ac:dyDescent="0.3">
      <c r="A205" s="59" t="s">
        <v>253</v>
      </c>
      <c r="B205" s="60" t="s">
        <v>344</v>
      </c>
      <c r="C205" s="62" t="s">
        <v>345</v>
      </c>
      <c r="D205" s="62"/>
      <c r="E205" s="63">
        <v>4985000</v>
      </c>
      <c r="F205" s="63"/>
      <c r="G205" s="64"/>
      <c r="H205" s="65"/>
      <c r="I205" s="65"/>
      <c r="J205" s="66">
        <f t="shared" si="13"/>
        <v>0</v>
      </c>
      <c r="K205" s="67" t="s">
        <v>131</v>
      </c>
      <c r="L205" s="94"/>
    </row>
    <row r="206" spans="1:12" s="14" customFormat="1" ht="15" customHeight="1" x14ac:dyDescent="0.3">
      <c r="A206" s="59" t="s">
        <v>253</v>
      </c>
      <c r="B206" s="60" t="s">
        <v>346</v>
      </c>
      <c r="C206" s="61" t="s">
        <v>347</v>
      </c>
      <c r="D206" s="62"/>
      <c r="E206" s="63">
        <v>12920000</v>
      </c>
      <c r="F206" s="63">
        <f t="shared" si="11"/>
        <v>1033600</v>
      </c>
      <c r="G206" s="64">
        <f t="shared" si="12"/>
        <v>13953600</v>
      </c>
      <c r="H206" s="65">
        <v>13953600</v>
      </c>
      <c r="I206" s="65"/>
      <c r="J206" s="66">
        <f t="shared" si="13"/>
        <v>0</v>
      </c>
      <c r="K206" s="67">
        <v>45387</v>
      </c>
      <c r="L206" s="94"/>
    </row>
    <row r="207" spans="1:12" s="14" customFormat="1" ht="15" customHeight="1" x14ac:dyDescent="0.3">
      <c r="A207" s="59" t="s">
        <v>203</v>
      </c>
      <c r="B207" s="60" t="s">
        <v>348</v>
      </c>
      <c r="C207" s="62" t="s">
        <v>349</v>
      </c>
      <c r="D207" s="62"/>
      <c r="E207" s="63">
        <v>25930000</v>
      </c>
      <c r="F207" s="63">
        <f t="shared" si="11"/>
        <v>2074400</v>
      </c>
      <c r="G207" s="64">
        <f t="shared" si="12"/>
        <v>28004400</v>
      </c>
      <c r="H207" s="65">
        <v>28004400</v>
      </c>
      <c r="I207" s="65"/>
      <c r="J207" s="66">
        <f t="shared" si="13"/>
        <v>0</v>
      </c>
      <c r="K207" s="67">
        <v>45387</v>
      </c>
      <c r="L207" s="94"/>
    </row>
    <row r="208" spans="1:12" s="14" customFormat="1" ht="15" customHeight="1" x14ac:dyDescent="0.3">
      <c r="A208" s="59" t="s">
        <v>325</v>
      </c>
      <c r="B208" s="60" t="s">
        <v>348</v>
      </c>
      <c r="C208" s="61" t="s">
        <v>350</v>
      </c>
      <c r="D208" s="62"/>
      <c r="E208" s="63">
        <v>25030000</v>
      </c>
      <c r="F208" s="63">
        <f t="shared" si="11"/>
        <v>2002400</v>
      </c>
      <c r="G208" s="64">
        <f t="shared" si="12"/>
        <v>27032400</v>
      </c>
      <c r="H208" s="65">
        <v>27032400</v>
      </c>
      <c r="I208" s="65"/>
      <c r="J208" s="66">
        <f t="shared" si="13"/>
        <v>0</v>
      </c>
      <c r="K208" s="67">
        <v>45387</v>
      </c>
      <c r="L208" s="94"/>
    </row>
    <row r="209" spans="1:12" s="14" customFormat="1" ht="15" customHeight="1" x14ac:dyDescent="0.3">
      <c r="A209" s="59" t="s">
        <v>253</v>
      </c>
      <c r="B209" s="60" t="s">
        <v>348</v>
      </c>
      <c r="C209" s="62" t="s">
        <v>351</v>
      </c>
      <c r="D209" s="62"/>
      <c r="E209" s="63">
        <v>12395000</v>
      </c>
      <c r="F209" s="63">
        <f t="shared" si="11"/>
        <v>991600</v>
      </c>
      <c r="G209" s="64">
        <f t="shared" si="12"/>
        <v>13386600</v>
      </c>
      <c r="H209" s="65">
        <v>13386600</v>
      </c>
      <c r="I209" s="65"/>
      <c r="J209" s="66">
        <f t="shared" si="13"/>
        <v>0</v>
      </c>
      <c r="K209" s="67">
        <v>45387</v>
      </c>
      <c r="L209" s="94"/>
    </row>
    <row r="210" spans="1:12" s="14" customFormat="1" ht="15" customHeight="1" x14ac:dyDescent="0.3">
      <c r="A210" s="59" t="s">
        <v>253</v>
      </c>
      <c r="B210" s="60" t="s">
        <v>352</v>
      </c>
      <c r="C210" s="61" t="s">
        <v>353</v>
      </c>
      <c r="D210" s="62"/>
      <c r="E210" s="63">
        <v>3555000</v>
      </c>
      <c r="F210" s="63">
        <f t="shared" si="11"/>
        <v>284400</v>
      </c>
      <c r="G210" s="64">
        <f>E210+F210</f>
        <v>3839400</v>
      </c>
      <c r="H210" s="65">
        <v>3839400</v>
      </c>
      <c r="I210" s="65"/>
      <c r="J210" s="66">
        <f t="shared" si="13"/>
        <v>0</v>
      </c>
      <c r="K210" s="67">
        <v>45397</v>
      </c>
      <c r="L210" s="94"/>
    </row>
    <row r="211" spans="1:12" s="14" customFormat="1" ht="15" customHeight="1" x14ac:dyDescent="0.3">
      <c r="A211" s="59" t="s">
        <v>253</v>
      </c>
      <c r="B211" s="60" t="s">
        <v>354</v>
      </c>
      <c r="C211" s="61" t="s">
        <v>355</v>
      </c>
      <c r="D211" s="62"/>
      <c r="E211" s="63">
        <v>2475000</v>
      </c>
      <c r="F211" s="63">
        <f t="shared" si="11"/>
        <v>198000</v>
      </c>
      <c r="G211" s="64">
        <f t="shared" si="12"/>
        <v>2673000</v>
      </c>
      <c r="H211" s="65">
        <v>2673000</v>
      </c>
      <c r="I211" s="65"/>
      <c r="J211" s="66">
        <f t="shared" si="13"/>
        <v>0</v>
      </c>
      <c r="K211" s="67">
        <v>45397</v>
      </c>
      <c r="L211" s="94"/>
    </row>
    <row r="212" spans="1:12" s="14" customFormat="1" ht="15" customHeight="1" x14ac:dyDescent="0.3">
      <c r="A212" s="59" t="s">
        <v>203</v>
      </c>
      <c r="B212" s="60" t="s">
        <v>356</v>
      </c>
      <c r="C212" s="62" t="s">
        <v>357</v>
      </c>
      <c r="D212" s="62"/>
      <c r="E212" s="63">
        <v>8090000</v>
      </c>
      <c r="F212" s="63">
        <f t="shared" si="11"/>
        <v>647200</v>
      </c>
      <c r="G212" s="64">
        <f t="shared" si="12"/>
        <v>8737200</v>
      </c>
      <c r="H212" s="65">
        <v>8737200</v>
      </c>
      <c r="I212" s="65"/>
      <c r="J212" s="66">
        <f t="shared" si="13"/>
        <v>0</v>
      </c>
      <c r="K212" s="67">
        <v>45397</v>
      </c>
      <c r="L212" s="94"/>
    </row>
    <row r="213" spans="1:12" s="14" customFormat="1" ht="15" customHeight="1" x14ac:dyDescent="0.3">
      <c r="A213" s="59" t="s">
        <v>218</v>
      </c>
      <c r="B213" s="60" t="s">
        <v>356</v>
      </c>
      <c r="C213" s="61" t="s">
        <v>358</v>
      </c>
      <c r="D213" s="62"/>
      <c r="E213" s="63">
        <v>8010000</v>
      </c>
      <c r="F213" s="63">
        <f t="shared" si="11"/>
        <v>640800</v>
      </c>
      <c r="G213" s="64">
        <f t="shared" si="12"/>
        <v>8650800</v>
      </c>
      <c r="H213" s="65">
        <v>8650800</v>
      </c>
      <c r="I213" s="65"/>
      <c r="J213" s="66">
        <f t="shared" si="13"/>
        <v>0</v>
      </c>
      <c r="K213" s="67">
        <v>45397</v>
      </c>
      <c r="L213" s="94"/>
    </row>
    <row r="214" spans="1:12" s="14" customFormat="1" ht="15" customHeight="1" x14ac:dyDescent="0.3">
      <c r="A214" s="59" t="s">
        <v>218</v>
      </c>
      <c r="B214" s="60" t="s">
        <v>359</v>
      </c>
      <c r="C214" s="62" t="s">
        <v>360</v>
      </c>
      <c r="D214" s="62"/>
      <c r="E214" s="63">
        <v>6960000</v>
      </c>
      <c r="F214" s="63">
        <f t="shared" si="11"/>
        <v>556800</v>
      </c>
      <c r="G214" s="64">
        <f t="shared" si="12"/>
        <v>7516800</v>
      </c>
      <c r="H214" s="65">
        <v>7516800</v>
      </c>
      <c r="I214" s="65"/>
      <c r="J214" s="66">
        <f t="shared" si="13"/>
        <v>0</v>
      </c>
      <c r="K214" s="67">
        <v>45397</v>
      </c>
      <c r="L214" s="94"/>
    </row>
    <row r="215" spans="1:12" s="14" customFormat="1" ht="15" customHeight="1" x14ac:dyDescent="0.3">
      <c r="A215" s="59" t="s">
        <v>203</v>
      </c>
      <c r="B215" s="60" t="s">
        <v>359</v>
      </c>
      <c r="C215" s="62" t="s">
        <v>361</v>
      </c>
      <c r="D215" s="62"/>
      <c r="E215" s="63">
        <v>8960000</v>
      </c>
      <c r="F215" s="63">
        <f t="shared" si="11"/>
        <v>716800</v>
      </c>
      <c r="G215" s="64">
        <f t="shared" si="12"/>
        <v>9676800</v>
      </c>
      <c r="H215" s="65">
        <v>9676800</v>
      </c>
      <c r="I215" s="65"/>
      <c r="J215" s="66">
        <f t="shared" si="13"/>
        <v>0</v>
      </c>
      <c r="K215" s="67">
        <v>45397</v>
      </c>
      <c r="L215" s="94"/>
    </row>
    <row r="216" spans="1:12" s="14" customFormat="1" ht="15" customHeight="1" x14ac:dyDescent="0.3">
      <c r="A216" s="59" t="s">
        <v>253</v>
      </c>
      <c r="B216" s="60" t="s">
        <v>362</v>
      </c>
      <c r="C216" s="62" t="s">
        <v>363</v>
      </c>
      <c r="D216" s="62"/>
      <c r="E216" s="63">
        <v>3555000</v>
      </c>
      <c r="F216" s="63">
        <f t="shared" si="11"/>
        <v>284400</v>
      </c>
      <c r="G216" s="64">
        <f t="shared" si="12"/>
        <v>3839400</v>
      </c>
      <c r="H216" s="65">
        <v>3839400</v>
      </c>
      <c r="I216" s="65"/>
      <c r="J216" s="66">
        <f t="shared" si="13"/>
        <v>0</v>
      </c>
      <c r="K216" s="67">
        <v>45397</v>
      </c>
      <c r="L216" s="94"/>
    </row>
    <row r="217" spans="1:12" s="14" customFormat="1" ht="15" customHeight="1" x14ac:dyDescent="0.3">
      <c r="A217" s="59" t="s">
        <v>253</v>
      </c>
      <c r="B217" s="60" t="s">
        <v>364</v>
      </c>
      <c r="C217" s="61" t="s">
        <v>365</v>
      </c>
      <c r="D217" s="62"/>
      <c r="E217" s="63">
        <v>5070000</v>
      </c>
      <c r="F217" s="63">
        <f t="shared" si="11"/>
        <v>405600</v>
      </c>
      <c r="G217" s="64">
        <f t="shared" si="12"/>
        <v>5475600</v>
      </c>
      <c r="H217" s="65">
        <v>5475600</v>
      </c>
      <c r="I217" s="65"/>
      <c r="J217" s="66">
        <f t="shared" si="13"/>
        <v>0</v>
      </c>
      <c r="K217" s="67">
        <v>45397</v>
      </c>
      <c r="L217" s="94"/>
    </row>
    <row r="218" spans="1:12" s="14" customFormat="1" ht="15" customHeight="1" x14ac:dyDescent="0.3">
      <c r="A218" s="59" t="s">
        <v>218</v>
      </c>
      <c r="B218" s="60" t="s">
        <v>366</v>
      </c>
      <c r="C218" s="62" t="s">
        <v>367</v>
      </c>
      <c r="D218" s="62"/>
      <c r="E218" s="63">
        <v>1530000</v>
      </c>
      <c r="F218" s="63"/>
      <c r="G218" s="64"/>
      <c r="H218" s="65"/>
      <c r="I218" s="65"/>
      <c r="J218" s="66">
        <f t="shared" si="13"/>
        <v>0</v>
      </c>
      <c r="K218" s="67" t="s">
        <v>368</v>
      </c>
      <c r="L218" s="94"/>
    </row>
    <row r="219" spans="1:12" s="14" customFormat="1" ht="15" customHeight="1" x14ac:dyDescent="0.3">
      <c r="A219" s="59" t="s">
        <v>218</v>
      </c>
      <c r="B219" s="60" t="s">
        <v>369</v>
      </c>
      <c r="C219" s="61" t="s">
        <v>370</v>
      </c>
      <c r="D219" s="62"/>
      <c r="E219" s="63">
        <v>1530000</v>
      </c>
      <c r="F219" s="63">
        <f t="shared" si="11"/>
        <v>122400</v>
      </c>
      <c r="G219" s="64">
        <f t="shared" si="12"/>
        <v>1652400</v>
      </c>
      <c r="H219" s="65">
        <v>1652400</v>
      </c>
      <c r="I219" s="65"/>
      <c r="J219" s="66">
        <f t="shared" si="13"/>
        <v>0</v>
      </c>
      <c r="K219" s="67">
        <v>45427</v>
      </c>
      <c r="L219" s="94"/>
    </row>
    <row r="220" spans="1:12" s="14" customFormat="1" ht="15" customHeight="1" x14ac:dyDescent="0.3">
      <c r="A220" s="59" t="s">
        <v>203</v>
      </c>
      <c r="B220" s="60">
        <v>45391</v>
      </c>
      <c r="C220" s="61" t="s">
        <v>371</v>
      </c>
      <c r="D220" s="62" t="s">
        <v>372</v>
      </c>
      <c r="E220" s="63">
        <v>6000000</v>
      </c>
      <c r="F220" s="63">
        <f t="shared" si="11"/>
        <v>480000</v>
      </c>
      <c r="G220" s="64">
        <f t="shared" si="12"/>
        <v>6480000</v>
      </c>
      <c r="H220" s="65">
        <v>6480000</v>
      </c>
      <c r="I220" s="65"/>
      <c r="J220" s="66">
        <f t="shared" si="13"/>
        <v>0</v>
      </c>
      <c r="K220" s="67">
        <v>45427</v>
      </c>
      <c r="L220" s="94"/>
    </row>
    <row r="221" spans="1:12" s="14" customFormat="1" ht="15" customHeight="1" x14ac:dyDescent="0.3">
      <c r="A221" s="59" t="s">
        <v>196</v>
      </c>
      <c r="B221" s="60">
        <v>45392</v>
      </c>
      <c r="C221" s="61" t="s">
        <v>373</v>
      </c>
      <c r="D221" s="62" t="s">
        <v>374</v>
      </c>
      <c r="E221" s="63">
        <v>8805000</v>
      </c>
      <c r="F221" s="63">
        <f t="shared" si="11"/>
        <v>704400</v>
      </c>
      <c r="G221" s="64">
        <f t="shared" si="12"/>
        <v>9509400</v>
      </c>
      <c r="H221" s="65">
        <v>9509400</v>
      </c>
      <c r="I221" s="65"/>
      <c r="J221" s="66">
        <f t="shared" si="13"/>
        <v>0</v>
      </c>
      <c r="K221" s="67">
        <v>45427</v>
      </c>
      <c r="L221" s="94"/>
    </row>
    <row r="222" spans="1:12" s="14" customFormat="1" ht="15" customHeight="1" x14ac:dyDescent="0.3">
      <c r="A222" s="59" t="s">
        <v>253</v>
      </c>
      <c r="B222" s="60" t="s">
        <v>375</v>
      </c>
      <c r="C222" s="62" t="s">
        <v>376</v>
      </c>
      <c r="D222" s="62"/>
      <c r="E222" s="63">
        <v>3980000</v>
      </c>
      <c r="F222" s="63">
        <f t="shared" si="11"/>
        <v>318400</v>
      </c>
      <c r="G222" s="64">
        <f t="shared" si="12"/>
        <v>4298400</v>
      </c>
      <c r="H222" s="65">
        <v>4298400</v>
      </c>
      <c r="I222" s="65"/>
      <c r="J222" s="66">
        <f t="shared" si="13"/>
        <v>0</v>
      </c>
      <c r="K222" s="67">
        <v>45427</v>
      </c>
      <c r="L222" s="94"/>
    </row>
    <row r="223" spans="1:12" s="14" customFormat="1" ht="15" customHeight="1" x14ac:dyDescent="0.3">
      <c r="A223" s="59" t="s">
        <v>196</v>
      </c>
      <c r="B223" s="60" t="s">
        <v>377</v>
      </c>
      <c r="C223" s="62" t="s">
        <v>77</v>
      </c>
      <c r="D223" s="62"/>
      <c r="E223" s="63">
        <v>4040000</v>
      </c>
      <c r="F223" s="63">
        <f t="shared" si="11"/>
        <v>323200</v>
      </c>
      <c r="G223" s="64">
        <f t="shared" si="12"/>
        <v>4363200</v>
      </c>
      <c r="H223" s="65">
        <v>4363200</v>
      </c>
      <c r="I223" s="65"/>
      <c r="J223" s="66">
        <f t="shared" si="13"/>
        <v>0</v>
      </c>
      <c r="K223" s="67">
        <v>45427</v>
      </c>
      <c r="L223" s="94"/>
    </row>
    <row r="224" spans="1:12" s="14" customFormat="1" ht="15" customHeight="1" x14ac:dyDescent="0.3">
      <c r="A224" s="59" t="s">
        <v>203</v>
      </c>
      <c r="B224" s="60" t="s">
        <v>378</v>
      </c>
      <c r="C224" s="62" t="s">
        <v>379</v>
      </c>
      <c r="D224" s="62"/>
      <c r="E224" s="63">
        <v>2880000</v>
      </c>
      <c r="F224" s="63">
        <f t="shared" si="11"/>
        <v>230400</v>
      </c>
      <c r="G224" s="64">
        <f t="shared" si="12"/>
        <v>3110400</v>
      </c>
      <c r="H224" s="65">
        <v>3110400</v>
      </c>
      <c r="I224" s="65"/>
      <c r="J224" s="66">
        <f t="shared" si="13"/>
        <v>0</v>
      </c>
      <c r="K224" s="67">
        <v>45427</v>
      </c>
      <c r="L224" s="94"/>
    </row>
    <row r="225" spans="1:12" s="14" customFormat="1" ht="15" customHeight="1" x14ac:dyDescent="0.3">
      <c r="A225" s="59" t="s">
        <v>196</v>
      </c>
      <c r="B225" s="60" t="s">
        <v>378</v>
      </c>
      <c r="C225" s="62" t="s">
        <v>380</v>
      </c>
      <c r="D225" s="62"/>
      <c r="E225" s="63">
        <v>4040000</v>
      </c>
      <c r="F225" s="63">
        <f t="shared" si="11"/>
        <v>323200</v>
      </c>
      <c r="G225" s="64">
        <f t="shared" si="12"/>
        <v>4363200</v>
      </c>
      <c r="H225" s="65">
        <v>4363200</v>
      </c>
      <c r="I225" s="65"/>
      <c r="J225" s="66">
        <f t="shared" si="13"/>
        <v>0</v>
      </c>
      <c r="K225" s="67">
        <v>45427</v>
      </c>
      <c r="L225" s="94"/>
    </row>
    <row r="226" spans="1:12" s="14" customFormat="1" ht="15" customHeight="1" x14ac:dyDescent="0.3">
      <c r="A226" s="59" t="s">
        <v>253</v>
      </c>
      <c r="B226" s="60" t="s">
        <v>381</v>
      </c>
      <c r="C226" s="62" t="s">
        <v>382</v>
      </c>
      <c r="D226" s="62"/>
      <c r="E226" s="63">
        <v>3435000</v>
      </c>
      <c r="F226" s="63">
        <f t="shared" si="11"/>
        <v>274800</v>
      </c>
      <c r="G226" s="64">
        <f t="shared" si="12"/>
        <v>3709800</v>
      </c>
      <c r="H226" s="65">
        <v>3709800</v>
      </c>
      <c r="I226" s="65"/>
      <c r="J226" s="66">
        <f t="shared" si="13"/>
        <v>0</v>
      </c>
      <c r="K226" s="67">
        <v>45427</v>
      </c>
      <c r="L226" s="94"/>
    </row>
    <row r="227" spans="1:12" s="14" customFormat="1" ht="15" customHeight="1" x14ac:dyDescent="0.3">
      <c r="A227" s="59" t="s">
        <v>203</v>
      </c>
      <c r="B227" s="60" t="s">
        <v>381</v>
      </c>
      <c r="C227" s="62" t="s">
        <v>383</v>
      </c>
      <c r="D227" s="62"/>
      <c r="E227" s="63">
        <v>5000000</v>
      </c>
      <c r="F227" s="63">
        <f t="shared" si="11"/>
        <v>400000</v>
      </c>
      <c r="G227" s="64">
        <f t="shared" si="12"/>
        <v>5400000</v>
      </c>
      <c r="H227" s="65">
        <v>5400000</v>
      </c>
      <c r="I227" s="65"/>
      <c r="J227" s="66">
        <f t="shared" si="13"/>
        <v>0</v>
      </c>
      <c r="K227" s="67">
        <v>45427</v>
      </c>
      <c r="L227" s="94"/>
    </row>
    <row r="228" spans="1:12" s="14" customFormat="1" ht="15" customHeight="1" x14ac:dyDescent="0.3">
      <c r="A228" s="59" t="s">
        <v>218</v>
      </c>
      <c r="B228" s="60" t="s">
        <v>381</v>
      </c>
      <c r="C228" s="62" t="s">
        <v>384</v>
      </c>
      <c r="D228" s="62"/>
      <c r="E228" s="63">
        <v>7085000</v>
      </c>
      <c r="F228" s="63">
        <f t="shared" si="11"/>
        <v>566800</v>
      </c>
      <c r="G228" s="64">
        <f t="shared" si="12"/>
        <v>7651800</v>
      </c>
      <c r="H228" s="65">
        <v>7651800</v>
      </c>
      <c r="I228" s="65"/>
      <c r="J228" s="66">
        <f t="shared" si="13"/>
        <v>0</v>
      </c>
      <c r="K228" s="67">
        <v>45427</v>
      </c>
      <c r="L228" s="94"/>
    </row>
    <row r="229" spans="1:12" s="14" customFormat="1" ht="15" customHeight="1" x14ac:dyDescent="0.3">
      <c r="A229" s="59" t="s">
        <v>196</v>
      </c>
      <c r="B229" s="60" t="s">
        <v>385</v>
      </c>
      <c r="C229" s="62" t="s">
        <v>386</v>
      </c>
      <c r="D229" s="62"/>
      <c r="E229" s="63">
        <v>7890000</v>
      </c>
      <c r="F229" s="63">
        <f t="shared" si="11"/>
        <v>631200</v>
      </c>
      <c r="G229" s="64">
        <f t="shared" si="12"/>
        <v>8521200</v>
      </c>
      <c r="H229" s="65">
        <v>8521200</v>
      </c>
      <c r="I229" s="65"/>
      <c r="J229" s="66">
        <f t="shared" si="13"/>
        <v>0</v>
      </c>
      <c r="K229" s="67">
        <v>45457</v>
      </c>
      <c r="L229" s="94"/>
    </row>
    <row r="230" spans="1:12" s="14" customFormat="1" ht="15" customHeight="1" x14ac:dyDescent="0.3">
      <c r="A230" s="59" t="s">
        <v>203</v>
      </c>
      <c r="B230" s="60" t="s">
        <v>385</v>
      </c>
      <c r="C230" s="62" t="s">
        <v>387</v>
      </c>
      <c r="D230" s="62"/>
      <c r="E230" s="63">
        <v>4925000</v>
      </c>
      <c r="F230" s="63">
        <f t="shared" si="11"/>
        <v>394000</v>
      </c>
      <c r="G230" s="64">
        <f t="shared" si="12"/>
        <v>5319000</v>
      </c>
      <c r="H230" s="65">
        <v>5319000</v>
      </c>
      <c r="I230" s="65"/>
      <c r="J230" s="66">
        <f t="shared" si="13"/>
        <v>0</v>
      </c>
      <c r="K230" s="67">
        <v>45457</v>
      </c>
      <c r="L230" s="94"/>
    </row>
    <row r="231" spans="1:12" s="14" customFormat="1" ht="15" customHeight="1" x14ac:dyDescent="0.3">
      <c r="A231" s="59" t="s">
        <v>203</v>
      </c>
      <c r="B231" s="60" t="s">
        <v>388</v>
      </c>
      <c r="C231" s="62" t="s">
        <v>389</v>
      </c>
      <c r="D231" s="62"/>
      <c r="E231" s="63">
        <v>1965000</v>
      </c>
      <c r="F231" s="63">
        <f t="shared" si="11"/>
        <v>157200</v>
      </c>
      <c r="G231" s="64">
        <f t="shared" si="12"/>
        <v>2122200</v>
      </c>
      <c r="H231" s="65">
        <v>2122200</v>
      </c>
      <c r="I231" s="65"/>
      <c r="J231" s="66">
        <f t="shared" si="13"/>
        <v>0</v>
      </c>
      <c r="K231" s="67">
        <v>45457</v>
      </c>
      <c r="L231" s="94"/>
    </row>
    <row r="232" spans="1:12" s="14" customFormat="1" ht="15" customHeight="1" x14ac:dyDescent="0.3">
      <c r="A232" s="59" t="s">
        <v>253</v>
      </c>
      <c r="B232" s="60">
        <v>45435</v>
      </c>
      <c r="C232" s="62" t="s">
        <v>390</v>
      </c>
      <c r="D232" s="62" t="s">
        <v>391</v>
      </c>
      <c r="E232" s="63">
        <v>2940000</v>
      </c>
      <c r="F232" s="63">
        <f t="shared" si="11"/>
        <v>235200</v>
      </c>
      <c r="G232" s="64">
        <f t="shared" si="12"/>
        <v>3175200</v>
      </c>
      <c r="H232" s="65">
        <v>3175200</v>
      </c>
      <c r="I232" s="65"/>
      <c r="J232" s="66">
        <f t="shared" si="13"/>
        <v>0</v>
      </c>
      <c r="K232" s="67">
        <v>45488</v>
      </c>
      <c r="L232" s="94"/>
    </row>
    <row r="233" spans="1:12" s="14" customFormat="1" ht="15" customHeight="1" x14ac:dyDescent="0.3">
      <c r="A233" s="59" t="s">
        <v>203</v>
      </c>
      <c r="B233" s="60" t="s">
        <v>392</v>
      </c>
      <c r="C233" s="61" t="s">
        <v>393</v>
      </c>
      <c r="D233" s="62"/>
      <c r="E233" s="63">
        <v>2970000</v>
      </c>
      <c r="F233" s="63">
        <f t="shared" si="11"/>
        <v>237600</v>
      </c>
      <c r="G233" s="64">
        <f t="shared" si="12"/>
        <v>3207600</v>
      </c>
      <c r="H233" s="65">
        <v>3207600</v>
      </c>
      <c r="I233" s="65"/>
      <c r="J233" s="66">
        <f t="shared" si="13"/>
        <v>0</v>
      </c>
      <c r="K233" s="67">
        <v>45457</v>
      </c>
      <c r="L233" s="94"/>
    </row>
    <row r="234" spans="1:12" s="14" customFormat="1" ht="15" customHeight="1" x14ac:dyDescent="0.3">
      <c r="A234" s="59" t="s">
        <v>203</v>
      </c>
      <c r="B234" s="60" t="s">
        <v>394</v>
      </c>
      <c r="C234" s="61" t="s">
        <v>100</v>
      </c>
      <c r="D234" s="62"/>
      <c r="E234" s="63">
        <v>3960000</v>
      </c>
      <c r="F234" s="63">
        <f t="shared" si="11"/>
        <v>316800</v>
      </c>
      <c r="G234" s="64">
        <f t="shared" si="12"/>
        <v>4276800</v>
      </c>
      <c r="H234" s="65">
        <v>4276800</v>
      </c>
      <c r="I234" s="65"/>
      <c r="J234" s="66">
        <f t="shared" si="13"/>
        <v>0</v>
      </c>
      <c r="K234" s="67">
        <v>45457</v>
      </c>
      <c r="L234" s="94"/>
    </row>
    <row r="235" spans="1:12" s="14" customFormat="1" ht="15" customHeight="1" x14ac:dyDescent="0.3">
      <c r="A235" s="59" t="s">
        <v>253</v>
      </c>
      <c r="B235" s="60" t="s">
        <v>395</v>
      </c>
      <c r="C235" s="61" t="s">
        <v>396</v>
      </c>
      <c r="D235" s="62"/>
      <c r="E235" s="63">
        <v>3435000</v>
      </c>
      <c r="F235" s="63">
        <f t="shared" si="11"/>
        <v>274800</v>
      </c>
      <c r="G235" s="64">
        <f t="shared" si="12"/>
        <v>3709800</v>
      </c>
      <c r="H235" s="65">
        <v>3709800</v>
      </c>
      <c r="I235" s="65"/>
      <c r="J235" s="66">
        <f t="shared" si="13"/>
        <v>0</v>
      </c>
      <c r="K235" s="67">
        <v>45457</v>
      </c>
      <c r="L235" s="94"/>
    </row>
    <row r="236" spans="1:12" s="14" customFormat="1" ht="15" customHeight="1" x14ac:dyDescent="0.3">
      <c r="A236" s="59" t="s">
        <v>203</v>
      </c>
      <c r="B236" s="60" t="s">
        <v>397</v>
      </c>
      <c r="C236" s="61" t="s">
        <v>398</v>
      </c>
      <c r="D236" s="62"/>
      <c r="E236" s="63">
        <v>2925000</v>
      </c>
      <c r="F236" s="63">
        <f t="shared" si="11"/>
        <v>234000</v>
      </c>
      <c r="G236" s="64">
        <f t="shared" si="12"/>
        <v>3159000</v>
      </c>
      <c r="H236" s="65">
        <v>3159000</v>
      </c>
      <c r="I236" s="65"/>
      <c r="J236" s="66">
        <f t="shared" si="13"/>
        <v>0</v>
      </c>
      <c r="K236" s="67">
        <v>45488</v>
      </c>
      <c r="L236" s="94"/>
    </row>
    <row r="237" spans="1:12" s="14" customFormat="1" ht="15" customHeight="1" x14ac:dyDescent="0.3">
      <c r="A237" s="59" t="s">
        <v>253</v>
      </c>
      <c r="B237" s="60" t="s">
        <v>399</v>
      </c>
      <c r="C237" s="61" t="s">
        <v>400</v>
      </c>
      <c r="D237" s="62"/>
      <c r="E237" s="63">
        <v>3065000</v>
      </c>
      <c r="F237" s="63">
        <f t="shared" si="11"/>
        <v>245200</v>
      </c>
      <c r="G237" s="64">
        <f t="shared" si="12"/>
        <v>3310200</v>
      </c>
      <c r="H237" s="65">
        <v>3310200</v>
      </c>
      <c r="I237" s="65"/>
      <c r="J237" s="66">
        <f t="shared" si="13"/>
        <v>0</v>
      </c>
      <c r="K237" s="67">
        <v>45488</v>
      </c>
      <c r="L237" s="94"/>
    </row>
    <row r="238" spans="1:12" s="14" customFormat="1" ht="15" customHeight="1" x14ac:dyDescent="0.3">
      <c r="A238" s="59" t="s">
        <v>203</v>
      </c>
      <c r="B238" s="60" t="s">
        <v>401</v>
      </c>
      <c r="C238" s="61" t="s">
        <v>402</v>
      </c>
      <c r="D238" s="62"/>
      <c r="E238" s="63">
        <v>1005000</v>
      </c>
      <c r="F238" s="63">
        <f t="shared" si="11"/>
        <v>80400</v>
      </c>
      <c r="G238" s="64">
        <f t="shared" si="12"/>
        <v>1085400</v>
      </c>
      <c r="H238" s="65">
        <v>1085400</v>
      </c>
      <c r="I238" s="65"/>
      <c r="J238" s="66">
        <f t="shared" si="13"/>
        <v>0</v>
      </c>
      <c r="K238" s="67">
        <v>45488</v>
      </c>
      <c r="L238" s="94"/>
    </row>
    <row r="239" spans="1:12" s="14" customFormat="1" ht="15" customHeight="1" x14ac:dyDescent="0.3">
      <c r="A239" s="59" t="s">
        <v>203</v>
      </c>
      <c r="B239" s="60" t="s">
        <v>403</v>
      </c>
      <c r="C239" s="62" t="s">
        <v>404</v>
      </c>
      <c r="D239" s="62"/>
      <c r="E239" s="63">
        <v>1005000</v>
      </c>
      <c r="F239" s="63"/>
      <c r="G239" s="64"/>
      <c r="H239" s="65"/>
      <c r="I239" s="65"/>
      <c r="J239" s="66">
        <f t="shared" si="13"/>
        <v>0</v>
      </c>
      <c r="K239" s="67" t="s">
        <v>405</v>
      </c>
      <c r="L239" s="94"/>
    </row>
    <row r="240" spans="1:12" s="14" customFormat="1" ht="15" customHeight="1" x14ac:dyDescent="0.3">
      <c r="A240" s="59" t="s">
        <v>203</v>
      </c>
      <c r="B240" s="60">
        <v>45463</v>
      </c>
      <c r="C240" s="61" t="s">
        <v>406</v>
      </c>
      <c r="D240" s="62" t="s">
        <v>407</v>
      </c>
      <c r="E240" s="63">
        <v>1040000</v>
      </c>
      <c r="F240" s="63">
        <f t="shared" si="11"/>
        <v>83200</v>
      </c>
      <c r="G240" s="64">
        <f t="shared" si="12"/>
        <v>1123200</v>
      </c>
      <c r="H240" s="65">
        <v>1123200</v>
      </c>
      <c r="I240" s="65"/>
      <c r="J240" s="66">
        <f t="shared" si="13"/>
        <v>0</v>
      </c>
      <c r="K240" s="67">
        <v>45488</v>
      </c>
      <c r="L240" s="94"/>
    </row>
    <row r="241" spans="1:12" s="14" customFormat="1" ht="15" customHeight="1" x14ac:dyDescent="0.3">
      <c r="A241" s="59" t="s">
        <v>203</v>
      </c>
      <c r="B241" s="60" t="s">
        <v>408</v>
      </c>
      <c r="C241" s="61" t="s">
        <v>409</v>
      </c>
      <c r="D241" s="62"/>
      <c r="E241" s="63">
        <v>3965000</v>
      </c>
      <c r="F241" s="63">
        <f t="shared" si="11"/>
        <v>317200</v>
      </c>
      <c r="G241" s="64">
        <f t="shared" si="12"/>
        <v>4282200</v>
      </c>
      <c r="H241" s="65">
        <v>4282200</v>
      </c>
      <c r="I241" s="65"/>
      <c r="J241" s="66">
        <f t="shared" si="13"/>
        <v>0</v>
      </c>
      <c r="K241" s="67">
        <v>45488</v>
      </c>
      <c r="L241" s="94"/>
    </row>
    <row r="242" spans="1:12" s="14" customFormat="1" ht="15" customHeight="1" x14ac:dyDescent="0.3">
      <c r="A242" s="59" t="s">
        <v>253</v>
      </c>
      <c r="B242" s="60" t="s">
        <v>408</v>
      </c>
      <c r="C242" s="61" t="s">
        <v>410</v>
      </c>
      <c r="D242" s="62"/>
      <c r="E242" s="63">
        <v>8865000</v>
      </c>
      <c r="F242" s="63">
        <f t="shared" si="11"/>
        <v>709200</v>
      </c>
      <c r="G242" s="64">
        <f t="shared" si="12"/>
        <v>9574200</v>
      </c>
      <c r="H242" s="65">
        <v>9574200</v>
      </c>
      <c r="I242" s="65"/>
      <c r="J242" s="66">
        <f t="shared" si="13"/>
        <v>0</v>
      </c>
      <c r="K242" s="67">
        <v>45488</v>
      </c>
      <c r="L242" s="94"/>
    </row>
    <row r="243" spans="1:12" s="14" customFormat="1" ht="15" customHeight="1" x14ac:dyDescent="0.3">
      <c r="A243" s="59" t="s">
        <v>203</v>
      </c>
      <c r="B243" s="60" t="s">
        <v>411</v>
      </c>
      <c r="C243" s="61" t="s">
        <v>412</v>
      </c>
      <c r="D243" s="62"/>
      <c r="E243" s="63">
        <v>2925000</v>
      </c>
      <c r="F243" s="63">
        <f t="shared" si="11"/>
        <v>234000</v>
      </c>
      <c r="G243" s="64">
        <f t="shared" si="12"/>
        <v>3159000</v>
      </c>
      <c r="H243" s="65">
        <v>3159000</v>
      </c>
      <c r="I243" s="65"/>
      <c r="J243" s="66">
        <f t="shared" si="13"/>
        <v>0</v>
      </c>
      <c r="K243" s="67">
        <v>45488</v>
      </c>
      <c r="L243" s="94"/>
    </row>
    <row r="244" spans="1:12" s="14" customFormat="1" ht="15" customHeight="1" x14ac:dyDescent="0.3">
      <c r="A244" s="59" t="s">
        <v>218</v>
      </c>
      <c r="B244" s="60" t="s">
        <v>411</v>
      </c>
      <c r="C244" s="61" t="s">
        <v>413</v>
      </c>
      <c r="D244" s="62"/>
      <c r="E244" s="63">
        <v>2040000</v>
      </c>
      <c r="F244" s="63">
        <f t="shared" si="11"/>
        <v>163200</v>
      </c>
      <c r="G244" s="64">
        <f t="shared" si="12"/>
        <v>2203200</v>
      </c>
      <c r="H244" s="65">
        <v>2203200</v>
      </c>
      <c r="I244" s="65"/>
      <c r="J244" s="66">
        <f t="shared" si="13"/>
        <v>0</v>
      </c>
      <c r="K244" s="67">
        <v>45488</v>
      </c>
      <c r="L244" s="94"/>
    </row>
    <row r="245" spans="1:12" s="14" customFormat="1" ht="15" customHeight="1" x14ac:dyDescent="0.3">
      <c r="A245" s="59" t="s">
        <v>253</v>
      </c>
      <c r="B245" s="60" t="s">
        <v>411</v>
      </c>
      <c r="C245" s="61" t="s">
        <v>414</v>
      </c>
      <c r="D245" s="62"/>
      <c r="E245" s="63">
        <v>5025000</v>
      </c>
      <c r="F245" s="63">
        <f t="shared" si="11"/>
        <v>402000</v>
      </c>
      <c r="G245" s="64">
        <f t="shared" si="12"/>
        <v>5427000</v>
      </c>
      <c r="H245" s="65">
        <v>5427000</v>
      </c>
      <c r="I245" s="65"/>
      <c r="J245" s="66">
        <f t="shared" si="13"/>
        <v>0</v>
      </c>
      <c r="K245" s="67">
        <v>45488</v>
      </c>
      <c r="L245" s="94"/>
    </row>
    <row r="246" spans="1:12" s="14" customFormat="1" ht="15" customHeight="1" x14ac:dyDescent="0.3">
      <c r="A246" s="59" t="s">
        <v>203</v>
      </c>
      <c r="B246" s="60" t="s">
        <v>415</v>
      </c>
      <c r="C246" s="61" t="s">
        <v>416</v>
      </c>
      <c r="D246" s="62"/>
      <c r="E246" s="63">
        <v>2880000</v>
      </c>
      <c r="F246" s="63">
        <f t="shared" si="11"/>
        <v>230400</v>
      </c>
      <c r="G246" s="64">
        <f t="shared" si="12"/>
        <v>3110400</v>
      </c>
      <c r="H246" s="65">
        <v>3110400</v>
      </c>
      <c r="I246" s="65"/>
      <c r="J246" s="66">
        <f t="shared" si="13"/>
        <v>0</v>
      </c>
      <c r="K246" s="67">
        <v>45569</v>
      </c>
      <c r="L246" s="94"/>
    </row>
    <row r="247" spans="1:12" s="14" customFormat="1" ht="15" customHeight="1" x14ac:dyDescent="0.3">
      <c r="A247" s="59" t="s">
        <v>203</v>
      </c>
      <c r="B247" s="60" t="s">
        <v>417</v>
      </c>
      <c r="C247" s="61" t="s">
        <v>418</v>
      </c>
      <c r="D247" s="62"/>
      <c r="E247" s="63">
        <v>2880000</v>
      </c>
      <c r="F247" s="63">
        <f t="shared" si="11"/>
        <v>230400</v>
      </c>
      <c r="G247" s="64">
        <f t="shared" si="12"/>
        <v>3110400</v>
      </c>
      <c r="H247" s="65">
        <v>3110400</v>
      </c>
      <c r="I247" s="65"/>
      <c r="J247" s="66">
        <f t="shared" si="13"/>
        <v>0</v>
      </c>
      <c r="K247" s="67">
        <v>45569</v>
      </c>
      <c r="L247" s="94"/>
    </row>
    <row r="248" spans="1:12" s="14" customFormat="1" ht="15" customHeight="1" x14ac:dyDescent="0.3">
      <c r="A248" s="59" t="s">
        <v>218</v>
      </c>
      <c r="B248" s="60" t="s">
        <v>419</v>
      </c>
      <c r="C248" s="61" t="s">
        <v>420</v>
      </c>
      <c r="D248" s="62"/>
      <c r="E248" s="63">
        <v>1005000</v>
      </c>
      <c r="F248" s="63">
        <f t="shared" si="11"/>
        <v>80400</v>
      </c>
      <c r="G248" s="64">
        <f t="shared" si="12"/>
        <v>1085400</v>
      </c>
      <c r="H248" s="65">
        <v>1085400</v>
      </c>
      <c r="I248" s="65"/>
      <c r="J248" s="66">
        <f t="shared" si="13"/>
        <v>0</v>
      </c>
      <c r="K248" s="67">
        <v>45569</v>
      </c>
      <c r="L248" s="94"/>
    </row>
    <row r="249" spans="1:12" s="14" customFormat="1" ht="15" customHeight="1" x14ac:dyDescent="0.3">
      <c r="A249" s="59" t="s">
        <v>203</v>
      </c>
      <c r="B249" s="60" t="s">
        <v>419</v>
      </c>
      <c r="C249" s="61" t="s">
        <v>421</v>
      </c>
      <c r="D249" s="62"/>
      <c r="E249" s="63">
        <v>1005000</v>
      </c>
      <c r="F249" s="63">
        <f t="shared" si="11"/>
        <v>80400</v>
      </c>
      <c r="G249" s="64">
        <f t="shared" si="12"/>
        <v>1085400</v>
      </c>
      <c r="H249" s="65">
        <v>1085400</v>
      </c>
      <c r="I249" s="65"/>
      <c r="J249" s="66">
        <f t="shared" si="13"/>
        <v>0</v>
      </c>
      <c r="K249" s="67">
        <v>45569</v>
      </c>
      <c r="L249" s="94"/>
    </row>
    <row r="250" spans="1:12" s="14" customFormat="1" ht="15" customHeight="1" x14ac:dyDescent="0.3">
      <c r="A250" s="59" t="s">
        <v>203</v>
      </c>
      <c r="B250" s="60" t="s">
        <v>422</v>
      </c>
      <c r="C250" s="61" t="s">
        <v>423</v>
      </c>
      <c r="D250" s="62"/>
      <c r="E250" s="63">
        <v>1005000</v>
      </c>
      <c r="F250" s="63">
        <f t="shared" si="11"/>
        <v>80400</v>
      </c>
      <c r="G250" s="64">
        <f t="shared" si="12"/>
        <v>1085400</v>
      </c>
      <c r="H250" s="65">
        <v>1085400</v>
      </c>
      <c r="I250" s="65"/>
      <c r="J250" s="66">
        <f t="shared" si="13"/>
        <v>0</v>
      </c>
      <c r="K250" s="67">
        <v>45569</v>
      </c>
      <c r="L250" s="94"/>
    </row>
    <row r="251" spans="1:12" s="14" customFormat="1" ht="15" customHeight="1" x14ac:dyDescent="0.3">
      <c r="A251" s="59" t="s">
        <v>203</v>
      </c>
      <c r="B251" s="60" t="s">
        <v>424</v>
      </c>
      <c r="C251" s="61" t="s">
        <v>425</v>
      </c>
      <c r="D251" s="62"/>
      <c r="E251" s="63">
        <v>3960000</v>
      </c>
      <c r="F251" s="63">
        <f t="shared" si="11"/>
        <v>316800</v>
      </c>
      <c r="G251" s="64">
        <f t="shared" si="12"/>
        <v>4276800</v>
      </c>
      <c r="H251" s="65">
        <v>4276800</v>
      </c>
      <c r="I251" s="65"/>
      <c r="J251" s="66">
        <f t="shared" si="13"/>
        <v>0</v>
      </c>
      <c r="K251" s="67">
        <v>45569</v>
      </c>
      <c r="L251" s="94"/>
    </row>
    <row r="252" spans="1:12" s="14" customFormat="1" ht="15" customHeight="1" x14ac:dyDescent="0.3">
      <c r="A252" s="59" t="s">
        <v>253</v>
      </c>
      <c r="B252" s="60" t="s">
        <v>426</v>
      </c>
      <c r="C252" s="61" t="s">
        <v>427</v>
      </c>
      <c r="D252" s="62"/>
      <c r="E252" s="63">
        <v>2925000</v>
      </c>
      <c r="F252" s="63">
        <f t="shared" ref="F252:F315" si="14">+E252*0.08</f>
        <v>234000</v>
      </c>
      <c r="G252" s="64">
        <f t="shared" si="12"/>
        <v>3159000</v>
      </c>
      <c r="H252" s="65">
        <v>3159000</v>
      </c>
      <c r="I252" s="65"/>
      <c r="J252" s="66">
        <f t="shared" si="13"/>
        <v>0</v>
      </c>
      <c r="K252" s="67">
        <v>45569</v>
      </c>
      <c r="L252" s="94"/>
    </row>
    <row r="253" spans="1:12" s="14" customFormat="1" ht="15" customHeight="1" x14ac:dyDescent="0.3">
      <c r="A253" s="59" t="s">
        <v>253</v>
      </c>
      <c r="B253" s="60" t="s">
        <v>428</v>
      </c>
      <c r="C253" s="61" t="s">
        <v>429</v>
      </c>
      <c r="D253" s="62"/>
      <c r="E253" s="63">
        <v>3435000</v>
      </c>
      <c r="F253" s="63">
        <f t="shared" si="14"/>
        <v>274800</v>
      </c>
      <c r="G253" s="64">
        <f t="shared" si="12"/>
        <v>3709800</v>
      </c>
      <c r="H253" s="65">
        <v>3709800</v>
      </c>
      <c r="I253" s="65"/>
      <c r="J253" s="66">
        <f t="shared" si="13"/>
        <v>0</v>
      </c>
      <c r="K253" s="67">
        <v>45569</v>
      </c>
      <c r="L253" s="94"/>
    </row>
    <row r="254" spans="1:12" s="14" customFormat="1" ht="15" customHeight="1" x14ac:dyDescent="0.3">
      <c r="A254" s="59" t="s">
        <v>196</v>
      </c>
      <c r="B254" s="60" t="s">
        <v>430</v>
      </c>
      <c r="C254" s="61" t="s">
        <v>431</v>
      </c>
      <c r="D254" s="62"/>
      <c r="E254" s="63">
        <v>4920000</v>
      </c>
      <c r="F254" s="63">
        <f t="shared" si="14"/>
        <v>393600</v>
      </c>
      <c r="G254" s="64">
        <f t="shared" si="12"/>
        <v>5313600</v>
      </c>
      <c r="H254" s="65">
        <v>5313600</v>
      </c>
      <c r="I254" s="65"/>
      <c r="J254" s="66">
        <f t="shared" si="13"/>
        <v>0</v>
      </c>
      <c r="K254" s="67">
        <v>45569</v>
      </c>
      <c r="L254" s="94"/>
    </row>
    <row r="255" spans="1:12" s="14" customFormat="1" ht="15" customHeight="1" x14ac:dyDescent="0.3">
      <c r="A255" s="59" t="s">
        <v>203</v>
      </c>
      <c r="B255" s="60" t="s">
        <v>430</v>
      </c>
      <c r="C255" s="61" t="s">
        <v>432</v>
      </c>
      <c r="D255" s="62"/>
      <c r="E255" s="63">
        <v>2045000</v>
      </c>
      <c r="F255" s="63">
        <f t="shared" si="14"/>
        <v>163600</v>
      </c>
      <c r="G255" s="64">
        <f t="shared" si="12"/>
        <v>2208600</v>
      </c>
      <c r="H255" s="65">
        <v>2208600</v>
      </c>
      <c r="I255" s="65"/>
      <c r="J255" s="66">
        <f t="shared" si="13"/>
        <v>0</v>
      </c>
      <c r="K255" s="67">
        <v>45569</v>
      </c>
      <c r="L255" s="94"/>
    </row>
    <row r="256" spans="1:12" s="14" customFormat="1" ht="15" customHeight="1" x14ac:dyDescent="0.3">
      <c r="A256" s="59" t="s">
        <v>253</v>
      </c>
      <c r="B256" s="60" t="s">
        <v>433</v>
      </c>
      <c r="C256" s="61" t="s">
        <v>434</v>
      </c>
      <c r="D256" s="62"/>
      <c r="E256" s="63">
        <v>2045000</v>
      </c>
      <c r="F256" s="63">
        <f t="shared" si="14"/>
        <v>163600</v>
      </c>
      <c r="G256" s="64">
        <f t="shared" si="12"/>
        <v>2208600</v>
      </c>
      <c r="H256" s="65">
        <v>2208600</v>
      </c>
      <c r="I256" s="65"/>
      <c r="J256" s="66">
        <f t="shared" si="13"/>
        <v>0</v>
      </c>
      <c r="K256" s="67">
        <v>45569</v>
      </c>
      <c r="L256" s="94"/>
    </row>
    <row r="257" spans="1:12" s="14" customFormat="1" ht="15" customHeight="1" x14ac:dyDescent="0.3">
      <c r="A257" s="59" t="s">
        <v>196</v>
      </c>
      <c r="B257" s="60" t="s">
        <v>433</v>
      </c>
      <c r="C257" s="61" t="s">
        <v>435</v>
      </c>
      <c r="D257" s="62"/>
      <c r="E257" s="63">
        <v>2045000</v>
      </c>
      <c r="F257" s="63">
        <f t="shared" si="14"/>
        <v>163600</v>
      </c>
      <c r="G257" s="64">
        <f t="shared" si="12"/>
        <v>2208600</v>
      </c>
      <c r="H257" s="65">
        <v>2208600</v>
      </c>
      <c r="I257" s="65"/>
      <c r="J257" s="66">
        <f t="shared" si="13"/>
        <v>0</v>
      </c>
      <c r="K257" s="67">
        <v>45569</v>
      </c>
      <c r="L257" s="94"/>
    </row>
    <row r="258" spans="1:12" s="14" customFormat="1" ht="15" customHeight="1" x14ac:dyDescent="0.3">
      <c r="A258" s="59" t="s">
        <v>203</v>
      </c>
      <c r="B258" s="60" t="s">
        <v>433</v>
      </c>
      <c r="C258" s="61" t="s">
        <v>436</v>
      </c>
      <c r="D258" s="62"/>
      <c r="E258" s="63">
        <v>6845000</v>
      </c>
      <c r="F258" s="63">
        <f t="shared" si="14"/>
        <v>547600</v>
      </c>
      <c r="G258" s="64">
        <f t="shared" si="12"/>
        <v>7392600</v>
      </c>
      <c r="H258" s="65">
        <v>7392600</v>
      </c>
      <c r="I258" s="65"/>
      <c r="J258" s="66">
        <f t="shared" si="13"/>
        <v>0</v>
      </c>
      <c r="K258" s="67">
        <v>45569</v>
      </c>
      <c r="L258" s="94"/>
    </row>
    <row r="259" spans="1:12" s="14" customFormat="1" ht="15" customHeight="1" x14ac:dyDescent="0.3">
      <c r="A259" s="59" t="s">
        <v>253</v>
      </c>
      <c r="B259" s="60" t="s">
        <v>437</v>
      </c>
      <c r="C259" s="61" t="s">
        <v>438</v>
      </c>
      <c r="D259" s="62"/>
      <c r="E259" s="63">
        <v>2555000</v>
      </c>
      <c r="F259" s="63">
        <f t="shared" si="14"/>
        <v>204400</v>
      </c>
      <c r="G259" s="64">
        <f t="shared" si="12"/>
        <v>2759400</v>
      </c>
      <c r="H259" s="65">
        <v>2759400</v>
      </c>
      <c r="I259" s="65"/>
      <c r="J259" s="66">
        <f t="shared" si="13"/>
        <v>0</v>
      </c>
      <c r="K259" s="67">
        <v>45569</v>
      </c>
      <c r="L259" s="94"/>
    </row>
    <row r="260" spans="1:12" s="14" customFormat="1" ht="15" customHeight="1" x14ac:dyDescent="0.3">
      <c r="A260" s="59" t="s">
        <v>196</v>
      </c>
      <c r="B260" s="60" t="s">
        <v>439</v>
      </c>
      <c r="C260" s="61" t="s">
        <v>440</v>
      </c>
      <c r="D260" s="62"/>
      <c r="E260" s="63">
        <v>6885000</v>
      </c>
      <c r="F260" s="63">
        <f t="shared" si="14"/>
        <v>550800</v>
      </c>
      <c r="G260" s="64">
        <f t="shared" si="12"/>
        <v>7435800</v>
      </c>
      <c r="H260" s="65">
        <v>7435800</v>
      </c>
      <c r="I260" s="65"/>
      <c r="J260" s="66">
        <f t="shared" si="13"/>
        <v>0</v>
      </c>
      <c r="K260" s="67">
        <v>45569</v>
      </c>
      <c r="L260" s="94"/>
    </row>
    <row r="261" spans="1:12" s="14" customFormat="1" ht="15" customHeight="1" x14ac:dyDescent="0.3">
      <c r="A261" s="59" t="s">
        <v>203</v>
      </c>
      <c r="B261" s="60" t="s">
        <v>439</v>
      </c>
      <c r="C261" s="61" t="s">
        <v>441</v>
      </c>
      <c r="D261" s="62"/>
      <c r="E261" s="63">
        <v>4005000</v>
      </c>
      <c r="F261" s="63">
        <f t="shared" si="14"/>
        <v>320400</v>
      </c>
      <c r="G261" s="64">
        <f t="shared" si="12"/>
        <v>4325400</v>
      </c>
      <c r="H261" s="65">
        <v>4325400</v>
      </c>
      <c r="I261" s="65"/>
      <c r="J261" s="66">
        <f t="shared" si="13"/>
        <v>0</v>
      </c>
      <c r="K261" s="67">
        <v>45569</v>
      </c>
      <c r="L261" s="94"/>
    </row>
    <row r="262" spans="1:12" s="14" customFormat="1" ht="15" customHeight="1" x14ac:dyDescent="0.3">
      <c r="A262" s="59" t="s">
        <v>253</v>
      </c>
      <c r="B262" s="60" t="s">
        <v>442</v>
      </c>
      <c r="C262" s="61" t="s">
        <v>443</v>
      </c>
      <c r="D262" s="62"/>
      <c r="E262" s="63">
        <v>6105000</v>
      </c>
      <c r="F262" s="63">
        <f t="shared" si="14"/>
        <v>488400</v>
      </c>
      <c r="G262" s="64">
        <f t="shared" si="12"/>
        <v>6593400</v>
      </c>
      <c r="H262" s="65">
        <v>6593400</v>
      </c>
      <c r="I262" s="65"/>
      <c r="J262" s="66">
        <f t="shared" si="13"/>
        <v>0</v>
      </c>
      <c r="K262" s="67">
        <v>45569</v>
      </c>
      <c r="L262" s="94"/>
    </row>
    <row r="263" spans="1:12" s="14" customFormat="1" ht="15" customHeight="1" x14ac:dyDescent="0.3">
      <c r="A263" s="59" t="s">
        <v>203</v>
      </c>
      <c r="B263" s="60" t="s">
        <v>442</v>
      </c>
      <c r="C263" s="61" t="s">
        <v>444</v>
      </c>
      <c r="D263" s="62"/>
      <c r="E263" s="63">
        <v>8090000</v>
      </c>
      <c r="F263" s="63">
        <f t="shared" si="14"/>
        <v>647200</v>
      </c>
      <c r="G263" s="64">
        <f t="shared" si="12"/>
        <v>8737200</v>
      </c>
      <c r="H263" s="65">
        <v>8737200</v>
      </c>
      <c r="I263" s="65"/>
      <c r="J263" s="66">
        <f t="shared" si="13"/>
        <v>0</v>
      </c>
      <c r="K263" s="67">
        <v>45569</v>
      </c>
      <c r="L263" s="94"/>
    </row>
    <row r="264" spans="1:12" s="14" customFormat="1" ht="15" customHeight="1" x14ac:dyDescent="0.3">
      <c r="A264" s="59" t="s">
        <v>196</v>
      </c>
      <c r="B264" s="60" t="s">
        <v>442</v>
      </c>
      <c r="C264" s="61" t="s">
        <v>445</v>
      </c>
      <c r="D264" s="62"/>
      <c r="E264" s="63">
        <v>4980000</v>
      </c>
      <c r="F264" s="63">
        <f t="shared" si="14"/>
        <v>398400</v>
      </c>
      <c r="G264" s="64">
        <f t="shared" si="12"/>
        <v>5378400</v>
      </c>
      <c r="H264" s="65">
        <v>5378400</v>
      </c>
      <c r="I264" s="65"/>
      <c r="J264" s="66">
        <f t="shared" si="13"/>
        <v>0</v>
      </c>
      <c r="K264" s="67">
        <v>45569</v>
      </c>
      <c r="L264" s="94"/>
    </row>
    <row r="265" spans="1:12" s="14" customFormat="1" ht="15" customHeight="1" x14ac:dyDescent="0.3">
      <c r="A265" s="59" t="s">
        <v>218</v>
      </c>
      <c r="B265" s="60" t="s">
        <v>446</v>
      </c>
      <c r="C265" s="61" t="s">
        <v>447</v>
      </c>
      <c r="D265" s="62"/>
      <c r="E265" s="63">
        <v>6450000</v>
      </c>
      <c r="F265" s="63">
        <f t="shared" si="14"/>
        <v>516000</v>
      </c>
      <c r="G265" s="64">
        <f t="shared" ref="G265:G328" si="15">E265+F265</f>
        <v>6966000</v>
      </c>
      <c r="H265" s="65">
        <v>6966000</v>
      </c>
      <c r="I265" s="65"/>
      <c r="J265" s="66">
        <f t="shared" si="13"/>
        <v>0</v>
      </c>
      <c r="K265" s="67">
        <v>45569</v>
      </c>
      <c r="L265" s="94"/>
    </row>
    <row r="266" spans="1:12" s="14" customFormat="1" ht="15" customHeight="1" x14ac:dyDescent="0.3">
      <c r="A266" s="59" t="s">
        <v>203</v>
      </c>
      <c r="B266" s="60" t="s">
        <v>448</v>
      </c>
      <c r="C266" s="61" t="s">
        <v>449</v>
      </c>
      <c r="D266" s="62"/>
      <c r="E266" s="63">
        <v>7890000</v>
      </c>
      <c r="F266" s="63">
        <f t="shared" si="14"/>
        <v>631200</v>
      </c>
      <c r="G266" s="64">
        <f t="shared" si="15"/>
        <v>8521200</v>
      </c>
      <c r="H266" s="65">
        <v>8521200</v>
      </c>
      <c r="I266" s="65"/>
      <c r="J266" s="66">
        <f t="shared" ref="J266:J329" si="16">G266-H266</f>
        <v>0</v>
      </c>
      <c r="K266" s="67">
        <v>45569</v>
      </c>
      <c r="L266" s="94"/>
    </row>
    <row r="267" spans="1:12" s="14" customFormat="1" ht="15" customHeight="1" x14ac:dyDescent="0.3">
      <c r="A267" s="59" t="s">
        <v>196</v>
      </c>
      <c r="B267" s="60" t="s">
        <v>448</v>
      </c>
      <c r="C267" s="61" t="s">
        <v>450</v>
      </c>
      <c r="D267" s="62"/>
      <c r="E267" s="63">
        <v>4515000</v>
      </c>
      <c r="F267" s="63">
        <f t="shared" si="14"/>
        <v>361200</v>
      </c>
      <c r="G267" s="64">
        <f t="shared" si="15"/>
        <v>4876200</v>
      </c>
      <c r="H267" s="65">
        <v>4876200</v>
      </c>
      <c r="I267" s="65"/>
      <c r="J267" s="66">
        <f t="shared" si="16"/>
        <v>0</v>
      </c>
      <c r="K267" s="67">
        <v>45569</v>
      </c>
      <c r="L267" s="94"/>
    </row>
    <row r="268" spans="1:12" s="14" customFormat="1" ht="15" customHeight="1" x14ac:dyDescent="0.3">
      <c r="A268" s="59" t="s">
        <v>253</v>
      </c>
      <c r="B268" s="60" t="s">
        <v>451</v>
      </c>
      <c r="C268" s="61" t="s">
        <v>452</v>
      </c>
      <c r="D268" s="62"/>
      <c r="E268" s="63">
        <v>3030000</v>
      </c>
      <c r="F268" s="63">
        <f t="shared" si="14"/>
        <v>242400</v>
      </c>
      <c r="G268" s="64">
        <f t="shared" si="15"/>
        <v>3272400</v>
      </c>
      <c r="H268" s="65">
        <v>3272400</v>
      </c>
      <c r="I268" s="65"/>
      <c r="J268" s="66">
        <f t="shared" si="16"/>
        <v>0</v>
      </c>
      <c r="K268" s="67">
        <v>45569</v>
      </c>
      <c r="L268" s="94"/>
    </row>
    <row r="269" spans="1:12" s="14" customFormat="1" ht="15" customHeight="1" x14ac:dyDescent="0.3">
      <c r="A269" s="59" t="s">
        <v>253</v>
      </c>
      <c r="B269" s="60" t="s">
        <v>453</v>
      </c>
      <c r="C269" s="61" t="s">
        <v>454</v>
      </c>
      <c r="D269" s="62"/>
      <c r="E269" s="63">
        <v>5475000</v>
      </c>
      <c r="F269" s="63">
        <f t="shared" si="14"/>
        <v>438000</v>
      </c>
      <c r="G269" s="64">
        <f t="shared" si="15"/>
        <v>5913000</v>
      </c>
      <c r="H269" s="65">
        <v>5913000</v>
      </c>
      <c r="I269" s="65"/>
      <c r="J269" s="66">
        <f t="shared" si="16"/>
        <v>0</v>
      </c>
      <c r="K269" s="67">
        <v>45569</v>
      </c>
      <c r="L269" s="94"/>
    </row>
    <row r="270" spans="1:12" s="14" customFormat="1" ht="15" customHeight="1" x14ac:dyDescent="0.3">
      <c r="A270" s="59" t="s">
        <v>196</v>
      </c>
      <c r="B270" s="60" t="s">
        <v>455</v>
      </c>
      <c r="C270" s="61" t="s">
        <v>456</v>
      </c>
      <c r="D270" s="62"/>
      <c r="E270" s="63">
        <v>1040000</v>
      </c>
      <c r="F270" s="63">
        <f t="shared" si="14"/>
        <v>83200</v>
      </c>
      <c r="G270" s="64">
        <f t="shared" si="15"/>
        <v>1123200</v>
      </c>
      <c r="H270" s="65">
        <v>1123200</v>
      </c>
      <c r="I270" s="65"/>
      <c r="J270" s="66">
        <f t="shared" si="16"/>
        <v>0</v>
      </c>
      <c r="K270" s="67">
        <v>45569</v>
      </c>
      <c r="L270" s="94"/>
    </row>
    <row r="271" spans="1:12" s="14" customFormat="1" ht="15" customHeight="1" x14ac:dyDescent="0.3">
      <c r="A271" s="59" t="s">
        <v>203</v>
      </c>
      <c r="B271" s="60" t="s">
        <v>455</v>
      </c>
      <c r="C271" s="61" t="s">
        <v>457</v>
      </c>
      <c r="D271" s="62"/>
      <c r="E271" s="63">
        <v>8765000</v>
      </c>
      <c r="F271" s="63">
        <f t="shared" si="14"/>
        <v>701200</v>
      </c>
      <c r="G271" s="64">
        <f t="shared" si="15"/>
        <v>9466200</v>
      </c>
      <c r="H271" s="65">
        <v>9466200</v>
      </c>
      <c r="I271" s="65"/>
      <c r="J271" s="66">
        <f t="shared" si="16"/>
        <v>0</v>
      </c>
      <c r="K271" s="67">
        <v>45569</v>
      </c>
      <c r="L271" s="94"/>
    </row>
    <row r="272" spans="1:12" s="14" customFormat="1" ht="15" customHeight="1" x14ac:dyDescent="0.3">
      <c r="A272" s="59" t="s">
        <v>196</v>
      </c>
      <c r="B272" s="60" t="s">
        <v>458</v>
      </c>
      <c r="C272" s="61" t="s">
        <v>459</v>
      </c>
      <c r="D272" s="62"/>
      <c r="E272" s="63">
        <v>5206500</v>
      </c>
      <c r="F272" s="63">
        <f t="shared" si="14"/>
        <v>416520</v>
      </c>
      <c r="G272" s="64">
        <f t="shared" si="15"/>
        <v>5623020</v>
      </c>
      <c r="H272" s="65">
        <v>5623020</v>
      </c>
      <c r="I272" s="65"/>
      <c r="J272" s="66">
        <f t="shared" si="16"/>
        <v>0</v>
      </c>
      <c r="K272" s="67">
        <v>45569</v>
      </c>
      <c r="L272" s="94"/>
    </row>
    <row r="273" spans="1:13" s="14" customFormat="1" ht="15" customHeight="1" x14ac:dyDescent="0.3">
      <c r="A273" s="59" t="s">
        <v>203</v>
      </c>
      <c r="B273" s="60" t="s">
        <v>458</v>
      </c>
      <c r="C273" s="61" t="s">
        <v>460</v>
      </c>
      <c r="D273" s="62"/>
      <c r="E273" s="63">
        <v>4336500</v>
      </c>
      <c r="F273" s="63">
        <f t="shared" si="14"/>
        <v>346920</v>
      </c>
      <c r="G273" s="64">
        <f t="shared" si="15"/>
        <v>4683420</v>
      </c>
      <c r="H273" s="65">
        <v>4683420</v>
      </c>
      <c r="I273" s="65"/>
      <c r="J273" s="66">
        <f t="shared" si="16"/>
        <v>0</v>
      </c>
      <c r="K273" s="67">
        <v>45569</v>
      </c>
      <c r="L273" s="94"/>
    </row>
    <row r="274" spans="1:13" s="14" customFormat="1" ht="15" customHeight="1" x14ac:dyDescent="0.3">
      <c r="A274" s="59" t="s">
        <v>196</v>
      </c>
      <c r="B274" s="60" t="s">
        <v>461</v>
      </c>
      <c r="C274" s="61" t="s">
        <v>462</v>
      </c>
      <c r="D274" s="62"/>
      <c r="E274" s="63">
        <v>6226500</v>
      </c>
      <c r="F274" s="63">
        <f t="shared" si="14"/>
        <v>498120</v>
      </c>
      <c r="G274" s="64">
        <f t="shared" si="15"/>
        <v>6724620</v>
      </c>
      <c r="H274" s="65">
        <v>6724620</v>
      </c>
      <c r="I274" s="65"/>
      <c r="J274" s="66">
        <f t="shared" si="16"/>
        <v>0</v>
      </c>
      <c r="K274" s="67">
        <v>45580</v>
      </c>
      <c r="L274" s="94"/>
    </row>
    <row r="275" spans="1:13" s="14" customFormat="1" ht="15" customHeight="1" x14ac:dyDescent="0.3">
      <c r="A275" s="59" t="s">
        <v>253</v>
      </c>
      <c r="B275" s="60" t="s">
        <v>461</v>
      </c>
      <c r="C275" s="61" t="s">
        <v>463</v>
      </c>
      <c r="D275" s="62"/>
      <c r="E275" s="63">
        <v>4033500</v>
      </c>
      <c r="F275" s="63">
        <f t="shared" si="14"/>
        <v>322680</v>
      </c>
      <c r="G275" s="64">
        <f t="shared" si="15"/>
        <v>4356180</v>
      </c>
      <c r="H275" s="65">
        <v>4356180</v>
      </c>
      <c r="I275" s="65"/>
      <c r="J275" s="66">
        <f t="shared" si="16"/>
        <v>0</v>
      </c>
      <c r="K275" s="67">
        <v>45580</v>
      </c>
      <c r="L275" s="94"/>
    </row>
    <row r="276" spans="1:13" s="14" customFormat="1" ht="15" customHeight="1" x14ac:dyDescent="0.3">
      <c r="A276" s="59" t="s">
        <v>196</v>
      </c>
      <c r="B276" s="60" t="s">
        <v>464</v>
      </c>
      <c r="C276" s="61" t="s">
        <v>465</v>
      </c>
      <c r="D276" s="62"/>
      <c r="E276" s="63">
        <v>6093000</v>
      </c>
      <c r="F276" s="63">
        <f t="shared" si="14"/>
        <v>487440</v>
      </c>
      <c r="G276" s="64">
        <f t="shared" si="15"/>
        <v>6580440</v>
      </c>
      <c r="H276" s="65">
        <v>6580440</v>
      </c>
      <c r="I276" s="65"/>
      <c r="J276" s="66">
        <f t="shared" si="16"/>
        <v>0</v>
      </c>
      <c r="K276" s="67">
        <v>45580</v>
      </c>
      <c r="L276" s="94"/>
    </row>
    <row r="277" spans="1:13" s="14" customFormat="1" ht="15" customHeight="1" x14ac:dyDescent="0.3">
      <c r="A277" s="59" t="s">
        <v>203</v>
      </c>
      <c r="B277" s="60" t="s">
        <v>464</v>
      </c>
      <c r="C277" s="61" t="s">
        <v>466</v>
      </c>
      <c r="D277" s="62"/>
      <c r="E277" s="63">
        <v>6868500</v>
      </c>
      <c r="F277" s="63">
        <f t="shared" si="14"/>
        <v>549480</v>
      </c>
      <c r="G277" s="64">
        <f t="shared" si="15"/>
        <v>7417980</v>
      </c>
      <c r="H277" s="65">
        <v>7417980</v>
      </c>
      <c r="I277" s="65"/>
      <c r="J277" s="66">
        <f t="shared" si="16"/>
        <v>0</v>
      </c>
      <c r="K277" s="67">
        <v>45580</v>
      </c>
      <c r="L277" s="94"/>
    </row>
    <row r="278" spans="1:13" s="14" customFormat="1" ht="15" customHeight="1" x14ac:dyDescent="0.3">
      <c r="A278" s="59" t="s">
        <v>196</v>
      </c>
      <c r="B278" s="60" t="s">
        <v>467</v>
      </c>
      <c r="C278" s="61" t="s">
        <v>468</v>
      </c>
      <c r="D278" s="62"/>
      <c r="E278" s="63">
        <v>6361500</v>
      </c>
      <c r="F278" s="63">
        <f t="shared" si="14"/>
        <v>508920</v>
      </c>
      <c r="G278" s="64">
        <f t="shared" si="15"/>
        <v>6870420</v>
      </c>
      <c r="H278" s="65">
        <v>6870420</v>
      </c>
      <c r="I278" s="65"/>
      <c r="J278" s="66">
        <f t="shared" si="16"/>
        <v>0</v>
      </c>
      <c r="K278" s="67">
        <v>45580</v>
      </c>
      <c r="L278" s="94"/>
    </row>
    <row r="279" spans="1:13" s="14" customFormat="1" ht="15" customHeight="1" x14ac:dyDescent="0.3">
      <c r="A279" s="59" t="s">
        <v>203</v>
      </c>
      <c r="B279" s="60" t="s">
        <v>467</v>
      </c>
      <c r="C279" s="61" t="s">
        <v>469</v>
      </c>
      <c r="D279" s="62"/>
      <c r="E279" s="63">
        <v>5206500</v>
      </c>
      <c r="F279" s="63">
        <f t="shared" si="14"/>
        <v>416520</v>
      </c>
      <c r="G279" s="64">
        <f t="shared" si="15"/>
        <v>5623020</v>
      </c>
      <c r="H279" s="65">
        <v>5623020</v>
      </c>
      <c r="I279" s="65"/>
      <c r="J279" s="66">
        <f t="shared" si="16"/>
        <v>0</v>
      </c>
      <c r="K279" s="67">
        <v>45580</v>
      </c>
      <c r="L279" s="94"/>
    </row>
    <row r="280" spans="1:13" s="14" customFormat="1" ht="15" customHeight="1" x14ac:dyDescent="0.3">
      <c r="A280" s="59" t="s">
        <v>253</v>
      </c>
      <c r="B280" s="60" t="s">
        <v>467</v>
      </c>
      <c r="C280" s="61" t="s">
        <v>470</v>
      </c>
      <c r="D280" s="62"/>
      <c r="E280" s="63">
        <v>5188500</v>
      </c>
      <c r="F280" s="63">
        <f t="shared" si="14"/>
        <v>415080</v>
      </c>
      <c r="G280" s="64">
        <f t="shared" si="15"/>
        <v>5603580</v>
      </c>
      <c r="H280" s="65">
        <v>5603580</v>
      </c>
      <c r="I280" s="65"/>
      <c r="J280" s="66">
        <f t="shared" si="16"/>
        <v>0</v>
      </c>
      <c r="K280" s="67">
        <v>45580</v>
      </c>
      <c r="L280" s="94"/>
    </row>
    <row r="281" spans="1:13" s="14" customFormat="1" ht="15" customHeight="1" x14ac:dyDescent="0.3">
      <c r="A281" s="59" t="s">
        <v>203</v>
      </c>
      <c r="B281" s="60" t="s">
        <v>471</v>
      </c>
      <c r="C281" s="61" t="s">
        <v>472</v>
      </c>
      <c r="D281" s="62"/>
      <c r="E281" s="63">
        <v>2045000</v>
      </c>
      <c r="F281" s="63">
        <f t="shared" si="14"/>
        <v>163600</v>
      </c>
      <c r="G281" s="64">
        <f t="shared" si="15"/>
        <v>2208600</v>
      </c>
      <c r="H281" s="65">
        <v>2208600</v>
      </c>
      <c r="I281" s="65"/>
      <c r="J281" s="66">
        <f t="shared" si="16"/>
        <v>0</v>
      </c>
      <c r="K281" s="67">
        <v>45580</v>
      </c>
      <c r="L281" s="94"/>
    </row>
    <row r="282" spans="1:13" s="14" customFormat="1" ht="15" customHeight="1" x14ac:dyDescent="0.3">
      <c r="A282" s="59" t="s">
        <v>196</v>
      </c>
      <c r="B282" s="60" t="s">
        <v>473</v>
      </c>
      <c r="C282" s="62" t="s">
        <v>474</v>
      </c>
      <c r="D282" s="62"/>
      <c r="E282" s="63">
        <v>960000</v>
      </c>
      <c r="F282" s="63">
        <f t="shared" si="14"/>
        <v>76800</v>
      </c>
      <c r="G282" s="64">
        <f t="shared" si="15"/>
        <v>1036800</v>
      </c>
      <c r="H282" s="65">
        <v>1036800</v>
      </c>
      <c r="I282" s="65"/>
      <c r="J282" s="66">
        <f t="shared" si="16"/>
        <v>0</v>
      </c>
      <c r="K282" s="67">
        <v>45580</v>
      </c>
      <c r="L282" s="94"/>
    </row>
    <row r="283" spans="1:13" s="14" customFormat="1" ht="15" customHeight="1" x14ac:dyDescent="0.3">
      <c r="A283" s="59" t="s">
        <v>203</v>
      </c>
      <c r="B283" s="60" t="s">
        <v>473</v>
      </c>
      <c r="C283" s="62" t="s">
        <v>475</v>
      </c>
      <c r="D283" s="62"/>
      <c r="E283" s="63">
        <v>2045000</v>
      </c>
      <c r="F283" s="63">
        <f t="shared" si="14"/>
        <v>163600</v>
      </c>
      <c r="G283" s="64">
        <f t="shared" si="15"/>
        <v>2208600</v>
      </c>
      <c r="H283" s="65">
        <v>2208600</v>
      </c>
      <c r="I283" s="65"/>
      <c r="J283" s="66">
        <f t="shared" si="16"/>
        <v>0</v>
      </c>
      <c r="K283" s="67">
        <v>45580</v>
      </c>
      <c r="L283" s="94"/>
    </row>
    <row r="284" spans="1:13" s="14" customFormat="1" ht="15" customHeight="1" x14ac:dyDescent="0.3">
      <c r="A284" s="59" t="s">
        <v>253</v>
      </c>
      <c r="B284" s="60" t="s">
        <v>473</v>
      </c>
      <c r="C284" s="62" t="s">
        <v>476</v>
      </c>
      <c r="D284" s="62"/>
      <c r="E284" s="63">
        <v>2520000</v>
      </c>
      <c r="F284" s="63">
        <f t="shared" si="14"/>
        <v>201600</v>
      </c>
      <c r="G284" s="64">
        <f t="shared" si="15"/>
        <v>2721600</v>
      </c>
      <c r="H284" s="65">
        <v>2721600</v>
      </c>
      <c r="I284" s="65"/>
      <c r="J284" s="66">
        <f t="shared" si="16"/>
        <v>0</v>
      </c>
      <c r="K284" s="67">
        <v>45580</v>
      </c>
      <c r="L284" s="94"/>
    </row>
    <row r="285" spans="1:13" s="14" customFormat="1" ht="15" customHeight="1" x14ac:dyDescent="0.3">
      <c r="A285" s="59" t="s">
        <v>203</v>
      </c>
      <c r="B285" s="60" t="s">
        <v>477</v>
      </c>
      <c r="C285" s="62" t="s">
        <v>478</v>
      </c>
      <c r="D285" s="62"/>
      <c r="E285" s="63">
        <v>1965000</v>
      </c>
      <c r="F285" s="63">
        <f t="shared" si="14"/>
        <v>157200</v>
      </c>
      <c r="G285" s="64">
        <f t="shared" si="15"/>
        <v>2122200</v>
      </c>
      <c r="H285" s="65">
        <v>2122200</v>
      </c>
      <c r="I285" s="65"/>
      <c r="J285" s="66">
        <f t="shared" si="16"/>
        <v>0</v>
      </c>
      <c r="K285" s="67">
        <v>45580</v>
      </c>
      <c r="L285" s="94"/>
    </row>
    <row r="286" spans="1:13" s="14" customFormat="1" ht="15" customHeight="1" x14ac:dyDescent="0.3">
      <c r="A286" s="59" t="s">
        <v>196</v>
      </c>
      <c r="B286" s="60" t="s">
        <v>477</v>
      </c>
      <c r="C286" s="62" t="s">
        <v>479</v>
      </c>
      <c r="D286" s="62"/>
      <c r="E286" s="63">
        <v>5040000</v>
      </c>
      <c r="F286" s="63">
        <f t="shared" si="14"/>
        <v>403200</v>
      </c>
      <c r="G286" s="64">
        <f t="shared" si="15"/>
        <v>5443200</v>
      </c>
      <c r="H286" s="65">
        <v>5443200</v>
      </c>
      <c r="I286" s="65"/>
      <c r="J286" s="66">
        <f t="shared" si="16"/>
        <v>0</v>
      </c>
      <c r="K286" s="67">
        <v>45580</v>
      </c>
      <c r="L286" s="94"/>
    </row>
    <row r="287" spans="1:13" s="14" customFormat="1" ht="15" customHeight="1" x14ac:dyDescent="0.3">
      <c r="A287" s="59" t="s">
        <v>196</v>
      </c>
      <c r="B287" s="60" t="s">
        <v>480</v>
      </c>
      <c r="C287" s="62" t="s">
        <v>481</v>
      </c>
      <c r="D287" s="62"/>
      <c r="E287" s="63">
        <v>3945000</v>
      </c>
      <c r="F287" s="63">
        <f t="shared" si="14"/>
        <v>315600</v>
      </c>
      <c r="G287" s="64">
        <f t="shared" si="15"/>
        <v>4260600</v>
      </c>
      <c r="H287" s="65">
        <v>4260600</v>
      </c>
      <c r="I287" s="65"/>
      <c r="J287" s="66">
        <f t="shared" si="16"/>
        <v>0</v>
      </c>
      <c r="K287" s="67">
        <v>45580</v>
      </c>
      <c r="L287" s="94"/>
    </row>
    <row r="288" spans="1:13" s="14" customFormat="1" ht="15" customHeight="1" x14ac:dyDescent="0.3">
      <c r="A288" s="68" t="s">
        <v>482</v>
      </c>
      <c r="B288" s="69">
        <v>45567</v>
      </c>
      <c r="C288" s="70" t="s">
        <v>483</v>
      </c>
      <c r="D288" s="70"/>
      <c r="E288" s="71">
        <v>-408000</v>
      </c>
      <c r="F288" s="71">
        <f t="shared" si="14"/>
        <v>-32640</v>
      </c>
      <c r="G288" s="72">
        <f t="shared" si="15"/>
        <v>-440640</v>
      </c>
      <c r="H288" s="73">
        <v>-440640</v>
      </c>
      <c r="I288" s="73"/>
      <c r="J288" s="74">
        <f t="shared" si="16"/>
        <v>0</v>
      </c>
      <c r="K288" s="67">
        <v>45569</v>
      </c>
      <c r="L288" s="94"/>
      <c r="M288" s="14" t="s">
        <v>502</v>
      </c>
    </row>
    <row r="289" spans="1:12" s="14" customFormat="1" ht="15" customHeight="1" x14ac:dyDescent="0.3">
      <c r="A289" s="59" t="s">
        <v>218</v>
      </c>
      <c r="B289" s="60" t="s">
        <v>495</v>
      </c>
      <c r="C289" s="62" t="s">
        <v>484</v>
      </c>
      <c r="D289" s="62"/>
      <c r="E289" s="63">
        <v>3030000</v>
      </c>
      <c r="F289" s="63">
        <f t="shared" si="14"/>
        <v>242400</v>
      </c>
      <c r="G289" s="64">
        <f t="shared" si="15"/>
        <v>3272400</v>
      </c>
      <c r="H289" s="65">
        <v>3272400</v>
      </c>
      <c r="I289" s="65"/>
      <c r="J289" s="66">
        <f t="shared" si="16"/>
        <v>0</v>
      </c>
      <c r="K289" s="67">
        <v>45772</v>
      </c>
      <c r="L289" s="94"/>
    </row>
    <row r="290" spans="1:12" s="14" customFormat="1" ht="15" customHeight="1" x14ac:dyDescent="0.3">
      <c r="A290" s="59" t="s">
        <v>196</v>
      </c>
      <c r="B290" s="60" t="s">
        <v>496</v>
      </c>
      <c r="C290" s="61" t="s">
        <v>485</v>
      </c>
      <c r="D290" s="62"/>
      <c r="E290" s="63">
        <v>2925000</v>
      </c>
      <c r="F290" s="63">
        <f t="shared" si="14"/>
        <v>234000</v>
      </c>
      <c r="G290" s="64">
        <f t="shared" si="15"/>
        <v>3159000</v>
      </c>
      <c r="H290" s="65">
        <v>3159000</v>
      </c>
      <c r="I290" s="65"/>
      <c r="J290" s="66">
        <f t="shared" si="16"/>
        <v>0</v>
      </c>
      <c r="K290" s="67">
        <v>45772</v>
      </c>
      <c r="L290" s="94"/>
    </row>
    <row r="291" spans="1:12" s="14" customFormat="1" ht="15" customHeight="1" x14ac:dyDescent="0.3">
      <c r="A291" s="59" t="s">
        <v>196</v>
      </c>
      <c r="B291" s="60" t="s">
        <v>496</v>
      </c>
      <c r="C291" s="61" t="s">
        <v>486</v>
      </c>
      <c r="D291" s="62"/>
      <c r="E291" s="63">
        <v>1005000</v>
      </c>
      <c r="F291" s="63">
        <f t="shared" si="14"/>
        <v>80400</v>
      </c>
      <c r="G291" s="64">
        <f t="shared" si="15"/>
        <v>1085400</v>
      </c>
      <c r="H291" s="65">
        <v>1085400</v>
      </c>
      <c r="I291" s="65"/>
      <c r="J291" s="66">
        <f t="shared" si="16"/>
        <v>0</v>
      </c>
      <c r="K291" s="67">
        <v>45772</v>
      </c>
      <c r="L291" s="94"/>
    </row>
    <row r="292" spans="1:12" s="14" customFormat="1" ht="15" customHeight="1" x14ac:dyDescent="0.3">
      <c r="A292" s="59" t="s">
        <v>218</v>
      </c>
      <c r="B292" s="60" t="s">
        <v>497</v>
      </c>
      <c r="C292" s="61" t="s">
        <v>487</v>
      </c>
      <c r="D292" s="62"/>
      <c r="E292" s="63">
        <v>5985000</v>
      </c>
      <c r="F292" s="63">
        <f t="shared" si="14"/>
        <v>478800</v>
      </c>
      <c r="G292" s="64">
        <f t="shared" si="15"/>
        <v>6463800</v>
      </c>
      <c r="H292" s="65">
        <v>6463800</v>
      </c>
      <c r="I292" s="65"/>
      <c r="J292" s="66">
        <f t="shared" si="16"/>
        <v>0</v>
      </c>
      <c r="K292" s="67">
        <v>45772</v>
      </c>
      <c r="L292" s="94"/>
    </row>
    <row r="293" spans="1:12" s="14" customFormat="1" ht="15" customHeight="1" x14ac:dyDescent="0.3">
      <c r="A293" s="59" t="s">
        <v>196</v>
      </c>
      <c r="B293" s="60" t="s">
        <v>498</v>
      </c>
      <c r="C293" s="61" t="s">
        <v>488</v>
      </c>
      <c r="D293" s="62"/>
      <c r="E293" s="63">
        <v>3965000</v>
      </c>
      <c r="F293" s="63">
        <f t="shared" si="14"/>
        <v>317200</v>
      </c>
      <c r="G293" s="64">
        <f t="shared" si="15"/>
        <v>4282200</v>
      </c>
      <c r="H293" s="65">
        <v>4282200</v>
      </c>
      <c r="I293" s="65"/>
      <c r="J293" s="66">
        <f t="shared" si="16"/>
        <v>0</v>
      </c>
      <c r="K293" s="67">
        <v>45772</v>
      </c>
      <c r="L293" s="94"/>
    </row>
    <row r="294" spans="1:12" s="14" customFormat="1" ht="15" customHeight="1" x14ac:dyDescent="0.3">
      <c r="A294" s="59" t="s">
        <v>196</v>
      </c>
      <c r="B294" s="60" t="s">
        <v>498</v>
      </c>
      <c r="C294" s="61" t="s">
        <v>489</v>
      </c>
      <c r="D294" s="62"/>
      <c r="E294" s="63">
        <v>5805000</v>
      </c>
      <c r="F294" s="63">
        <f t="shared" si="14"/>
        <v>464400</v>
      </c>
      <c r="G294" s="64">
        <f t="shared" si="15"/>
        <v>6269400</v>
      </c>
      <c r="H294" s="65">
        <v>6269400</v>
      </c>
      <c r="I294" s="65"/>
      <c r="J294" s="66">
        <f t="shared" si="16"/>
        <v>0</v>
      </c>
      <c r="K294" s="67">
        <v>45772</v>
      </c>
      <c r="L294" s="94"/>
    </row>
    <row r="295" spans="1:12" s="14" customFormat="1" ht="15" customHeight="1" x14ac:dyDescent="0.3">
      <c r="A295" s="59" t="s">
        <v>196</v>
      </c>
      <c r="B295" s="60" t="s">
        <v>499</v>
      </c>
      <c r="C295" s="61" t="s">
        <v>490</v>
      </c>
      <c r="D295" s="62"/>
      <c r="E295" s="63">
        <v>5985000</v>
      </c>
      <c r="F295" s="63">
        <f t="shared" si="14"/>
        <v>478800</v>
      </c>
      <c r="G295" s="64">
        <f t="shared" si="15"/>
        <v>6463800</v>
      </c>
      <c r="H295" s="65">
        <v>6463800</v>
      </c>
      <c r="I295" s="65"/>
      <c r="J295" s="66">
        <f t="shared" si="16"/>
        <v>0</v>
      </c>
      <c r="K295" s="67">
        <v>45772</v>
      </c>
      <c r="L295" s="94"/>
    </row>
    <row r="296" spans="1:12" s="14" customFormat="1" ht="15" customHeight="1" x14ac:dyDescent="0.3">
      <c r="A296" s="59" t="s">
        <v>196</v>
      </c>
      <c r="B296" s="60" t="s">
        <v>499</v>
      </c>
      <c r="C296" s="61" t="s">
        <v>491</v>
      </c>
      <c r="D296" s="62"/>
      <c r="E296" s="63">
        <v>5850000</v>
      </c>
      <c r="F296" s="63">
        <f t="shared" si="14"/>
        <v>468000</v>
      </c>
      <c r="G296" s="64">
        <f t="shared" si="15"/>
        <v>6318000</v>
      </c>
      <c r="H296" s="65">
        <v>6318000</v>
      </c>
      <c r="I296" s="65"/>
      <c r="J296" s="66">
        <f t="shared" si="16"/>
        <v>0</v>
      </c>
      <c r="K296" s="67">
        <v>45772</v>
      </c>
      <c r="L296" s="94"/>
    </row>
    <row r="297" spans="1:12" s="14" customFormat="1" ht="15" customHeight="1" x14ac:dyDescent="0.3">
      <c r="A297" s="59" t="s">
        <v>196</v>
      </c>
      <c r="B297" s="60" t="s">
        <v>500</v>
      </c>
      <c r="C297" s="62" t="s">
        <v>492</v>
      </c>
      <c r="D297" s="62"/>
      <c r="E297" s="63">
        <v>1515000</v>
      </c>
      <c r="F297" s="63">
        <f t="shared" si="14"/>
        <v>121200</v>
      </c>
      <c r="G297" s="64">
        <f t="shared" si="15"/>
        <v>1636200</v>
      </c>
      <c r="H297" s="65">
        <v>1636200</v>
      </c>
      <c r="I297" s="65"/>
      <c r="J297" s="66">
        <f t="shared" si="16"/>
        <v>0</v>
      </c>
      <c r="K297" s="67">
        <v>45772</v>
      </c>
      <c r="L297" s="94"/>
    </row>
    <row r="298" spans="1:12" s="14" customFormat="1" ht="15" customHeight="1" x14ac:dyDescent="0.3">
      <c r="A298" s="59" t="s">
        <v>196</v>
      </c>
      <c r="B298" s="60" t="s">
        <v>501</v>
      </c>
      <c r="C298" s="62" t="s">
        <v>493</v>
      </c>
      <c r="D298" s="62"/>
      <c r="E298" s="63">
        <v>4965000</v>
      </c>
      <c r="F298" s="63">
        <f t="shared" si="14"/>
        <v>397200</v>
      </c>
      <c r="G298" s="64">
        <f t="shared" si="15"/>
        <v>5362200</v>
      </c>
      <c r="H298" s="65">
        <v>5362200</v>
      </c>
      <c r="I298" s="65"/>
      <c r="J298" s="66">
        <f t="shared" si="16"/>
        <v>0</v>
      </c>
      <c r="K298" s="67">
        <v>45772</v>
      </c>
      <c r="L298" s="94"/>
    </row>
    <row r="299" spans="1:12" s="14" customFormat="1" ht="15" customHeight="1" x14ac:dyDescent="0.3">
      <c r="A299" s="59" t="s">
        <v>196</v>
      </c>
      <c r="B299" s="60" t="s">
        <v>501</v>
      </c>
      <c r="C299" s="62" t="s">
        <v>494</v>
      </c>
      <c r="D299" s="62"/>
      <c r="E299" s="63">
        <v>3590000</v>
      </c>
      <c r="F299" s="63">
        <f t="shared" si="14"/>
        <v>287200</v>
      </c>
      <c r="G299" s="64">
        <f t="shared" si="15"/>
        <v>3877200</v>
      </c>
      <c r="H299" s="65">
        <v>3877200</v>
      </c>
      <c r="I299" s="65"/>
      <c r="J299" s="66">
        <f t="shared" si="16"/>
        <v>0</v>
      </c>
      <c r="K299" s="67">
        <v>45772</v>
      </c>
      <c r="L299" s="94"/>
    </row>
    <row r="300" spans="1:12" s="14" customFormat="1" ht="15" customHeight="1" x14ac:dyDescent="0.3">
      <c r="A300" s="59" t="s">
        <v>196</v>
      </c>
      <c r="B300" s="60" t="s">
        <v>511</v>
      </c>
      <c r="C300" s="61" t="s">
        <v>503</v>
      </c>
      <c r="D300" s="62"/>
      <c r="E300" s="63">
        <v>2045000</v>
      </c>
      <c r="F300" s="63">
        <f t="shared" si="14"/>
        <v>163600</v>
      </c>
      <c r="G300" s="64">
        <f t="shared" si="15"/>
        <v>2208600</v>
      </c>
      <c r="H300" s="65">
        <v>2208600</v>
      </c>
      <c r="I300" s="65"/>
      <c r="J300" s="66">
        <f t="shared" si="16"/>
        <v>0</v>
      </c>
      <c r="K300" s="67">
        <v>45772</v>
      </c>
      <c r="L300" s="94"/>
    </row>
    <row r="301" spans="1:12" s="14" customFormat="1" ht="15" customHeight="1" x14ac:dyDescent="0.3">
      <c r="A301" s="59" t="s">
        <v>253</v>
      </c>
      <c r="B301" s="60" t="s">
        <v>511</v>
      </c>
      <c r="C301" s="61" t="s">
        <v>504</v>
      </c>
      <c r="D301" s="62"/>
      <c r="E301" s="63">
        <v>5355000</v>
      </c>
      <c r="F301" s="63">
        <f t="shared" si="14"/>
        <v>428400</v>
      </c>
      <c r="G301" s="64">
        <f t="shared" si="15"/>
        <v>5783400</v>
      </c>
      <c r="H301" s="65">
        <v>5783400</v>
      </c>
      <c r="I301" s="65"/>
      <c r="J301" s="66">
        <f t="shared" si="16"/>
        <v>0</v>
      </c>
      <c r="K301" s="67">
        <v>45772</v>
      </c>
      <c r="L301" s="94"/>
    </row>
    <row r="302" spans="1:12" s="14" customFormat="1" ht="15" customHeight="1" x14ac:dyDescent="0.3">
      <c r="A302" s="59" t="s">
        <v>253</v>
      </c>
      <c r="B302" s="60" t="s">
        <v>512</v>
      </c>
      <c r="C302" s="61" t="s">
        <v>505</v>
      </c>
      <c r="D302" s="62"/>
      <c r="E302" s="63">
        <v>3030000</v>
      </c>
      <c r="F302" s="63">
        <f t="shared" si="14"/>
        <v>242400</v>
      </c>
      <c r="G302" s="64">
        <f t="shared" si="15"/>
        <v>3272400</v>
      </c>
      <c r="H302" s="65">
        <v>3272400</v>
      </c>
      <c r="I302" s="65"/>
      <c r="J302" s="66">
        <f t="shared" si="16"/>
        <v>0</v>
      </c>
      <c r="K302" s="67">
        <v>45772</v>
      </c>
      <c r="L302" s="94"/>
    </row>
    <row r="303" spans="1:12" s="14" customFormat="1" ht="15" customHeight="1" x14ac:dyDescent="0.3">
      <c r="A303" s="59" t="s">
        <v>253</v>
      </c>
      <c r="B303" s="60" t="s">
        <v>513</v>
      </c>
      <c r="C303" s="61" t="s">
        <v>506</v>
      </c>
      <c r="D303" s="62"/>
      <c r="E303" s="63">
        <v>6105000</v>
      </c>
      <c r="F303" s="63">
        <f t="shared" si="14"/>
        <v>488400</v>
      </c>
      <c r="G303" s="64">
        <f t="shared" si="15"/>
        <v>6593400</v>
      </c>
      <c r="H303" s="65">
        <v>6593400</v>
      </c>
      <c r="I303" s="65"/>
      <c r="J303" s="66">
        <f t="shared" si="16"/>
        <v>0</v>
      </c>
      <c r="K303" s="67">
        <v>45772</v>
      </c>
      <c r="L303" s="94"/>
    </row>
    <row r="304" spans="1:12" s="14" customFormat="1" ht="15" customHeight="1" x14ac:dyDescent="0.3">
      <c r="A304" s="59" t="s">
        <v>203</v>
      </c>
      <c r="B304" s="60" t="s">
        <v>514</v>
      </c>
      <c r="C304" s="61" t="s">
        <v>507</v>
      </c>
      <c r="D304" s="62"/>
      <c r="E304" s="63">
        <v>6125000</v>
      </c>
      <c r="F304" s="63">
        <f t="shared" si="14"/>
        <v>490000</v>
      </c>
      <c r="G304" s="64">
        <f t="shared" si="15"/>
        <v>6615000</v>
      </c>
      <c r="H304" s="65">
        <v>6615000</v>
      </c>
      <c r="I304" s="65"/>
      <c r="J304" s="66">
        <f t="shared" si="16"/>
        <v>0</v>
      </c>
      <c r="K304" s="67">
        <v>45772</v>
      </c>
      <c r="L304" s="94"/>
    </row>
    <row r="305" spans="1:12" s="14" customFormat="1" ht="15" customHeight="1" x14ac:dyDescent="0.3">
      <c r="A305" s="59" t="s">
        <v>196</v>
      </c>
      <c r="B305" s="60" t="s">
        <v>514</v>
      </c>
      <c r="C305" s="61" t="s">
        <v>508</v>
      </c>
      <c r="D305" s="62"/>
      <c r="E305" s="63">
        <v>5040000</v>
      </c>
      <c r="F305" s="63">
        <f t="shared" si="14"/>
        <v>403200</v>
      </c>
      <c r="G305" s="64">
        <f t="shared" si="15"/>
        <v>5443200</v>
      </c>
      <c r="H305" s="65">
        <v>5443200</v>
      </c>
      <c r="I305" s="65"/>
      <c r="J305" s="66">
        <f t="shared" si="16"/>
        <v>0</v>
      </c>
      <c r="K305" s="67">
        <v>45772</v>
      </c>
      <c r="L305" s="94"/>
    </row>
    <row r="306" spans="1:12" s="14" customFormat="1" ht="15" customHeight="1" x14ac:dyDescent="0.3">
      <c r="A306" s="59" t="s">
        <v>196</v>
      </c>
      <c r="B306" s="60" t="s">
        <v>515</v>
      </c>
      <c r="C306" s="61" t="s">
        <v>509</v>
      </c>
      <c r="D306" s="62"/>
      <c r="E306" s="63">
        <v>6615000</v>
      </c>
      <c r="F306" s="63">
        <f t="shared" si="14"/>
        <v>529200</v>
      </c>
      <c r="G306" s="64">
        <f t="shared" si="15"/>
        <v>7144200</v>
      </c>
      <c r="H306" s="65">
        <v>7144200</v>
      </c>
      <c r="I306" s="65"/>
      <c r="J306" s="66">
        <f t="shared" si="16"/>
        <v>0</v>
      </c>
      <c r="K306" s="67">
        <v>45772</v>
      </c>
      <c r="L306" s="94"/>
    </row>
    <row r="307" spans="1:12" s="14" customFormat="1" ht="15" customHeight="1" x14ac:dyDescent="0.3">
      <c r="A307" s="59" t="s">
        <v>203</v>
      </c>
      <c r="B307" s="60" t="s">
        <v>515</v>
      </c>
      <c r="C307" s="61" t="s">
        <v>510</v>
      </c>
      <c r="D307" s="62"/>
      <c r="E307" s="63">
        <v>2045000</v>
      </c>
      <c r="F307" s="63">
        <f t="shared" si="14"/>
        <v>163600</v>
      </c>
      <c r="G307" s="64">
        <f t="shared" si="15"/>
        <v>2208600</v>
      </c>
      <c r="H307" s="65">
        <v>2208600</v>
      </c>
      <c r="I307" s="65"/>
      <c r="J307" s="66">
        <f t="shared" si="16"/>
        <v>0</v>
      </c>
      <c r="K307" s="67">
        <v>45772</v>
      </c>
      <c r="L307" s="94"/>
    </row>
    <row r="308" spans="1:12" s="14" customFormat="1" ht="15" customHeight="1" x14ac:dyDescent="0.3">
      <c r="A308" s="59" t="s">
        <v>196</v>
      </c>
      <c r="B308" s="60" t="s">
        <v>527</v>
      </c>
      <c r="C308" s="61" t="s">
        <v>516</v>
      </c>
      <c r="D308" s="62"/>
      <c r="E308" s="63">
        <v>4845000</v>
      </c>
      <c r="F308" s="63">
        <f t="shared" si="14"/>
        <v>387600</v>
      </c>
      <c r="G308" s="64">
        <f t="shared" si="15"/>
        <v>5232600</v>
      </c>
      <c r="H308" s="65">
        <v>5232600</v>
      </c>
      <c r="I308" s="65"/>
      <c r="J308" s="66">
        <f t="shared" si="16"/>
        <v>0</v>
      </c>
      <c r="K308" s="67">
        <v>45772</v>
      </c>
      <c r="L308" s="94"/>
    </row>
    <row r="309" spans="1:12" s="14" customFormat="1" ht="15" customHeight="1" x14ac:dyDescent="0.3">
      <c r="A309" s="59" t="s">
        <v>203</v>
      </c>
      <c r="B309" s="60" t="s">
        <v>527</v>
      </c>
      <c r="C309" s="61" t="s">
        <v>517</v>
      </c>
      <c r="D309" s="62"/>
      <c r="E309" s="63">
        <v>1005000</v>
      </c>
      <c r="F309" s="63">
        <f t="shared" si="14"/>
        <v>80400</v>
      </c>
      <c r="G309" s="64">
        <f t="shared" si="15"/>
        <v>1085400</v>
      </c>
      <c r="H309" s="65">
        <v>1085400</v>
      </c>
      <c r="I309" s="65"/>
      <c r="J309" s="66">
        <f t="shared" si="16"/>
        <v>0</v>
      </c>
      <c r="K309" s="67">
        <v>45772</v>
      </c>
      <c r="L309" s="94"/>
    </row>
    <row r="310" spans="1:12" s="14" customFormat="1" ht="15" customHeight="1" x14ac:dyDescent="0.3">
      <c r="A310" s="59" t="s">
        <v>253</v>
      </c>
      <c r="B310" s="60" t="s">
        <v>528</v>
      </c>
      <c r="C310" s="61" t="s">
        <v>518</v>
      </c>
      <c r="D310" s="62"/>
      <c r="E310" s="63">
        <v>4050000</v>
      </c>
      <c r="F310" s="63">
        <f t="shared" si="14"/>
        <v>324000</v>
      </c>
      <c r="G310" s="64">
        <f t="shared" si="15"/>
        <v>4374000</v>
      </c>
      <c r="H310" s="65">
        <v>4374000</v>
      </c>
      <c r="I310" s="65"/>
      <c r="J310" s="66">
        <f t="shared" si="16"/>
        <v>0</v>
      </c>
      <c r="K310" s="67">
        <v>45772</v>
      </c>
      <c r="L310" s="94"/>
    </row>
    <row r="311" spans="1:12" s="14" customFormat="1" ht="15" customHeight="1" x14ac:dyDescent="0.3">
      <c r="A311" s="59" t="s">
        <v>196</v>
      </c>
      <c r="B311" s="60" t="s">
        <v>528</v>
      </c>
      <c r="C311" s="61" t="s">
        <v>519</v>
      </c>
      <c r="D311" s="62"/>
      <c r="E311" s="63">
        <v>6000000</v>
      </c>
      <c r="F311" s="63">
        <f t="shared" si="14"/>
        <v>480000</v>
      </c>
      <c r="G311" s="64">
        <f t="shared" si="15"/>
        <v>6480000</v>
      </c>
      <c r="H311" s="65">
        <v>6480000</v>
      </c>
      <c r="I311" s="65"/>
      <c r="J311" s="66">
        <f t="shared" si="16"/>
        <v>0</v>
      </c>
      <c r="K311" s="67">
        <v>45772</v>
      </c>
      <c r="L311" s="94"/>
    </row>
    <row r="312" spans="1:12" s="14" customFormat="1" ht="15" customHeight="1" x14ac:dyDescent="0.3">
      <c r="A312" s="59" t="s">
        <v>203</v>
      </c>
      <c r="B312" s="60" t="s">
        <v>528</v>
      </c>
      <c r="C312" s="61" t="s">
        <v>520</v>
      </c>
      <c r="D312" s="62"/>
      <c r="E312" s="63">
        <v>960000</v>
      </c>
      <c r="F312" s="63">
        <f t="shared" si="14"/>
        <v>76800</v>
      </c>
      <c r="G312" s="64">
        <f t="shared" si="15"/>
        <v>1036800</v>
      </c>
      <c r="H312" s="65">
        <v>1036800</v>
      </c>
      <c r="I312" s="65"/>
      <c r="J312" s="66">
        <f t="shared" si="16"/>
        <v>0</v>
      </c>
      <c r="K312" s="67">
        <v>45772</v>
      </c>
      <c r="L312" s="94"/>
    </row>
    <row r="313" spans="1:12" s="14" customFormat="1" ht="15" customHeight="1" x14ac:dyDescent="0.3">
      <c r="A313" s="59" t="s">
        <v>196</v>
      </c>
      <c r="B313" s="60" t="s">
        <v>529</v>
      </c>
      <c r="C313" s="61" t="s">
        <v>521</v>
      </c>
      <c r="D313" s="62"/>
      <c r="E313" s="63">
        <v>4005000</v>
      </c>
      <c r="F313" s="63">
        <f t="shared" si="14"/>
        <v>320400</v>
      </c>
      <c r="G313" s="64">
        <f t="shared" si="15"/>
        <v>4325400</v>
      </c>
      <c r="H313" s="65">
        <v>4325400</v>
      </c>
      <c r="I313" s="65"/>
      <c r="J313" s="66">
        <f t="shared" si="16"/>
        <v>0</v>
      </c>
      <c r="K313" s="67">
        <v>45772</v>
      </c>
      <c r="L313" s="94"/>
    </row>
    <row r="314" spans="1:12" s="14" customFormat="1" ht="15" customHeight="1" x14ac:dyDescent="0.3">
      <c r="A314" s="59" t="s">
        <v>203</v>
      </c>
      <c r="B314" s="60" t="s">
        <v>529</v>
      </c>
      <c r="C314" s="61" t="s">
        <v>522</v>
      </c>
      <c r="D314" s="62"/>
      <c r="E314" s="63">
        <v>5090000</v>
      </c>
      <c r="F314" s="63">
        <f t="shared" si="14"/>
        <v>407200</v>
      </c>
      <c r="G314" s="64">
        <f t="shared" si="15"/>
        <v>5497200</v>
      </c>
      <c r="H314" s="65">
        <v>5497200</v>
      </c>
      <c r="I314" s="65"/>
      <c r="J314" s="66">
        <f t="shared" si="16"/>
        <v>0</v>
      </c>
      <c r="K314" s="67">
        <v>45772</v>
      </c>
      <c r="L314" s="94"/>
    </row>
    <row r="315" spans="1:12" s="14" customFormat="1" ht="15" customHeight="1" x14ac:dyDescent="0.3">
      <c r="A315" s="59" t="s">
        <v>253</v>
      </c>
      <c r="B315" s="60">
        <v>45638</v>
      </c>
      <c r="C315" s="61" t="s">
        <v>523</v>
      </c>
      <c r="D315" s="62" t="s">
        <v>636</v>
      </c>
      <c r="E315" s="63">
        <v>4961500</v>
      </c>
      <c r="F315" s="63">
        <f t="shared" si="14"/>
        <v>396920</v>
      </c>
      <c r="G315" s="64">
        <f t="shared" si="15"/>
        <v>5358420</v>
      </c>
      <c r="H315" s="65">
        <v>5358420</v>
      </c>
      <c r="I315" s="65"/>
      <c r="J315" s="66">
        <f t="shared" si="16"/>
        <v>0</v>
      </c>
      <c r="K315" s="67">
        <v>45772</v>
      </c>
      <c r="L315" s="94"/>
    </row>
    <row r="316" spans="1:12" s="14" customFormat="1" ht="15" customHeight="1" x14ac:dyDescent="0.3">
      <c r="A316" s="59" t="s">
        <v>253</v>
      </c>
      <c r="B316" s="60">
        <v>45638</v>
      </c>
      <c r="C316" s="61" t="s">
        <v>524</v>
      </c>
      <c r="D316" s="62" t="s">
        <v>563</v>
      </c>
      <c r="E316" s="63">
        <v>3398750</v>
      </c>
      <c r="F316" s="63">
        <f t="shared" ref="F316:F378" si="17">+E316*0.08</f>
        <v>271900</v>
      </c>
      <c r="G316" s="64">
        <f t="shared" si="15"/>
        <v>3670650</v>
      </c>
      <c r="H316" s="65">
        <v>3670650</v>
      </c>
      <c r="I316" s="65"/>
      <c r="J316" s="66">
        <f t="shared" si="16"/>
        <v>0</v>
      </c>
      <c r="K316" s="67">
        <v>45772</v>
      </c>
      <c r="L316" s="94"/>
    </row>
    <row r="317" spans="1:12" s="14" customFormat="1" ht="15" customHeight="1" x14ac:dyDescent="0.3">
      <c r="A317" s="59" t="s">
        <v>203</v>
      </c>
      <c r="B317" s="60" t="s">
        <v>530</v>
      </c>
      <c r="C317" s="61" t="s">
        <v>525</v>
      </c>
      <c r="D317" s="62"/>
      <c r="E317" s="63">
        <v>5388000</v>
      </c>
      <c r="F317" s="63">
        <f t="shared" si="17"/>
        <v>431040</v>
      </c>
      <c r="G317" s="64">
        <f t="shared" si="15"/>
        <v>5819040</v>
      </c>
      <c r="H317" s="65">
        <v>5819040</v>
      </c>
      <c r="I317" s="65"/>
      <c r="J317" s="66">
        <f t="shared" si="16"/>
        <v>0</v>
      </c>
      <c r="K317" s="67">
        <v>45772</v>
      </c>
      <c r="L317" s="94"/>
    </row>
    <row r="318" spans="1:12" s="14" customFormat="1" ht="15" customHeight="1" x14ac:dyDescent="0.3">
      <c r="A318" s="59" t="s">
        <v>196</v>
      </c>
      <c r="B318" s="60">
        <v>45638</v>
      </c>
      <c r="C318" s="61" t="s">
        <v>526</v>
      </c>
      <c r="D318" s="62" t="s">
        <v>564</v>
      </c>
      <c r="E318" s="63">
        <v>5233500</v>
      </c>
      <c r="F318" s="63">
        <f t="shared" si="17"/>
        <v>418680</v>
      </c>
      <c r="G318" s="64">
        <f t="shared" si="15"/>
        <v>5652180</v>
      </c>
      <c r="H318" s="65">
        <v>5652180</v>
      </c>
      <c r="I318" s="65"/>
      <c r="J318" s="66">
        <f t="shared" si="16"/>
        <v>0</v>
      </c>
      <c r="K318" s="67">
        <v>45772</v>
      </c>
      <c r="L318" s="94"/>
    </row>
    <row r="319" spans="1:12" s="14" customFormat="1" ht="15" customHeight="1" x14ac:dyDescent="0.3">
      <c r="A319" s="59" t="s">
        <v>253</v>
      </c>
      <c r="B319" s="60">
        <v>45645</v>
      </c>
      <c r="C319" s="61" t="s">
        <v>531</v>
      </c>
      <c r="D319" s="62" t="s">
        <v>565</v>
      </c>
      <c r="E319" s="63">
        <v>16400000</v>
      </c>
      <c r="F319" s="63">
        <f t="shared" si="17"/>
        <v>1312000</v>
      </c>
      <c r="G319" s="64">
        <f t="shared" si="15"/>
        <v>17712000</v>
      </c>
      <c r="H319" s="65">
        <v>17712000</v>
      </c>
      <c r="I319" s="65"/>
      <c r="J319" s="66">
        <f t="shared" si="16"/>
        <v>0</v>
      </c>
      <c r="K319" s="67">
        <v>45772</v>
      </c>
      <c r="L319" s="94"/>
    </row>
    <row r="320" spans="1:12" s="14" customFormat="1" ht="15" customHeight="1" x14ac:dyDescent="0.3">
      <c r="A320" s="59" t="s">
        <v>253</v>
      </c>
      <c r="B320" s="60" t="s">
        <v>555</v>
      </c>
      <c r="C320" s="61" t="s">
        <v>532</v>
      </c>
      <c r="D320" s="62"/>
      <c r="E320" s="63">
        <v>7192000</v>
      </c>
      <c r="F320" s="63">
        <f t="shared" si="17"/>
        <v>575360</v>
      </c>
      <c r="G320" s="64">
        <f t="shared" si="15"/>
        <v>7767360</v>
      </c>
      <c r="H320" s="65">
        <v>7767360</v>
      </c>
      <c r="I320" s="65"/>
      <c r="J320" s="66">
        <f t="shared" si="16"/>
        <v>0</v>
      </c>
      <c r="K320" s="67">
        <v>45772</v>
      </c>
      <c r="L320" s="94"/>
    </row>
    <row r="321" spans="1:16375" s="14" customFormat="1" ht="15" customHeight="1" x14ac:dyDescent="0.3">
      <c r="A321" s="59" t="s">
        <v>203</v>
      </c>
      <c r="B321" s="60" t="s">
        <v>555</v>
      </c>
      <c r="C321" s="61" t="s">
        <v>533</v>
      </c>
      <c r="D321" s="62"/>
      <c r="E321" s="63">
        <v>10798750</v>
      </c>
      <c r="F321" s="63">
        <f t="shared" si="17"/>
        <v>863900</v>
      </c>
      <c r="G321" s="64">
        <f t="shared" si="15"/>
        <v>11662650</v>
      </c>
      <c r="H321" s="65">
        <v>11662650</v>
      </c>
      <c r="I321" s="65"/>
      <c r="J321" s="66">
        <f t="shared" si="16"/>
        <v>0</v>
      </c>
      <c r="K321" s="67">
        <v>45772</v>
      </c>
      <c r="L321" s="94"/>
    </row>
    <row r="322" spans="1:16375" s="14" customFormat="1" ht="15" customHeight="1" x14ac:dyDescent="0.3">
      <c r="A322" s="59" t="s">
        <v>196</v>
      </c>
      <c r="B322" s="60" t="s">
        <v>555</v>
      </c>
      <c r="C322" s="61" t="s">
        <v>534</v>
      </c>
      <c r="D322" s="62"/>
      <c r="E322" s="63">
        <v>7809500</v>
      </c>
      <c r="F322" s="63">
        <f t="shared" si="17"/>
        <v>624760</v>
      </c>
      <c r="G322" s="64">
        <f t="shared" si="15"/>
        <v>8434260</v>
      </c>
      <c r="H322" s="65">
        <v>8434260</v>
      </c>
      <c r="I322" s="65"/>
      <c r="J322" s="66">
        <f t="shared" si="16"/>
        <v>0</v>
      </c>
      <c r="K322" s="67">
        <v>45772</v>
      </c>
      <c r="L322" s="94"/>
    </row>
    <row r="323" spans="1:16375" ht="15" customHeight="1" x14ac:dyDescent="0.3">
      <c r="A323" s="59" t="s">
        <v>203</v>
      </c>
      <c r="B323" s="60" t="s">
        <v>556</v>
      </c>
      <c r="C323" s="61" t="s">
        <v>535</v>
      </c>
      <c r="D323" s="62"/>
      <c r="E323" s="63">
        <v>36448000</v>
      </c>
      <c r="F323" s="63">
        <f t="shared" si="17"/>
        <v>2915840</v>
      </c>
      <c r="G323" s="64">
        <f t="shared" si="15"/>
        <v>39363840</v>
      </c>
      <c r="H323" s="65">
        <v>39363840</v>
      </c>
      <c r="I323" s="65"/>
      <c r="J323" s="66">
        <f t="shared" si="16"/>
        <v>0</v>
      </c>
      <c r="K323" s="67">
        <v>45772</v>
      </c>
      <c r="L323" s="9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4"/>
      <c r="EJ323" s="14"/>
      <c r="EK323" s="14"/>
      <c r="EL323" s="14"/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4"/>
      <c r="FJ323" s="14"/>
      <c r="FK323" s="14"/>
      <c r="FL323" s="14"/>
      <c r="FM323" s="14"/>
      <c r="FN323" s="14"/>
      <c r="FO323" s="14"/>
      <c r="FP323" s="14"/>
      <c r="FQ323" s="14"/>
      <c r="FR323" s="14"/>
      <c r="FS323" s="14"/>
      <c r="FT323" s="14"/>
      <c r="FU323" s="14"/>
      <c r="FV323" s="14"/>
      <c r="FW323" s="14"/>
      <c r="FX323" s="14"/>
      <c r="FY323" s="14"/>
      <c r="FZ323" s="14"/>
      <c r="GA323" s="14"/>
      <c r="GB323" s="14"/>
      <c r="GC323" s="14"/>
      <c r="GD323" s="14"/>
      <c r="GE323" s="14"/>
      <c r="GF323" s="14"/>
      <c r="GG323" s="14"/>
      <c r="GH323" s="14"/>
      <c r="GI323" s="14"/>
      <c r="GJ323" s="14"/>
      <c r="GK323" s="14"/>
      <c r="GL323" s="14"/>
      <c r="GM323" s="14"/>
      <c r="GN323" s="14"/>
      <c r="GO323" s="14"/>
      <c r="GP323" s="14"/>
      <c r="GQ323" s="14"/>
      <c r="GR323" s="14"/>
      <c r="GS323" s="14"/>
      <c r="GT323" s="14"/>
      <c r="GU323" s="14"/>
      <c r="GV323" s="14"/>
      <c r="GW323" s="14"/>
      <c r="GX323" s="14"/>
      <c r="GY323" s="14"/>
      <c r="GZ323" s="14"/>
      <c r="HA323" s="14"/>
      <c r="HB323" s="14"/>
      <c r="HC323" s="14"/>
      <c r="HD323" s="14"/>
      <c r="HE323" s="14"/>
      <c r="HF323" s="14"/>
      <c r="HG323" s="14"/>
      <c r="HH323" s="14"/>
      <c r="HI323" s="14"/>
      <c r="HJ323" s="14"/>
      <c r="HK323" s="14"/>
      <c r="HL323" s="14"/>
      <c r="HM323" s="14"/>
      <c r="HN323" s="14"/>
      <c r="HO323" s="14"/>
      <c r="HP323" s="14"/>
      <c r="HQ323" s="14"/>
      <c r="HR323" s="14"/>
      <c r="HS323" s="14"/>
      <c r="HT323" s="14"/>
      <c r="HU323" s="14"/>
      <c r="HV323" s="14"/>
      <c r="HW323" s="14"/>
      <c r="HX323" s="14"/>
      <c r="HY323" s="14"/>
      <c r="HZ323" s="14"/>
      <c r="IA323" s="14"/>
      <c r="IB323" s="14"/>
      <c r="IC323" s="14"/>
      <c r="ID323" s="14"/>
      <c r="IE323" s="14"/>
      <c r="IF323" s="14"/>
      <c r="IG323" s="14"/>
      <c r="IH323" s="14"/>
      <c r="II323" s="14"/>
      <c r="IJ323" s="14"/>
      <c r="IK323" s="14"/>
      <c r="IL323" s="14"/>
      <c r="IM323" s="14"/>
      <c r="IN323" s="14"/>
      <c r="IO323" s="14"/>
      <c r="IP323" s="14"/>
      <c r="IQ323" s="14"/>
      <c r="IR323" s="14"/>
      <c r="IS323" s="14"/>
      <c r="IT323" s="14"/>
      <c r="IU323" s="14"/>
      <c r="IV323" s="14"/>
      <c r="IW323" s="14"/>
      <c r="IX323" s="14"/>
      <c r="IY323" s="14"/>
      <c r="IZ323" s="14"/>
      <c r="JA323" s="14"/>
      <c r="JB323" s="14"/>
      <c r="JC323" s="14"/>
      <c r="JD323" s="14"/>
      <c r="JE323" s="14"/>
      <c r="JF323" s="14"/>
      <c r="JG323" s="14"/>
      <c r="JH323" s="14"/>
      <c r="JI323" s="14"/>
      <c r="JJ323" s="14"/>
      <c r="JK323" s="14"/>
      <c r="JL323" s="14"/>
      <c r="JM323" s="14"/>
      <c r="JN323" s="14"/>
      <c r="JO323" s="14"/>
      <c r="JP323" s="14"/>
      <c r="JQ323" s="14"/>
      <c r="JR323" s="14"/>
      <c r="JS323" s="14"/>
      <c r="JT323" s="14"/>
      <c r="JU323" s="14"/>
      <c r="JV323" s="14"/>
      <c r="JW323" s="14"/>
      <c r="JX323" s="14"/>
      <c r="JY323" s="14"/>
      <c r="JZ323" s="14"/>
      <c r="KA323" s="14"/>
      <c r="KB323" s="14"/>
      <c r="KC323" s="14"/>
      <c r="KD323" s="14"/>
      <c r="KE323" s="14"/>
      <c r="KF323" s="14"/>
      <c r="KG323" s="14"/>
      <c r="KH323" s="14"/>
      <c r="KI323" s="14"/>
      <c r="KJ323" s="14"/>
      <c r="KK323" s="14"/>
      <c r="KL323" s="14"/>
      <c r="KM323" s="14"/>
      <c r="KN323" s="14"/>
      <c r="KO323" s="14"/>
      <c r="KP323" s="14"/>
      <c r="KQ323" s="14"/>
      <c r="KR323" s="14"/>
      <c r="KS323" s="14"/>
      <c r="KT323" s="14"/>
      <c r="KU323" s="14"/>
      <c r="KV323" s="14"/>
      <c r="KW323" s="14"/>
      <c r="KX323" s="14"/>
      <c r="KY323" s="14"/>
      <c r="KZ323" s="14"/>
      <c r="LA323" s="14"/>
      <c r="LB323" s="14"/>
      <c r="LC323" s="14"/>
      <c r="LD323" s="14"/>
      <c r="LE323" s="14"/>
      <c r="LF323" s="14"/>
      <c r="LG323" s="14"/>
      <c r="LH323" s="14"/>
      <c r="LI323" s="14"/>
      <c r="LJ323" s="14"/>
      <c r="LK323" s="14"/>
      <c r="LL323" s="14"/>
      <c r="LM323" s="14"/>
      <c r="LN323" s="14"/>
      <c r="LO323" s="14"/>
      <c r="LP323" s="14"/>
      <c r="LQ323" s="14"/>
      <c r="LR323" s="14"/>
      <c r="LS323" s="14"/>
      <c r="LT323" s="14"/>
      <c r="LU323" s="14"/>
      <c r="LV323" s="14"/>
      <c r="LW323" s="14"/>
      <c r="LX323" s="14"/>
      <c r="LY323" s="14"/>
      <c r="LZ323" s="14"/>
      <c r="MA323" s="14"/>
      <c r="MB323" s="14"/>
      <c r="MC323" s="14"/>
      <c r="MD323" s="14"/>
      <c r="ME323" s="14"/>
      <c r="MF323" s="14"/>
      <c r="MG323" s="14"/>
      <c r="MH323" s="14"/>
      <c r="MI323" s="14"/>
      <c r="MJ323" s="14"/>
      <c r="MK323" s="14"/>
      <c r="ML323" s="14"/>
      <c r="MM323" s="14"/>
      <c r="MN323" s="14"/>
      <c r="MO323" s="14"/>
      <c r="MP323" s="14"/>
      <c r="MQ323" s="14"/>
      <c r="MR323" s="14"/>
      <c r="MS323" s="14"/>
      <c r="MT323" s="14"/>
      <c r="MU323" s="14"/>
      <c r="MV323" s="14"/>
      <c r="MW323" s="14"/>
      <c r="MX323" s="14"/>
      <c r="MY323" s="14"/>
      <c r="MZ323" s="14"/>
      <c r="NA323" s="14"/>
      <c r="NB323" s="14"/>
      <c r="NC323" s="14"/>
      <c r="ND323" s="14"/>
      <c r="NE323" s="14"/>
      <c r="NF323" s="14"/>
      <c r="NG323" s="14"/>
      <c r="NH323" s="14"/>
      <c r="NI323" s="14"/>
      <c r="NJ323" s="14"/>
      <c r="NK323" s="14"/>
      <c r="NL323" s="14"/>
      <c r="NM323" s="14"/>
      <c r="NN323" s="14"/>
      <c r="NO323" s="14"/>
      <c r="NP323" s="14"/>
      <c r="NQ323" s="14"/>
      <c r="NR323" s="14"/>
      <c r="NS323" s="14"/>
      <c r="NT323" s="14"/>
      <c r="NU323" s="14"/>
      <c r="NV323" s="14"/>
      <c r="NW323" s="14"/>
      <c r="NX323" s="14"/>
      <c r="NY323" s="14"/>
      <c r="NZ323" s="14"/>
      <c r="OA323" s="14"/>
      <c r="OB323" s="14"/>
      <c r="OC323" s="14"/>
      <c r="OD323" s="14"/>
      <c r="OE323" s="14"/>
      <c r="OF323" s="14"/>
      <c r="OG323" s="14"/>
      <c r="OH323" s="14"/>
      <c r="OI323" s="14"/>
      <c r="OJ323" s="14"/>
      <c r="OK323" s="14"/>
      <c r="OL323" s="14"/>
      <c r="OM323" s="14"/>
      <c r="ON323" s="14"/>
      <c r="OO323" s="14"/>
      <c r="OP323" s="14"/>
      <c r="OQ323" s="14"/>
      <c r="OR323" s="14"/>
      <c r="OS323" s="14"/>
      <c r="OT323" s="14"/>
      <c r="OU323" s="14"/>
      <c r="OV323" s="14"/>
      <c r="OW323" s="14"/>
      <c r="OX323" s="14"/>
      <c r="OY323" s="14"/>
      <c r="OZ323" s="14"/>
      <c r="PA323" s="14"/>
      <c r="PB323" s="14"/>
      <c r="PC323" s="14"/>
      <c r="PD323" s="14"/>
      <c r="PE323" s="14"/>
      <c r="PF323" s="14"/>
      <c r="PG323" s="14"/>
      <c r="PH323" s="14"/>
      <c r="PI323" s="14"/>
      <c r="PJ323" s="14"/>
      <c r="PK323" s="14"/>
      <c r="PL323" s="14"/>
      <c r="PM323" s="14"/>
      <c r="PN323" s="14"/>
      <c r="PO323" s="14"/>
      <c r="PP323" s="14"/>
      <c r="PQ323" s="14"/>
      <c r="PR323" s="14"/>
      <c r="PS323" s="14"/>
      <c r="PT323" s="14"/>
      <c r="PU323" s="14"/>
      <c r="PV323" s="14"/>
      <c r="PW323" s="14"/>
      <c r="PX323" s="14"/>
      <c r="PY323" s="14"/>
      <c r="PZ323" s="14"/>
      <c r="QA323" s="14"/>
      <c r="QB323" s="14"/>
      <c r="QC323" s="14"/>
      <c r="QD323" s="14"/>
      <c r="QE323" s="14"/>
      <c r="QF323" s="14"/>
      <c r="QG323" s="14"/>
      <c r="QH323" s="14"/>
      <c r="QI323" s="14"/>
      <c r="QJ323" s="14"/>
      <c r="QK323" s="14"/>
      <c r="QL323" s="14"/>
      <c r="QM323" s="14"/>
      <c r="QN323" s="14"/>
      <c r="QO323" s="14"/>
      <c r="QP323" s="14"/>
      <c r="QQ323" s="14"/>
      <c r="QR323" s="14"/>
      <c r="QS323" s="14"/>
      <c r="QT323" s="14"/>
      <c r="QU323" s="14"/>
      <c r="QV323" s="14"/>
      <c r="QW323" s="14"/>
      <c r="QX323" s="14"/>
      <c r="QY323" s="14"/>
      <c r="QZ323" s="14"/>
      <c r="RA323" s="14"/>
      <c r="RB323" s="14"/>
      <c r="RC323" s="14"/>
      <c r="RD323" s="14"/>
      <c r="RE323" s="14"/>
      <c r="RF323" s="14"/>
      <c r="RG323" s="14"/>
      <c r="RH323" s="14"/>
      <c r="RI323" s="14"/>
      <c r="RJ323" s="14"/>
      <c r="RK323" s="14"/>
      <c r="RL323" s="14"/>
      <c r="RM323" s="14"/>
      <c r="RN323" s="14"/>
      <c r="RO323" s="14"/>
      <c r="RP323" s="14"/>
      <c r="RQ323" s="14"/>
      <c r="RR323" s="14"/>
      <c r="RS323" s="14"/>
      <c r="RT323" s="14"/>
      <c r="RU323" s="14"/>
      <c r="RV323" s="14"/>
      <c r="RW323" s="14"/>
      <c r="RX323" s="14"/>
      <c r="RY323" s="14"/>
      <c r="RZ323" s="14"/>
      <c r="SA323" s="14"/>
      <c r="SB323" s="14"/>
      <c r="SC323" s="14"/>
      <c r="SD323" s="14"/>
      <c r="SE323" s="14"/>
      <c r="SF323" s="14"/>
      <c r="SG323" s="14"/>
      <c r="SH323" s="14"/>
      <c r="SI323" s="14"/>
      <c r="SJ323" s="14"/>
      <c r="SK323" s="14"/>
      <c r="SL323" s="14"/>
      <c r="SM323" s="14"/>
      <c r="SN323" s="14"/>
      <c r="SO323" s="14"/>
      <c r="SP323" s="14"/>
      <c r="SQ323" s="14"/>
      <c r="SR323" s="14"/>
      <c r="SS323" s="14"/>
      <c r="ST323" s="14"/>
      <c r="SU323" s="14"/>
      <c r="SV323" s="14"/>
      <c r="SW323" s="14"/>
      <c r="SX323" s="14"/>
      <c r="SY323" s="14"/>
      <c r="SZ323" s="14"/>
      <c r="TA323" s="14"/>
      <c r="TB323" s="14"/>
      <c r="TC323" s="14"/>
      <c r="TD323" s="14"/>
      <c r="TE323" s="14"/>
      <c r="TF323" s="14"/>
      <c r="TG323" s="14"/>
      <c r="TH323" s="14"/>
      <c r="TI323" s="14"/>
      <c r="TJ323" s="14"/>
      <c r="TK323" s="14"/>
      <c r="TL323" s="14"/>
      <c r="TM323" s="14"/>
      <c r="TN323" s="14"/>
      <c r="TO323" s="14"/>
      <c r="TP323" s="14"/>
      <c r="TQ323" s="14"/>
      <c r="TR323" s="14"/>
      <c r="TS323" s="14"/>
      <c r="TT323" s="14"/>
      <c r="TU323" s="14"/>
      <c r="TV323" s="14"/>
      <c r="TW323" s="14"/>
      <c r="TX323" s="14"/>
      <c r="TY323" s="14"/>
      <c r="TZ323" s="14"/>
      <c r="UA323" s="14"/>
      <c r="UB323" s="14"/>
      <c r="UC323" s="14"/>
      <c r="UD323" s="14"/>
      <c r="UE323" s="14"/>
      <c r="UF323" s="14"/>
      <c r="UG323" s="14"/>
      <c r="UH323" s="14"/>
      <c r="UI323" s="14"/>
      <c r="UJ323" s="14"/>
      <c r="UK323" s="14"/>
      <c r="UL323" s="14"/>
      <c r="UM323" s="14"/>
      <c r="UN323" s="14"/>
      <c r="UO323" s="14"/>
      <c r="UP323" s="14"/>
      <c r="UQ323" s="14"/>
      <c r="UR323" s="14"/>
      <c r="US323" s="14"/>
      <c r="UT323" s="14"/>
      <c r="UU323" s="14"/>
      <c r="UV323" s="14"/>
      <c r="UW323" s="14"/>
      <c r="UX323" s="14"/>
      <c r="UY323" s="14"/>
      <c r="UZ323" s="14"/>
      <c r="VA323" s="14"/>
      <c r="VB323" s="14"/>
      <c r="VC323" s="14"/>
      <c r="VD323" s="14"/>
      <c r="VE323" s="14"/>
      <c r="VF323" s="14"/>
      <c r="VG323" s="14"/>
      <c r="VH323" s="14"/>
      <c r="VI323" s="14"/>
      <c r="VJ323" s="14"/>
      <c r="VK323" s="14"/>
      <c r="VL323" s="14"/>
      <c r="VM323" s="14"/>
      <c r="VN323" s="14"/>
      <c r="VO323" s="14"/>
      <c r="VP323" s="14"/>
      <c r="VQ323" s="14"/>
      <c r="VR323" s="14"/>
      <c r="VS323" s="14"/>
      <c r="VT323" s="14"/>
      <c r="VU323" s="14"/>
      <c r="VV323" s="14"/>
      <c r="VW323" s="14"/>
      <c r="VX323" s="14"/>
      <c r="VY323" s="14"/>
      <c r="VZ323" s="14"/>
      <c r="WA323" s="14"/>
      <c r="WB323" s="14"/>
      <c r="WC323" s="14"/>
      <c r="WD323" s="14"/>
      <c r="WE323" s="14"/>
      <c r="WF323" s="14"/>
      <c r="WG323" s="14"/>
      <c r="WH323" s="14"/>
      <c r="WI323" s="14"/>
      <c r="WJ323" s="14"/>
      <c r="WK323" s="14"/>
      <c r="WL323" s="14"/>
      <c r="WM323" s="14"/>
      <c r="WN323" s="14"/>
      <c r="WO323" s="14"/>
      <c r="WP323" s="14"/>
      <c r="WQ323" s="14"/>
      <c r="WR323" s="14"/>
      <c r="WS323" s="14"/>
      <c r="WT323" s="14"/>
      <c r="WU323" s="14"/>
      <c r="WV323" s="14"/>
      <c r="WW323" s="14"/>
      <c r="WX323" s="14"/>
      <c r="WY323" s="14"/>
      <c r="WZ323" s="14"/>
      <c r="XA323" s="14"/>
      <c r="XB323" s="14"/>
      <c r="XC323" s="14"/>
      <c r="XD323" s="14"/>
      <c r="XE323" s="14"/>
      <c r="XF323" s="14"/>
      <c r="XG323" s="14"/>
      <c r="XH323" s="14"/>
      <c r="XI323" s="14"/>
      <c r="XJ323" s="14"/>
      <c r="XK323" s="14"/>
      <c r="XL323" s="14"/>
      <c r="XM323" s="14"/>
      <c r="XN323" s="14"/>
      <c r="XO323" s="14"/>
      <c r="XP323" s="14"/>
      <c r="XQ323" s="14"/>
      <c r="XR323" s="14"/>
      <c r="XS323" s="14"/>
      <c r="XT323" s="14"/>
      <c r="XU323" s="14"/>
      <c r="XV323" s="14"/>
      <c r="XW323" s="14"/>
      <c r="XX323" s="14"/>
      <c r="XY323" s="14"/>
      <c r="XZ323" s="14"/>
      <c r="YA323" s="14"/>
      <c r="YB323" s="14"/>
      <c r="YC323" s="14"/>
      <c r="YD323" s="14"/>
      <c r="YE323" s="14"/>
      <c r="YF323" s="14"/>
      <c r="YG323" s="14"/>
      <c r="YH323" s="14"/>
      <c r="YI323" s="14"/>
      <c r="YJ323" s="14"/>
      <c r="YK323" s="14"/>
      <c r="YL323" s="14"/>
      <c r="YM323" s="14"/>
      <c r="YN323" s="14"/>
      <c r="YO323" s="14"/>
      <c r="YP323" s="14"/>
      <c r="YQ323" s="14"/>
      <c r="YR323" s="14"/>
      <c r="YS323" s="14"/>
      <c r="YT323" s="14"/>
      <c r="YU323" s="14"/>
      <c r="YV323" s="14"/>
      <c r="YW323" s="14"/>
      <c r="YX323" s="14"/>
      <c r="YY323" s="14"/>
      <c r="YZ323" s="14"/>
      <c r="ZA323" s="14"/>
      <c r="ZB323" s="14"/>
      <c r="ZC323" s="14"/>
      <c r="ZD323" s="14"/>
      <c r="ZE323" s="14"/>
      <c r="ZF323" s="14"/>
      <c r="ZG323" s="14"/>
      <c r="ZH323" s="14"/>
      <c r="ZI323" s="14"/>
      <c r="ZJ323" s="14"/>
      <c r="ZK323" s="14"/>
      <c r="ZL323" s="14"/>
      <c r="ZM323" s="14"/>
      <c r="ZN323" s="14"/>
      <c r="ZO323" s="14"/>
      <c r="ZP323" s="14"/>
      <c r="ZQ323" s="14"/>
      <c r="ZR323" s="14"/>
      <c r="ZS323" s="14"/>
      <c r="ZT323" s="14"/>
      <c r="ZU323" s="14"/>
      <c r="ZV323" s="14"/>
      <c r="ZW323" s="14"/>
      <c r="ZX323" s="14"/>
      <c r="ZY323" s="14"/>
      <c r="ZZ323" s="14"/>
      <c r="AAA323" s="14"/>
      <c r="AAB323" s="14"/>
      <c r="AAC323" s="14"/>
      <c r="AAD323" s="14"/>
      <c r="AAE323" s="14"/>
      <c r="AAF323" s="14"/>
      <c r="AAG323" s="14"/>
      <c r="AAH323" s="14"/>
      <c r="AAI323" s="14"/>
      <c r="AAJ323" s="14"/>
      <c r="AAK323" s="14"/>
      <c r="AAL323" s="14"/>
      <c r="AAM323" s="14"/>
      <c r="AAN323" s="14"/>
      <c r="AAO323" s="14"/>
      <c r="AAP323" s="14"/>
      <c r="AAQ323" s="14"/>
      <c r="AAR323" s="14"/>
      <c r="AAS323" s="14"/>
      <c r="AAT323" s="14"/>
      <c r="AAU323" s="14"/>
      <c r="AAV323" s="14"/>
      <c r="AAW323" s="14"/>
      <c r="AAX323" s="14"/>
      <c r="AAY323" s="14"/>
      <c r="AAZ323" s="14"/>
      <c r="ABA323" s="14"/>
      <c r="ABB323" s="14"/>
      <c r="ABC323" s="14"/>
      <c r="ABD323" s="14"/>
      <c r="ABE323" s="14"/>
      <c r="ABF323" s="14"/>
      <c r="ABG323" s="14"/>
      <c r="ABH323" s="14"/>
      <c r="ABI323" s="14"/>
      <c r="ABJ323" s="14"/>
      <c r="ABK323" s="14"/>
      <c r="ABL323" s="14"/>
      <c r="ABM323" s="14"/>
      <c r="ABN323" s="14"/>
      <c r="ABO323" s="14"/>
      <c r="ABP323" s="14"/>
      <c r="ABQ323" s="14"/>
      <c r="ABR323" s="14"/>
      <c r="ABS323" s="14"/>
      <c r="ABT323" s="14"/>
      <c r="ABU323" s="14"/>
      <c r="ABV323" s="14"/>
      <c r="ABW323" s="14"/>
      <c r="ABX323" s="14"/>
      <c r="ABY323" s="14"/>
      <c r="ABZ323" s="14"/>
      <c r="ACA323" s="14"/>
      <c r="ACB323" s="14"/>
      <c r="ACC323" s="14"/>
      <c r="ACD323" s="14"/>
      <c r="ACE323" s="14"/>
      <c r="ACF323" s="14"/>
      <c r="ACG323" s="14"/>
      <c r="ACH323" s="14"/>
      <c r="ACI323" s="14"/>
      <c r="ACJ323" s="14"/>
      <c r="ACK323" s="14"/>
      <c r="ACL323" s="14"/>
      <c r="ACM323" s="14"/>
      <c r="ACN323" s="14"/>
      <c r="ACO323" s="14"/>
      <c r="ACP323" s="14"/>
      <c r="ACQ323" s="14"/>
      <c r="ACR323" s="14"/>
      <c r="ACS323" s="14"/>
      <c r="ACT323" s="14"/>
      <c r="ACU323" s="14"/>
      <c r="ACV323" s="14"/>
      <c r="ACW323" s="14"/>
      <c r="ACX323" s="14"/>
      <c r="ACY323" s="14"/>
      <c r="ACZ323" s="14"/>
      <c r="ADA323" s="14"/>
      <c r="ADB323" s="14"/>
      <c r="ADC323" s="14"/>
      <c r="ADD323" s="14"/>
      <c r="ADE323" s="14"/>
      <c r="ADF323" s="14"/>
      <c r="ADG323" s="14"/>
      <c r="ADH323" s="14"/>
      <c r="ADI323" s="14"/>
      <c r="ADJ323" s="14"/>
      <c r="ADK323" s="14"/>
      <c r="ADL323" s="14"/>
      <c r="ADM323" s="14"/>
      <c r="ADN323" s="14"/>
      <c r="ADO323" s="14"/>
      <c r="ADP323" s="14"/>
      <c r="ADQ323" s="14"/>
      <c r="ADR323" s="14"/>
      <c r="ADS323" s="14"/>
      <c r="ADT323" s="14"/>
      <c r="ADU323" s="14"/>
      <c r="ADV323" s="14"/>
      <c r="ADW323" s="14"/>
      <c r="ADX323" s="14"/>
      <c r="ADY323" s="14"/>
      <c r="ADZ323" s="14"/>
      <c r="AEA323" s="14"/>
      <c r="AEB323" s="14"/>
      <c r="AEC323" s="14"/>
      <c r="AED323" s="14"/>
      <c r="AEE323" s="14"/>
      <c r="AEF323" s="14"/>
      <c r="AEG323" s="14"/>
      <c r="AEH323" s="14"/>
      <c r="AEI323" s="14"/>
      <c r="AEJ323" s="14"/>
      <c r="AEK323" s="14"/>
      <c r="AEL323" s="14"/>
      <c r="AEM323" s="14"/>
      <c r="AEN323" s="14"/>
      <c r="AEO323" s="14"/>
      <c r="AEP323" s="14"/>
      <c r="AEQ323" s="14"/>
      <c r="AER323" s="14"/>
      <c r="AES323" s="14"/>
      <c r="AET323" s="14"/>
      <c r="AEU323" s="14"/>
      <c r="AEV323" s="14"/>
      <c r="AEW323" s="14"/>
      <c r="AEX323" s="14"/>
      <c r="AEY323" s="14"/>
      <c r="AEZ323" s="14"/>
      <c r="AFA323" s="14"/>
      <c r="AFB323" s="14"/>
      <c r="AFC323" s="14"/>
      <c r="AFD323" s="14"/>
      <c r="AFE323" s="14"/>
      <c r="AFF323" s="14"/>
      <c r="AFG323" s="14"/>
      <c r="AFH323" s="14"/>
      <c r="AFI323" s="14"/>
      <c r="AFJ323" s="14"/>
      <c r="AFK323" s="14"/>
      <c r="AFL323" s="14"/>
      <c r="AFM323" s="14"/>
      <c r="AFN323" s="14"/>
      <c r="AFO323" s="14"/>
      <c r="AFP323" s="14"/>
      <c r="AFQ323" s="14"/>
      <c r="AFR323" s="14"/>
      <c r="AFS323" s="14"/>
      <c r="AFT323" s="14"/>
      <c r="AFU323" s="14"/>
      <c r="AFV323" s="14"/>
      <c r="AFW323" s="14"/>
      <c r="AFX323" s="14"/>
      <c r="AFY323" s="14"/>
      <c r="AFZ323" s="14"/>
      <c r="AGA323" s="14"/>
      <c r="AGB323" s="14"/>
      <c r="AGC323" s="14"/>
      <c r="AGD323" s="14"/>
      <c r="AGE323" s="14"/>
      <c r="AGF323" s="14"/>
      <c r="AGG323" s="14"/>
      <c r="AGH323" s="14"/>
      <c r="AGI323" s="14"/>
      <c r="AGJ323" s="14"/>
      <c r="AGK323" s="14"/>
      <c r="AGL323" s="14"/>
      <c r="AGM323" s="14"/>
      <c r="AGN323" s="14"/>
      <c r="AGO323" s="14"/>
      <c r="AGP323" s="14"/>
      <c r="AGQ323" s="14"/>
      <c r="AGR323" s="14"/>
      <c r="AGS323" s="14"/>
      <c r="AGT323" s="14"/>
      <c r="AGU323" s="14"/>
      <c r="AGV323" s="14"/>
      <c r="AGW323" s="14"/>
      <c r="AGX323" s="14"/>
      <c r="AGY323" s="14"/>
      <c r="AGZ323" s="14"/>
      <c r="AHA323" s="14"/>
      <c r="AHB323" s="14"/>
      <c r="AHC323" s="14"/>
      <c r="AHD323" s="14"/>
      <c r="AHE323" s="14"/>
      <c r="AHF323" s="14"/>
      <c r="AHG323" s="14"/>
      <c r="AHH323" s="14"/>
      <c r="AHI323" s="14"/>
      <c r="AHJ323" s="14"/>
      <c r="AHK323" s="14"/>
      <c r="AHL323" s="14"/>
      <c r="AHM323" s="14"/>
      <c r="AHN323" s="14"/>
      <c r="AHO323" s="14"/>
      <c r="AHP323" s="14"/>
      <c r="AHQ323" s="14"/>
      <c r="AHR323" s="14"/>
      <c r="AHS323" s="14"/>
      <c r="AHT323" s="14"/>
      <c r="AHU323" s="14"/>
      <c r="AHV323" s="14"/>
      <c r="AHW323" s="14"/>
      <c r="AHX323" s="14"/>
      <c r="AHY323" s="14"/>
      <c r="AHZ323" s="14"/>
      <c r="AIA323" s="14"/>
      <c r="AIB323" s="14"/>
      <c r="AIC323" s="14"/>
      <c r="AID323" s="14"/>
      <c r="AIE323" s="14"/>
      <c r="AIF323" s="14"/>
      <c r="AIG323" s="14"/>
      <c r="AIH323" s="14"/>
      <c r="AII323" s="14"/>
      <c r="AIJ323" s="14"/>
      <c r="AIK323" s="14"/>
      <c r="AIL323" s="14"/>
      <c r="AIM323" s="14"/>
      <c r="AIN323" s="14"/>
      <c r="AIO323" s="14"/>
      <c r="AIP323" s="14"/>
      <c r="AIQ323" s="14"/>
      <c r="AIR323" s="14"/>
      <c r="AIS323" s="14"/>
      <c r="AIT323" s="14"/>
      <c r="AIU323" s="14"/>
      <c r="AIV323" s="14"/>
      <c r="AIW323" s="14"/>
      <c r="AIX323" s="14"/>
      <c r="AIY323" s="14"/>
      <c r="AIZ323" s="14"/>
      <c r="AJA323" s="14"/>
      <c r="AJB323" s="14"/>
      <c r="AJC323" s="14"/>
      <c r="AJD323" s="14"/>
      <c r="AJE323" s="14"/>
      <c r="AJF323" s="14"/>
      <c r="AJG323" s="14"/>
      <c r="AJH323" s="14"/>
      <c r="AJI323" s="14"/>
      <c r="AJJ323" s="14"/>
      <c r="AJK323" s="14"/>
      <c r="AJL323" s="14"/>
      <c r="AJM323" s="14"/>
      <c r="AJN323" s="14"/>
      <c r="AJO323" s="14"/>
      <c r="AJP323" s="14"/>
      <c r="AJQ323" s="14"/>
      <c r="AJR323" s="14"/>
      <c r="AJS323" s="14"/>
      <c r="AJT323" s="14"/>
      <c r="AJU323" s="14"/>
      <c r="AJV323" s="14"/>
      <c r="AJW323" s="14"/>
      <c r="AJX323" s="14"/>
      <c r="AJY323" s="14"/>
      <c r="AJZ323" s="14"/>
      <c r="AKA323" s="14"/>
      <c r="AKB323" s="14"/>
      <c r="AKC323" s="14"/>
      <c r="AKD323" s="14"/>
      <c r="AKE323" s="14"/>
      <c r="AKF323" s="14"/>
      <c r="AKG323" s="14"/>
      <c r="AKH323" s="14"/>
      <c r="AKI323" s="14"/>
      <c r="AKJ323" s="14"/>
      <c r="AKK323" s="14"/>
      <c r="AKL323" s="14"/>
      <c r="AKM323" s="14"/>
      <c r="AKN323" s="14"/>
      <c r="AKO323" s="14"/>
      <c r="AKP323" s="14"/>
      <c r="AKQ323" s="14"/>
      <c r="AKR323" s="14"/>
      <c r="AKS323" s="14"/>
      <c r="AKT323" s="14"/>
      <c r="AKU323" s="14"/>
      <c r="AKV323" s="14"/>
      <c r="AKW323" s="14"/>
      <c r="AKX323" s="14"/>
      <c r="AKY323" s="14"/>
      <c r="AKZ323" s="14"/>
      <c r="ALA323" s="14"/>
      <c r="ALB323" s="14"/>
      <c r="ALC323" s="14"/>
      <c r="ALD323" s="14"/>
      <c r="ALE323" s="14"/>
      <c r="ALF323" s="14"/>
      <c r="ALG323" s="14"/>
      <c r="ALH323" s="14"/>
      <c r="ALI323" s="14"/>
      <c r="ALJ323" s="14"/>
      <c r="ALK323" s="14"/>
      <c r="ALL323" s="14"/>
      <c r="ALM323" s="14"/>
      <c r="ALN323" s="14"/>
      <c r="ALO323" s="14"/>
      <c r="ALP323" s="14"/>
      <c r="ALQ323" s="14"/>
      <c r="ALR323" s="14"/>
      <c r="ALS323" s="14"/>
      <c r="ALT323" s="14"/>
      <c r="ALU323" s="14"/>
      <c r="ALV323" s="14"/>
      <c r="ALW323" s="14"/>
      <c r="ALX323" s="14"/>
      <c r="ALY323" s="14"/>
      <c r="ALZ323" s="14"/>
      <c r="AMA323" s="14"/>
      <c r="AMB323" s="14"/>
      <c r="AMC323" s="14"/>
      <c r="AMD323" s="14"/>
      <c r="AME323" s="14"/>
      <c r="AMF323" s="14"/>
      <c r="AMG323" s="14"/>
      <c r="AMH323" s="14"/>
      <c r="AMI323" s="14"/>
      <c r="AMJ323" s="14"/>
      <c r="AMK323" s="14"/>
      <c r="AML323" s="14"/>
      <c r="AMM323" s="14"/>
      <c r="AMN323" s="14"/>
      <c r="AMO323" s="14"/>
      <c r="AMP323" s="14"/>
      <c r="AMQ323" s="14"/>
      <c r="AMR323" s="14"/>
      <c r="AMS323" s="14"/>
      <c r="AMT323" s="14"/>
      <c r="AMU323" s="14"/>
      <c r="AMV323" s="14"/>
      <c r="AMW323" s="14"/>
      <c r="AMX323" s="14"/>
      <c r="AMY323" s="14"/>
      <c r="AMZ323" s="14"/>
      <c r="ANA323" s="14"/>
      <c r="ANB323" s="14"/>
      <c r="ANC323" s="14"/>
      <c r="AND323" s="14"/>
      <c r="ANE323" s="14"/>
      <c r="ANF323" s="14"/>
      <c r="ANG323" s="14"/>
      <c r="ANH323" s="14"/>
      <c r="ANI323" s="14"/>
      <c r="ANJ323" s="14"/>
      <c r="ANK323" s="14"/>
      <c r="ANL323" s="14"/>
      <c r="ANM323" s="14"/>
      <c r="ANN323" s="14"/>
      <c r="ANO323" s="14"/>
      <c r="ANP323" s="14"/>
      <c r="ANQ323" s="14"/>
      <c r="ANR323" s="14"/>
      <c r="ANS323" s="14"/>
      <c r="ANT323" s="14"/>
      <c r="ANU323" s="14"/>
      <c r="ANV323" s="14"/>
      <c r="ANW323" s="14"/>
      <c r="ANX323" s="14"/>
      <c r="ANY323" s="14"/>
      <c r="ANZ323" s="14"/>
      <c r="AOA323" s="14"/>
      <c r="AOB323" s="14"/>
      <c r="AOC323" s="14"/>
      <c r="AOD323" s="14"/>
      <c r="AOE323" s="14"/>
      <c r="AOF323" s="14"/>
      <c r="AOG323" s="14"/>
      <c r="AOH323" s="14"/>
      <c r="AOI323" s="14"/>
      <c r="AOJ323" s="14"/>
      <c r="AOK323" s="14"/>
      <c r="AOL323" s="14"/>
      <c r="AOM323" s="14"/>
      <c r="AON323" s="14"/>
      <c r="AOO323" s="14"/>
      <c r="AOP323" s="14"/>
      <c r="AOQ323" s="14"/>
      <c r="AOR323" s="14"/>
      <c r="AOS323" s="14"/>
      <c r="AOT323" s="14"/>
      <c r="AOU323" s="14"/>
      <c r="AOV323" s="14"/>
      <c r="AOW323" s="14"/>
      <c r="AOX323" s="14"/>
      <c r="AOY323" s="14"/>
      <c r="AOZ323" s="14"/>
      <c r="APA323" s="14"/>
      <c r="APB323" s="14"/>
      <c r="APC323" s="14"/>
      <c r="APD323" s="14"/>
      <c r="APE323" s="14"/>
      <c r="APF323" s="14"/>
      <c r="APG323" s="14"/>
      <c r="APH323" s="14"/>
      <c r="API323" s="14"/>
      <c r="APJ323" s="14"/>
      <c r="APK323" s="14"/>
      <c r="APL323" s="14"/>
      <c r="APM323" s="14"/>
      <c r="APN323" s="14"/>
      <c r="APO323" s="14"/>
      <c r="APP323" s="14"/>
      <c r="APQ323" s="14"/>
      <c r="APR323" s="14"/>
      <c r="APS323" s="14"/>
      <c r="APT323" s="14"/>
      <c r="APU323" s="14"/>
      <c r="APV323" s="14"/>
      <c r="APW323" s="14"/>
      <c r="APX323" s="14"/>
      <c r="APY323" s="14"/>
      <c r="APZ323" s="14"/>
      <c r="AQA323" s="14"/>
      <c r="AQB323" s="14"/>
      <c r="AQC323" s="14"/>
      <c r="AQD323" s="14"/>
      <c r="AQE323" s="14"/>
      <c r="AQF323" s="14"/>
      <c r="AQG323" s="14"/>
      <c r="AQH323" s="14"/>
      <c r="AQI323" s="14"/>
      <c r="AQJ323" s="14"/>
      <c r="AQK323" s="14"/>
      <c r="AQL323" s="14"/>
      <c r="AQM323" s="14"/>
      <c r="AQN323" s="14"/>
      <c r="AQO323" s="14"/>
      <c r="AQP323" s="14"/>
      <c r="AQQ323" s="14"/>
      <c r="AQR323" s="14"/>
      <c r="AQS323" s="14"/>
      <c r="AQT323" s="14"/>
      <c r="AQU323" s="14"/>
      <c r="AQV323" s="14"/>
      <c r="AQW323" s="14"/>
      <c r="AQX323" s="14"/>
      <c r="AQY323" s="14"/>
      <c r="AQZ323" s="14"/>
      <c r="ARA323" s="14"/>
      <c r="ARB323" s="14"/>
      <c r="ARC323" s="14"/>
      <c r="ARD323" s="14"/>
      <c r="ARE323" s="14"/>
      <c r="ARF323" s="14"/>
      <c r="ARG323" s="14"/>
      <c r="ARH323" s="14"/>
      <c r="ARI323" s="14"/>
      <c r="ARJ323" s="14"/>
      <c r="ARK323" s="14"/>
      <c r="ARL323" s="14"/>
      <c r="ARM323" s="14"/>
      <c r="ARN323" s="14"/>
      <c r="ARO323" s="14"/>
      <c r="ARP323" s="14"/>
      <c r="ARQ323" s="14"/>
      <c r="ARR323" s="14"/>
      <c r="ARS323" s="14"/>
      <c r="ART323" s="14"/>
      <c r="ARU323" s="14"/>
      <c r="ARV323" s="14"/>
      <c r="ARW323" s="14"/>
      <c r="ARX323" s="14"/>
      <c r="ARY323" s="14"/>
      <c r="ARZ323" s="14"/>
      <c r="ASA323" s="14"/>
      <c r="ASB323" s="14"/>
      <c r="ASC323" s="14"/>
      <c r="ASD323" s="14"/>
      <c r="ASE323" s="14"/>
      <c r="ASF323" s="14"/>
      <c r="ASG323" s="14"/>
      <c r="ASH323" s="14"/>
      <c r="ASI323" s="14"/>
      <c r="ASJ323" s="14"/>
      <c r="ASK323" s="14"/>
      <c r="ASL323" s="14"/>
      <c r="ASM323" s="14"/>
      <c r="ASN323" s="14"/>
      <c r="ASO323" s="14"/>
      <c r="ASP323" s="14"/>
      <c r="ASQ323" s="14"/>
      <c r="ASR323" s="14"/>
      <c r="ASS323" s="14"/>
      <c r="AST323" s="14"/>
      <c r="ASU323" s="14"/>
      <c r="ASV323" s="14"/>
      <c r="ASW323" s="14"/>
      <c r="ASX323" s="14"/>
      <c r="ASY323" s="14"/>
      <c r="ASZ323" s="14"/>
      <c r="ATA323" s="14"/>
      <c r="ATB323" s="14"/>
      <c r="ATC323" s="14"/>
      <c r="ATD323" s="14"/>
      <c r="ATE323" s="14"/>
      <c r="ATF323" s="14"/>
      <c r="ATG323" s="14"/>
      <c r="ATH323" s="14"/>
      <c r="ATI323" s="14"/>
      <c r="ATJ323" s="14"/>
      <c r="ATK323" s="14"/>
      <c r="ATL323" s="14"/>
      <c r="ATM323" s="14"/>
      <c r="ATN323" s="14"/>
      <c r="ATO323" s="14"/>
      <c r="ATP323" s="14"/>
      <c r="ATQ323" s="14"/>
      <c r="ATR323" s="14"/>
      <c r="ATS323" s="14"/>
      <c r="ATT323" s="14"/>
      <c r="ATU323" s="14"/>
      <c r="ATV323" s="14"/>
      <c r="ATW323" s="14"/>
      <c r="ATX323" s="14"/>
      <c r="ATY323" s="14"/>
      <c r="ATZ323" s="14"/>
      <c r="AUA323" s="14"/>
      <c r="AUB323" s="14"/>
      <c r="AUC323" s="14"/>
      <c r="AUD323" s="14"/>
      <c r="AUE323" s="14"/>
      <c r="AUF323" s="14"/>
      <c r="AUG323" s="14"/>
      <c r="AUH323" s="14"/>
      <c r="AUI323" s="14"/>
      <c r="AUJ323" s="14"/>
      <c r="AUK323" s="14"/>
      <c r="AUL323" s="14"/>
      <c r="AUM323" s="14"/>
      <c r="AUN323" s="14"/>
      <c r="AUO323" s="14"/>
      <c r="AUP323" s="14"/>
      <c r="AUQ323" s="14"/>
      <c r="AUR323" s="14"/>
      <c r="AUS323" s="14"/>
      <c r="AUT323" s="14"/>
      <c r="AUU323" s="14"/>
      <c r="AUV323" s="14"/>
      <c r="AUW323" s="14"/>
      <c r="AUX323" s="14"/>
      <c r="AUY323" s="14"/>
      <c r="AUZ323" s="14"/>
      <c r="AVA323" s="14"/>
      <c r="AVB323" s="14"/>
      <c r="AVC323" s="14"/>
      <c r="AVD323" s="14"/>
      <c r="AVE323" s="14"/>
      <c r="AVF323" s="14"/>
      <c r="AVG323" s="14"/>
      <c r="AVH323" s="14"/>
      <c r="AVI323" s="14"/>
      <c r="AVJ323" s="14"/>
      <c r="AVK323" s="14"/>
      <c r="AVL323" s="14"/>
      <c r="AVM323" s="14"/>
      <c r="AVN323" s="14"/>
      <c r="AVO323" s="14"/>
      <c r="AVP323" s="14"/>
      <c r="AVQ323" s="14"/>
      <c r="AVR323" s="14"/>
      <c r="AVS323" s="14"/>
      <c r="AVT323" s="14"/>
      <c r="AVU323" s="14"/>
      <c r="AVV323" s="14"/>
      <c r="AVW323" s="14"/>
      <c r="AVX323" s="14"/>
      <c r="AVY323" s="14"/>
      <c r="AVZ323" s="14"/>
      <c r="AWA323" s="14"/>
      <c r="AWB323" s="14"/>
      <c r="AWC323" s="14"/>
      <c r="AWD323" s="14"/>
      <c r="AWE323" s="14"/>
      <c r="AWF323" s="14"/>
      <c r="AWG323" s="14"/>
      <c r="AWH323" s="14"/>
      <c r="AWI323" s="14"/>
      <c r="AWJ323" s="14"/>
      <c r="AWK323" s="14"/>
      <c r="AWL323" s="14"/>
      <c r="AWM323" s="14"/>
      <c r="AWN323" s="14"/>
      <c r="AWO323" s="14"/>
      <c r="AWP323" s="14"/>
      <c r="AWQ323" s="14"/>
      <c r="AWR323" s="14"/>
      <c r="AWS323" s="14"/>
      <c r="AWT323" s="14"/>
      <c r="AWU323" s="14"/>
      <c r="AWV323" s="14"/>
      <c r="AWW323" s="14"/>
      <c r="AWX323" s="14"/>
      <c r="AWY323" s="14"/>
      <c r="AWZ323" s="14"/>
      <c r="AXA323" s="14"/>
      <c r="AXB323" s="14"/>
      <c r="AXC323" s="14"/>
      <c r="AXD323" s="14"/>
      <c r="AXE323" s="14"/>
      <c r="AXF323" s="14"/>
      <c r="AXG323" s="14"/>
      <c r="AXH323" s="14"/>
      <c r="AXI323" s="14"/>
      <c r="AXJ323" s="14"/>
      <c r="AXK323" s="14"/>
      <c r="AXL323" s="14"/>
      <c r="AXM323" s="14"/>
      <c r="AXN323" s="14"/>
      <c r="AXO323" s="14"/>
      <c r="AXP323" s="14"/>
      <c r="AXQ323" s="14"/>
      <c r="AXR323" s="14"/>
      <c r="AXS323" s="14"/>
      <c r="AXT323" s="14"/>
      <c r="AXU323" s="14"/>
      <c r="AXV323" s="14"/>
      <c r="AXW323" s="14"/>
      <c r="AXX323" s="14"/>
      <c r="AXY323" s="14"/>
      <c r="AXZ323" s="14"/>
      <c r="AYA323" s="14"/>
      <c r="AYB323" s="14"/>
      <c r="AYC323" s="14"/>
      <c r="AYD323" s="14"/>
      <c r="AYE323" s="14"/>
      <c r="AYF323" s="14"/>
      <c r="AYG323" s="14"/>
      <c r="AYH323" s="14"/>
      <c r="AYI323" s="14"/>
      <c r="AYJ323" s="14"/>
      <c r="AYK323" s="14"/>
      <c r="AYL323" s="14"/>
      <c r="AYM323" s="14"/>
      <c r="AYN323" s="14"/>
      <c r="AYO323" s="14"/>
      <c r="AYP323" s="14"/>
      <c r="AYQ323" s="14"/>
      <c r="AYR323" s="14"/>
      <c r="AYS323" s="14"/>
      <c r="AYT323" s="14"/>
      <c r="AYU323" s="14"/>
      <c r="AYV323" s="14"/>
      <c r="AYW323" s="14"/>
      <c r="AYX323" s="14"/>
      <c r="AYY323" s="14"/>
      <c r="AYZ323" s="14"/>
      <c r="AZA323" s="14"/>
      <c r="AZB323" s="14"/>
      <c r="AZC323" s="14"/>
      <c r="AZD323" s="14"/>
      <c r="AZE323" s="14"/>
      <c r="AZF323" s="14"/>
      <c r="AZG323" s="14"/>
      <c r="AZH323" s="14"/>
      <c r="AZI323" s="14"/>
      <c r="AZJ323" s="14"/>
      <c r="AZK323" s="14"/>
      <c r="AZL323" s="14"/>
      <c r="AZM323" s="14"/>
      <c r="AZN323" s="14"/>
      <c r="AZO323" s="14"/>
      <c r="AZP323" s="14"/>
      <c r="AZQ323" s="14"/>
      <c r="AZR323" s="14"/>
      <c r="AZS323" s="14"/>
      <c r="AZT323" s="14"/>
      <c r="AZU323" s="14"/>
      <c r="AZV323" s="14"/>
      <c r="AZW323" s="14"/>
      <c r="AZX323" s="14"/>
      <c r="AZY323" s="14"/>
      <c r="AZZ323" s="14"/>
      <c r="BAA323" s="14"/>
      <c r="BAB323" s="14"/>
      <c r="BAC323" s="14"/>
      <c r="BAD323" s="14"/>
      <c r="BAE323" s="14"/>
      <c r="BAF323" s="14"/>
      <c r="BAG323" s="14"/>
      <c r="BAH323" s="14"/>
      <c r="BAI323" s="14"/>
      <c r="BAJ323" s="14"/>
      <c r="BAK323" s="14"/>
      <c r="BAL323" s="14"/>
      <c r="BAM323" s="14"/>
      <c r="BAN323" s="14"/>
      <c r="BAO323" s="14"/>
      <c r="BAP323" s="14"/>
      <c r="BAQ323" s="14"/>
      <c r="BAR323" s="14"/>
      <c r="BAS323" s="14"/>
      <c r="BAT323" s="14"/>
      <c r="BAU323" s="14"/>
      <c r="BAV323" s="14"/>
      <c r="BAW323" s="14"/>
      <c r="BAX323" s="14"/>
      <c r="BAY323" s="14"/>
      <c r="BAZ323" s="14"/>
      <c r="BBA323" s="14"/>
      <c r="BBB323" s="14"/>
      <c r="BBC323" s="14"/>
      <c r="BBD323" s="14"/>
      <c r="BBE323" s="14"/>
      <c r="BBF323" s="14"/>
      <c r="BBG323" s="14"/>
      <c r="BBH323" s="14"/>
      <c r="BBI323" s="14"/>
      <c r="BBJ323" s="14"/>
      <c r="BBK323" s="14"/>
      <c r="BBL323" s="14"/>
      <c r="BBM323" s="14"/>
      <c r="BBN323" s="14"/>
      <c r="BBO323" s="14"/>
      <c r="BBP323" s="14"/>
      <c r="BBQ323" s="14"/>
      <c r="BBR323" s="14"/>
      <c r="BBS323" s="14"/>
      <c r="BBT323" s="14"/>
      <c r="BBU323" s="14"/>
      <c r="BBV323" s="14"/>
      <c r="BBW323" s="14"/>
      <c r="BBX323" s="14"/>
      <c r="BBY323" s="14"/>
      <c r="BBZ323" s="14"/>
      <c r="BCA323" s="14"/>
      <c r="BCB323" s="14"/>
      <c r="BCC323" s="14"/>
      <c r="BCD323" s="14"/>
      <c r="BCE323" s="14"/>
      <c r="BCF323" s="14"/>
      <c r="BCG323" s="14"/>
      <c r="BCH323" s="14"/>
      <c r="BCI323" s="14"/>
      <c r="BCJ323" s="14"/>
      <c r="BCK323" s="14"/>
      <c r="BCL323" s="14"/>
      <c r="BCM323" s="14"/>
      <c r="BCN323" s="14"/>
      <c r="BCO323" s="14"/>
      <c r="BCP323" s="14"/>
      <c r="BCQ323" s="14"/>
      <c r="BCR323" s="14"/>
      <c r="BCS323" s="14"/>
      <c r="BCT323" s="14"/>
      <c r="BCU323" s="14"/>
      <c r="BCV323" s="14"/>
      <c r="BCW323" s="14"/>
      <c r="BCX323" s="14"/>
      <c r="BCY323" s="14"/>
      <c r="BCZ323" s="14"/>
      <c r="BDA323" s="14"/>
      <c r="BDB323" s="14"/>
      <c r="BDC323" s="14"/>
      <c r="BDD323" s="14"/>
      <c r="BDE323" s="14"/>
      <c r="BDF323" s="14"/>
      <c r="BDG323" s="14"/>
      <c r="BDH323" s="14"/>
      <c r="BDI323" s="14"/>
      <c r="BDJ323" s="14"/>
      <c r="BDK323" s="14"/>
      <c r="BDL323" s="14"/>
      <c r="BDM323" s="14"/>
      <c r="BDN323" s="14"/>
      <c r="BDO323" s="14"/>
      <c r="BDP323" s="14"/>
      <c r="BDQ323" s="14"/>
      <c r="BDR323" s="14"/>
      <c r="BDS323" s="14"/>
      <c r="BDT323" s="14"/>
      <c r="BDU323" s="14"/>
      <c r="BDV323" s="14"/>
      <c r="BDW323" s="14"/>
      <c r="BDX323" s="14"/>
      <c r="BDY323" s="14"/>
      <c r="BDZ323" s="14"/>
      <c r="BEA323" s="14"/>
      <c r="BEB323" s="14"/>
      <c r="BEC323" s="14"/>
      <c r="BED323" s="14"/>
      <c r="BEE323" s="14"/>
      <c r="BEF323" s="14"/>
      <c r="BEG323" s="14"/>
      <c r="BEH323" s="14"/>
      <c r="BEI323" s="14"/>
      <c r="BEJ323" s="14"/>
      <c r="BEK323" s="14"/>
      <c r="BEL323" s="14"/>
      <c r="BEM323" s="14"/>
      <c r="BEN323" s="14"/>
      <c r="BEO323" s="14"/>
      <c r="BEP323" s="14"/>
      <c r="BEQ323" s="14"/>
      <c r="BER323" s="14"/>
      <c r="BES323" s="14"/>
      <c r="BET323" s="14"/>
      <c r="BEU323" s="14"/>
      <c r="BEV323" s="14"/>
      <c r="BEW323" s="14"/>
      <c r="BEX323" s="14"/>
      <c r="BEY323" s="14"/>
      <c r="BEZ323" s="14"/>
      <c r="BFA323" s="14"/>
      <c r="BFB323" s="14"/>
      <c r="BFC323" s="14"/>
      <c r="BFD323" s="14"/>
      <c r="BFE323" s="14"/>
      <c r="BFF323" s="14"/>
      <c r="BFG323" s="14"/>
      <c r="BFH323" s="14"/>
      <c r="BFI323" s="14"/>
      <c r="BFJ323" s="14"/>
      <c r="BFK323" s="14"/>
      <c r="BFL323" s="14"/>
      <c r="BFM323" s="14"/>
      <c r="BFN323" s="14"/>
      <c r="BFO323" s="14"/>
      <c r="BFP323" s="14"/>
      <c r="BFQ323" s="14"/>
      <c r="BFR323" s="14"/>
      <c r="BFS323" s="14"/>
      <c r="BFT323" s="14"/>
      <c r="BFU323" s="14"/>
      <c r="BFV323" s="14"/>
      <c r="BFW323" s="14"/>
      <c r="BFX323" s="14"/>
      <c r="BFY323" s="14"/>
      <c r="BFZ323" s="14"/>
      <c r="BGA323" s="14"/>
      <c r="BGB323" s="14"/>
      <c r="BGC323" s="14"/>
      <c r="BGD323" s="14"/>
      <c r="BGE323" s="14"/>
      <c r="BGF323" s="14"/>
      <c r="BGG323" s="14"/>
      <c r="BGH323" s="14"/>
      <c r="BGI323" s="14"/>
      <c r="BGJ323" s="14"/>
      <c r="BGK323" s="14"/>
      <c r="BGL323" s="14"/>
      <c r="BGM323" s="14"/>
      <c r="BGN323" s="14"/>
      <c r="BGO323" s="14"/>
      <c r="BGP323" s="14"/>
      <c r="BGQ323" s="14"/>
      <c r="BGR323" s="14"/>
      <c r="BGS323" s="14"/>
      <c r="BGT323" s="14"/>
      <c r="BGU323" s="14"/>
      <c r="BGV323" s="14"/>
      <c r="BGW323" s="14"/>
      <c r="BGX323" s="14"/>
      <c r="BGY323" s="14"/>
      <c r="BGZ323" s="14"/>
      <c r="BHA323" s="14"/>
      <c r="BHB323" s="14"/>
      <c r="BHC323" s="14"/>
      <c r="BHD323" s="14"/>
      <c r="BHE323" s="14"/>
      <c r="BHF323" s="14"/>
      <c r="BHG323" s="14"/>
      <c r="BHH323" s="14"/>
      <c r="BHI323" s="14"/>
      <c r="BHJ323" s="14"/>
      <c r="BHK323" s="14"/>
      <c r="BHL323" s="14"/>
      <c r="BHM323" s="14"/>
      <c r="BHN323" s="14"/>
      <c r="BHO323" s="14"/>
      <c r="BHP323" s="14"/>
      <c r="BHQ323" s="14"/>
      <c r="BHR323" s="14"/>
      <c r="BHS323" s="14"/>
      <c r="BHT323" s="14"/>
      <c r="BHU323" s="14"/>
      <c r="BHV323" s="14"/>
      <c r="BHW323" s="14"/>
      <c r="BHX323" s="14"/>
      <c r="BHY323" s="14"/>
      <c r="BHZ323" s="14"/>
      <c r="BIA323" s="14"/>
      <c r="BIB323" s="14"/>
      <c r="BIC323" s="14"/>
      <c r="BID323" s="14"/>
      <c r="BIE323" s="14"/>
      <c r="BIF323" s="14"/>
      <c r="BIG323" s="14"/>
      <c r="BIH323" s="14"/>
      <c r="BII323" s="14"/>
      <c r="BIJ323" s="14"/>
      <c r="BIK323" s="14"/>
      <c r="BIL323" s="14"/>
      <c r="BIM323" s="14"/>
      <c r="BIN323" s="14"/>
      <c r="BIO323" s="14"/>
      <c r="BIP323" s="14"/>
      <c r="BIQ323" s="14"/>
      <c r="BIR323" s="14"/>
      <c r="BIS323" s="14"/>
      <c r="BIT323" s="14"/>
      <c r="BIU323" s="14"/>
      <c r="BIV323" s="14"/>
      <c r="BIW323" s="14"/>
      <c r="BIX323" s="14"/>
      <c r="BIY323" s="14"/>
      <c r="BIZ323" s="14"/>
      <c r="BJA323" s="14"/>
      <c r="BJB323" s="14"/>
      <c r="BJC323" s="14"/>
      <c r="BJD323" s="14"/>
      <c r="BJE323" s="14"/>
      <c r="BJF323" s="14"/>
      <c r="BJG323" s="14"/>
      <c r="BJH323" s="14"/>
      <c r="BJI323" s="14"/>
      <c r="BJJ323" s="14"/>
      <c r="BJK323" s="14"/>
      <c r="BJL323" s="14"/>
      <c r="BJM323" s="14"/>
      <c r="BJN323" s="14"/>
      <c r="BJO323" s="14"/>
      <c r="BJP323" s="14"/>
      <c r="BJQ323" s="14"/>
      <c r="BJR323" s="14"/>
      <c r="BJS323" s="14"/>
      <c r="BJT323" s="14"/>
      <c r="BJU323" s="14"/>
      <c r="BJV323" s="14"/>
      <c r="BJW323" s="14"/>
      <c r="BJX323" s="14"/>
      <c r="BJY323" s="14"/>
      <c r="BJZ323" s="14"/>
      <c r="BKA323" s="14"/>
      <c r="BKB323" s="14"/>
      <c r="BKC323" s="14"/>
      <c r="BKD323" s="14"/>
      <c r="BKE323" s="14"/>
      <c r="BKF323" s="14"/>
      <c r="BKG323" s="14"/>
      <c r="BKH323" s="14"/>
      <c r="BKI323" s="14"/>
      <c r="BKJ323" s="14"/>
      <c r="BKK323" s="14"/>
      <c r="BKL323" s="14"/>
      <c r="BKM323" s="14"/>
      <c r="BKN323" s="14"/>
      <c r="BKO323" s="14"/>
      <c r="BKP323" s="14"/>
      <c r="BKQ323" s="14"/>
      <c r="BKR323" s="14"/>
      <c r="BKS323" s="14"/>
      <c r="BKT323" s="14"/>
      <c r="BKU323" s="14"/>
      <c r="BKV323" s="14"/>
      <c r="BKW323" s="14"/>
      <c r="BKX323" s="14"/>
      <c r="BKY323" s="14"/>
      <c r="BKZ323" s="14"/>
      <c r="BLA323" s="14"/>
      <c r="BLB323" s="14"/>
      <c r="BLC323" s="14"/>
      <c r="BLD323" s="14"/>
      <c r="BLE323" s="14"/>
      <c r="BLF323" s="14"/>
      <c r="BLG323" s="14"/>
      <c r="BLH323" s="14"/>
      <c r="BLI323" s="14"/>
      <c r="BLJ323" s="14"/>
      <c r="BLK323" s="14"/>
      <c r="BLL323" s="14"/>
      <c r="BLM323" s="14"/>
      <c r="BLN323" s="14"/>
      <c r="BLO323" s="14"/>
      <c r="BLP323" s="14"/>
      <c r="BLQ323" s="14"/>
      <c r="BLR323" s="14"/>
      <c r="BLS323" s="14"/>
      <c r="BLT323" s="14"/>
      <c r="BLU323" s="14"/>
      <c r="BLV323" s="14"/>
      <c r="BLW323" s="14"/>
      <c r="BLX323" s="14"/>
      <c r="BLY323" s="14"/>
      <c r="BLZ323" s="14"/>
      <c r="BMA323" s="14"/>
      <c r="BMB323" s="14"/>
      <c r="BMC323" s="14"/>
      <c r="BMD323" s="14"/>
      <c r="BME323" s="14"/>
      <c r="BMF323" s="14"/>
      <c r="BMG323" s="14"/>
      <c r="BMH323" s="14"/>
      <c r="BMI323" s="14"/>
      <c r="BMJ323" s="14"/>
      <c r="BMK323" s="14"/>
      <c r="BML323" s="14"/>
      <c r="BMM323" s="14"/>
      <c r="BMN323" s="14"/>
      <c r="BMO323" s="14"/>
      <c r="BMP323" s="14"/>
      <c r="BMQ323" s="14"/>
      <c r="BMR323" s="14"/>
      <c r="BMS323" s="14"/>
      <c r="BMT323" s="14"/>
      <c r="BMU323" s="14"/>
      <c r="BMV323" s="14"/>
      <c r="BMW323" s="14"/>
      <c r="BMX323" s="14"/>
      <c r="BMY323" s="14"/>
      <c r="BMZ323" s="14"/>
      <c r="BNA323" s="14"/>
      <c r="BNB323" s="14"/>
      <c r="BNC323" s="14"/>
      <c r="BND323" s="14"/>
      <c r="BNE323" s="14"/>
      <c r="BNF323" s="14"/>
      <c r="BNG323" s="14"/>
      <c r="BNH323" s="14"/>
      <c r="BNI323" s="14"/>
      <c r="BNJ323" s="14"/>
      <c r="BNK323" s="14"/>
      <c r="BNL323" s="14"/>
      <c r="BNM323" s="14"/>
      <c r="BNN323" s="14"/>
      <c r="BNO323" s="14"/>
      <c r="BNP323" s="14"/>
      <c r="BNQ323" s="14"/>
      <c r="BNR323" s="14"/>
      <c r="BNS323" s="14"/>
      <c r="BNT323" s="14"/>
      <c r="BNU323" s="14"/>
      <c r="BNV323" s="14"/>
      <c r="BNW323" s="14"/>
      <c r="BNX323" s="14"/>
      <c r="BNY323" s="14"/>
      <c r="BNZ323" s="14"/>
      <c r="BOA323" s="14"/>
      <c r="BOB323" s="14"/>
      <c r="BOC323" s="14"/>
      <c r="BOD323" s="14"/>
      <c r="BOE323" s="14"/>
      <c r="BOF323" s="14"/>
      <c r="BOG323" s="14"/>
      <c r="BOH323" s="14"/>
      <c r="BOI323" s="14"/>
      <c r="BOJ323" s="14"/>
      <c r="BOK323" s="14"/>
      <c r="BOL323" s="14"/>
      <c r="BOM323" s="14"/>
      <c r="BON323" s="14"/>
      <c r="BOO323" s="14"/>
      <c r="BOP323" s="14"/>
      <c r="BOQ323" s="14"/>
      <c r="BOR323" s="14"/>
      <c r="BOS323" s="14"/>
      <c r="BOT323" s="14"/>
      <c r="BOU323" s="14"/>
      <c r="BOV323" s="14"/>
      <c r="BOW323" s="14"/>
      <c r="BOX323" s="14"/>
      <c r="BOY323" s="14"/>
      <c r="BOZ323" s="14"/>
      <c r="BPA323" s="14"/>
      <c r="BPB323" s="14"/>
      <c r="BPC323" s="14"/>
      <c r="BPD323" s="14"/>
      <c r="BPE323" s="14"/>
      <c r="BPF323" s="14"/>
      <c r="BPG323" s="14"/>
      <c r="BPH323" s="14"/>
      <c r="BPI323" s="14"/>
      <c r="BPJ323" s="14"/>
      <c r="BPK323" s="14"/>
      <c r="BPL323" s="14"/>
      <c r="BPM323" s="14"/>
      <c r="BPN323" s="14"/>
      <c r="BPO323" s="14"/>
      <c r="BPP323" s="14"/>
      <c r="BPQ323" s="14"/>
      <c r="BPR323" s="14"/>
      <c r="BPS323" s="14"/>
      <c r="BPT323" s="14"/>
      <c r="BPU323" s="14"/>
      <c r="BPV323" s="14"/>
      <c r="BPW323" s="14"/>
      <c r="BPX323" s="14"/>
      <c r="BPY323" s="14"/>
      <c r="BPZ323" s="14"/>
      <c r="BQA323" s="14"/>
      <c r="BQB323" s="14"/>
      <c r="BQC323" s="14"/>
      <c r="BQD323" s="14"/>
      <c r="BQE323" s="14"/>
      <c r="BQF323" s="14"/>
      <c r="BQG323" s="14"/>
      <c r="BQH323" s="14"/>
      <c r="BQI323" s="14"/>
      <c r="BQJ323" s="14"/>
      <c r="BQK323" s="14"/>
      <c r="BQL323" s="14"/>
      <c r="BQM323" s="14"/>
      <c r="BQN323" s="14"/>
      <c r="BQO323" s="14"/>
      <c r="BQP323" s="14"/>
      <c r="BQQ323" s="14"/>
      <c r="BQR323" s="14"/>
      <c r="BQS323" s="14"/>
      <c r="BQT323" s="14"/>
      <c r="BQU323" s="14"/>
      <c r="BQV323" s="14"/>
      <c r="BQW323" s="14"/>
      <c r="BQX323" s="14"/>
      <c r="BQY323" s="14"/>
      <c r="BQZ323" s="14"/>
      <c r="BRA323" s="14"/>
      <c r="BRB323" s="14"/>
      <c r="BRC323" s="14"/>
      <c r="BRD323" s="14"/>
      <c r="BRE323" s="14"/>
      <c r="BRF323" s="14"/>
      <c r="BRG323" s="14"/>
      <c r="BRH323" s="14"/>
      <c r="BRI323" s="14"/>
      <c r="BRJ323" s="14"/>
      <c r="BRK323" s="14"/>
      <c r="BRL323" s="14"/>
      <c r="BRM323" s="14"/>
      <c r="BRN323" s="14"/>
      <c r="BRO323" s="14"/>
      <c r="BRP323" s="14"/>
      <c r="BRQ323" s="14"/>
      <c r="BRR323" s="14"/>
      <c r="BRS323" s="14"/>
      <c r="BRT323" s="14"/>
      <c r="BRU323" s="14"/>
      <c r="BRV323" s="14"/>
      <c r="BRW323" s="14"/>
      <c r="BRX323" s="14"/>
      <c r="BRY323" s="14"/>
      <c r="BRZ323" s="14"/>
      <c r="BSA323" s="14"/>
      <c r="BSB323" s="14"/>
      <c r="BSC323" s="14"/>
      <c r="BSD323" s="14"/>
      <c r="BSE323" s="14"/>
      <c r="BSF323" s="14"/>
      <c r="BSG323" s="14"/>
      <c r="BSH323" s="14"/>
      <c r="BSI323" s="14"/>
      <c r="BSJ323" s="14"/>
      <c r="BSK323" s="14"/>
      <c r="BSL323" s="14"/>
      <c r="BSM323" s="14"/>
      <c r="BSN323" s="14"/>
      <c r="BSO323" s="14"/>
      <c r="BSP323" s="14"/>
      <c r="BSQ323" s="14"/>
      <c r="BSR323" s="14"/>
      <c r="BSS323" s="14"/>
      <c r="BST323" s="14"/>
      <c r="BSU323" s="14"/>
      <c r="BSV323" s="14"/>
      <c r="BSW323" s="14"/>
      <c r="BSX323" s="14"/>
      <c r="BSY323" s="14"/>
      <c r="BSZ323" s="14"/>
      <c r="BTA323" s="14"/>
      <c r="BTB323" s="14"/>
      <c r="BTC323" s="14"/>
      <c r="BTD323" s="14"/>
      <c r="BTE323" s="14"/>
      <c r="BTF323" s="14"/>
      <c r="BTG323" s="14"/>
      <c r="BTH323" s="14"/>
      <c r="BTI323" s="14"/>
      <c r="BTJ323" s="14"/>
      <c r="BTK323" s="14"/>
      <c r="BTL323" s="14"/>
      <c r="BTM323" s="14"/>
      <c r="BTN323" s="14"/>
      <c r="BTO323" s="14"/>
      <c r="BTP323" s="14"/>
      <c r="BTQ323" s="14"/>
      <c r="BTR323" s="14"/>
      <c r="BTS323" s="14"/>
      <c r="BTT323" s="14"/>
      <c r="BTU323" s="14"/>
      <c r="BTV323" s="14"/>
      <c r="BTW323" s="14"/>
      <c r="BTX323" s="14"/>
      <c r="BTY323" s="14"/>
      <c r="BTZ323" s="14"/>
      <c r="BUA323" s="14"/>
      <c r="BUB323" s="14"/>
      <c r="BUC323" s="14"/>
      <c r="BUD323" s="14"/>
      <c r="BUE323" s="14"/>
      <c r="BUF323" s="14"/>
      <c r="BUG323" s="14"/>
      <c r="BUH323" s="14"/>
      <c r="BUI323" s="14"/>
      <c r="BUJ323" s="14"/>
      <c r="BUK323" s="14"/>
      <c r="BUL323" s="14"/>
      <c r="BUM323" s="14"/>
      <c r="BUN323" s="14"/>
      <c r="BUO323" s="14"/>
      <c r="BUP323" s="14"/>
      <c r="BUQ323" s="14"/>
      <c r="BUR323" s="14"/>
      <c r="BUS323" s="14"/>
      <c r="BUT323" s="14"/>
      <c r="BUU323" s="14"/>
      <c r="BUV323" s="14"/>
      <c r="BUW323" s="14"/>
      <c r="BUX323" s="14"/>
      <c r="BUY323" s="14"/>
      <c r="BUZ323" s="14"/>
      <c r="BVA323" s="14"/>
      <c r="BVB323" s="14"/>
      <c r="BVC323" s="14"/>
      <c r="BVD323" s="14"/>
      <c r="BVE323" s="14"/>
      <c r="BVF323" s="14"/>
      <c r="BVG323" s="14"/>
      <c r="BVH323" s="14"/>
      <c r="BVI323" s="14"/>
      <c r="BVJ323" s="14"/>
      <c r="BVK323" s="14"/>
      <c r="BVL323" s="14"/>
      <c r="BVM323" s="14"/>
      <c r="BVN323" s="14"/>
      <c r="BVO323" s="14"/>
      <c r="BVP323" s="14"/>
      <c r="BVQ323" s="14"/>
      <c r="BVR323" s="14"/>
      <c r="BVS323" s="14"/>
      <c r="BVT323" s="14"/>
      <c r="BVU323" s="14"/>
      <c r="BVV323" s="14"/>
      <c r="BVW323" s="14"/>
      <c r="BVX323" s="14"/>
      <c r="BVY323" s="14"/>
      <c r="BVZ323" s="14"/>
      <c r="BWA323" s="14"/>
      <c r="BWB323" s="14"/>
      <c r="BWC323" s="14"/>
      <c r="BWD323" s="14"/>
      <c r="BWE323" s="14"/>
      <c r="BWF323" s="14"/>
      <c r="BWG323" s="14"/>
      <c r="BWH323" s="14"/>
      <c r="BWI323" s="14"/>
      <c r="BWJ323" s="14"/>
      <c r="BWK323" s="14"/>
      <c r="BWL323" s="14"/>
      <c r="BWM323" s="14"/>
      <c r="BWN323" s="14"/>
      <c r="BWO323" s="14"/>
      <c r="BWP323" s="14"/>
      <c r="BWQ323" s="14"/>
      <c r="BWR323" s="14"/>
      <c r="BWS323" s="14"/>
      <c r="BWT323" s="14"/>
      <c r="BWU323" s="14"/>
      <c r="BWV323" s="14"/>
      <c r="BWW323" s="14"/>
      <c r="BWX323" s="14"/>
      <c r="BWY323" s="14"/>
      <c r="BWZ323" s="14"/>
      <c r="BXA323" s="14"/>
      <c r="BXB323" s="14"/>
      <c r="BXC323" s="14"/>
      <c r="BXD323" s="14"/>
      <c r="BXE323" s="14"/>
      <c r="BXF323" s="14"/>
      <c r="BXG323" s="14"/>
      <c r="BXH323" s="14"/>
      <c r="BXI323" s="14"/>
      <c r="BXJ323" s="14"/>
      <c r="BXK323" s="14"/>
      <c r="BXL323" s="14"/>
      <c r="BXM323" s="14"/>
      <c r="BXN323" s="14"/>
      <c r="BXO323" s="14"/>
      <c r="BXP323" s="14"/>
      <c r="BXQ323" s="14"/>
      <c r="BXR323" s="14"/>
      <c r="BXS323" s="14"/>
      <c r="BXT323" s="14"/>
      <c r="BXU323" s="14"/>
      <c r="BXV323" s="14"/>
      <c r="BXW323" s="14"/>
      <c r="BXX323" s="14"/>
      <c r="BXY323" s="14"/>
      <c r="BXZ323" s="14"/>
      <c r="BYA323" s="14"/>
      <c r="BYB323" s="14"/>
      <c r="BYC323" s="14"/>
      <c r="BYD323" s="14"/>
      <c r="BYE323" s="14"/>
      <c r="BYF323" s="14"/>
      <c r="BYG323" s="14"/>
      <c r="BYH323" s="14"/>
      <c r="BYI323" s="14"/>
      <c r="BYJ323" s="14"/>
      <c r="BYK323" s="14"/>
      <c r="BYL323" s="14"/>
      <c r="BYM323" s="14"/>
      <c r="BYN323" s="14"/>
      <c r="BYO323" s="14"/>
      <c r="BYP323" s="14"/>
      <c r="BYQ323" s="14"/>
      <c r="BYR323" s="14"/>
      <c r="BYS323" s="14"/>
      <c r="BYT323" s="14"/>
      <c r="BYU323" s="14"/>
      <c r="BYV323" s="14"/>
      <c r="BYW323" s="14"/>
      <c r="BYX323" s="14"/>
      <c r="BYY323" s="14"/>
      <c r="BYZ323" s="14"/>
      <c r="BZA323" s="14"/>
      <c r="BZB323" s="14"/>
      <c r="BZC323" s="14"/>
      <c r="BZD323" s="14"/>
      <c r="BZE323" s="14"/>
      <c r="BZF323" s="14"/>
      <c r="BZG323" s="14"/>
      <c r="BZH323" s="14"/>
      <c r="BZI323" s="14"/>
      <c r="BZJ323" s="14"/>
      <c r="BZK323" s="14"/>
      <c r="BZL323" s="14"/>
      <c r="BZM323" s="14"/>
      <c r="BZN323" s="14"/>
      <c r="BZO323" s="14"/>
      <c r="BZP323" s="14"/>
      <c r="BZQ323" s="14"/>
      <c r="BZR323" s="14"/>
      <c r="BZS323" s="14"/>
      <c r="BZT323" s="14"/>
      <c r="BZU323" s="14"/>
      <c r="BZV323" s="14"/>
      <c r="BZW323" s="14"/>
      <c r="BZX323" s="14"/>
      <c r="BZY323" s="14"/>
      <c r="BZZ323" s="14"/>
      <c r="CAA323" s="14"/>
      <c r="CAB323" s="14"/>
      <c r="CAC323" s="14"/>
      <c r="CAD323" s="14"/>
      <c r="CAE323" s="14"/>
      <c r="CAF323" s="14"/>
      <c r="CAG323" s="14"/>
      <c r="CAH323" s="14"/>
      <c r="CAI323" s="14"/>
      <c r="CAJ323" s="14"/>
      <c r="CAK323" s="14"/>
      <c r="CAL323" s="14"/>
      <c r="CAM323" s="14"/>
      <c r="CAN323" s="14"/>
      <c r="CAO323" s="14"/>
      <c r="CAP323" s="14"/>
      <c r="CAQ323" s="14"/>
      <c r="CAR323" s="14"/>
      <c r="CAS323" s="14"/>
      <c r="CAT323" s="14"/>
      <c r="CAU323" s="14"/>
      <c r="CAV323" s="14"/>
      <c r="CAW323" s="14"/>
      <c r="CAX323" s="14"/>
      <c r="CAY323" s="14"/>
      <c r="CAZ323" s="14"/>
      <c r="CBA323" s="14"/>
      <c r="CBB323" s="14"/>
      <c r="CBC323" s="14"/>
      <c r="CBD323" s="14"/>
      <c r="CBE323" s="14"/>
      <c r="CBF323" s="14"/>
      <c r="CBG323" s="14"/>
      <c r="CBH323" s="14"/>
      <c r="CBI323" s="14"/>
      <c r="CBJ323" s="14"/>
      <c r="CBK323" s="14"/>
      <c r="CBL323" s="14"/>
      <c r="CBM323" s="14"/>
      <c r="CBN323" s="14"/>
      <c r="CBO323" s="14"/>
      <c r="CBP323" s="14"/>
      <c r="CBQ323" s="14"/>
      <c r="CBR323" s="14"/>
      <c r="CBS323" s="14"/>
      <c r="CBT323" s="14"/>
      <c r="CBU323" s="14"/>
      <c r="CBV323" s="14"/>
      <c r="CBW323" s="14"/>
      <c r="CBX323" s="14"/>
      <c r="CBY323" s="14"/>
      <c r="CBZ323" s="14"/>
      <c r="CCA323" s="14"/>
      <c r="CCB323" s="14"/>
      <c r="CCC323" s="14"/>
      <c r="CCD323" s="14"/>
      <c r="CCE323" s="14"/>
      <c r="CCF323" s="14"/>
      <c r="CCG323" s="14"/>
      <c r="CCH323" s="14"/>
      <c r="CCI323" s="14"/>
      <c r="CCJ323" s="14"/>
      <c r="CCK323" s="14"/>
      <c r="CCL323" s="14"/>
      <c r="CCM323" s="14"/>
      <c r="CCN323" s="14"/>
      <c r="CCO323" s="14"/>
      <c r="CCP323" s="14"/>
      <c r="CCQ323" s="14"/>
      <c r="CCR323" s="14"/>
      <c r="CCS323" s="14"/>
      <c r="CCT323" s="14"/>
      <c r="CCU323" s="14"/>
      <c r="CCV323" s="14"/>
      <c r="CCW323" s="14"/>
      <c r="CCX323" s="14"/>
      <c r="CCY323" s="14"/>
      <c r="CCZ323" s="14"/>
      <c r="CDA323" s="14"/>
      <c r="CDB323" s="14"/>
      <c r="CDC323" s="14"/>
      <c r="CDD323" s="14"/>
      <c r="CDE323" s="14"/>
      <c r="CDF323" s="14"/>
      <c r="CDG323" s="14"/>
      <c r="CDH323" s="14"/>
      <c r="CDI323" s="14"/>
      <c r="CDJ323" s="14"/>
      <c r="CDK323" s="14"/>
      <c r="CDL323" s="14"/>
      <c r="CDM323" s="14"/>
      <c r="CDN323" s="14"/>
      <c r="CDO323" s="14"/>
      <c r="CDP323" s="14"/>
      <c r="CDQ323" s="14"/>
      <c r="CDR323" s="14"/>
      <c r="CDS323" s="14"/>
      <c r="CDT323" s="14"/>
      <c r="CDU323" s="14"/>
      <c r="CDV323" s="14"/>
      <c r="CDW323" s="14"/>
      <c r="CDX323" s="14"/>
      <c r="CDY323" s="14"/>
      <c r="CDZ323" s="14"/>
      <c r="CEA323" s="14"/>
      <c r="CEB323" s="14"/>
      <c r="CEC323" s="14"/>
      <c r="CED323" s="14"/>
      <c r="CEE323" s="14"/>
      <c r="CEF323" s="14"/>
      <c r="CEG323" s="14"/>
      <c r="CEH323" s="14"/>
      <c r="CEI323" s="14"/>
      <c r="CEJ323" s="14"/>
      <c r="CEK323" s="14"/>
      <c r="CEL323" s="14"/>
      <c r="CEM323" s="14"/>
      <c r="CEN323" s="14"/>
      <c r="CEO323" s="14"/>
      <c r="CEP323" s="14"/>
      <c r="CEQ323" s="14"/>
      <c r="CER323" s="14"/>
      <c r="CES323" s="14"/>
      <c r="CET323" s="14"/>
      <c r="CEU323" s="14"/>
      <c r="CEV323" s="14"/>
      <c r="CEW323" s="14"/>
      <c r="CEX323" s="14"/>
      <c r="CEY323" s="14"/>
      <c r="CEZ323" s="14"/>
      <c r="CFA323" s="14"/>
      <c r="CFB323" s="14"/>
      <c r="CFC323" s="14"/>
      <c r="CFD323" s="14"/>
      <c r="CFE323" s="14"/>
      <c r="CFF323" s="14"/>
      <c r="CFG323" s="14"/>
      <c r="CFH323" s="14"/>
      <c r="CFI323" s="14"/>
      <c r="CFJ323" s="14"/>
      <c r="CFK323" s="14"/>
      <c r="CFL323" s="14"/>
      <c r="CFM323" s="14"/>
      <c r="CFN323" s="14"/>
      <c r="CFO323" s="14"/>
      <c r="CFP323" s="14"/>
      <c r="CFQ323" s="14"/>
      <c r="CFR323" s="14"/>
      <c r="CFS323" s="14"/>
      <c r="CFT323" s="14"/>
      <c r="CFU323" s="14"/>
      <c r="CFV323" s="14"/>
      <c r="CFW323" s="14"/>
      <c r="CFX323" s="14"/>
      <c r="CFY323" s="14"/>
      <c r="CFZ323" s="14"/>
      <c r="CGA323" s="14"/>
      <c r="CGB323" s="14"/>
      <c r="CGC323" s="14"/>
      <c r="CGD323" s="14"/>
      <c r="CGE323" s="14"/>
      <c r="CGF323" s="14"/>
      <c r="CGG323" s="14"/>
      <c r="CGH323" s="14"/>
      <c r="CGI323" s="14"/>
      <c r="CGJ323" s="14"/>
      <c r="CGK323" s="14"/>
      <c r="CGL323" s="14"/>
      <c r="CGM323" s="14"/>
      <c r="CGN323" s="14"/>
      <c r="CGO323" s="14"/>
      <c r="CGP323" s="14"/>
      <c r="CGQ323" s="14"/>
      <c r="CGR323" s="14"/>
      <c r="CGS323" s="14"/>
      <c r="CGT323" s="14"/>
      <c r="CGU323" s="14"/>
      <c r="CGV323" s="14"/>
      <c r="CGW323" s="14"/>
      <c r="CGX323" s="14"/>
      <c r="CGY323" s="14"/>
      <c r="CGZ323" s="14"/>
      <c r="CHA323" s="14"/>
      <c r="CHB323" s="14"/>
      <c r="CHC323" s="14"/>
      <c r="CHD323" s="14"/>
      <c r="CHE323" s="14"/>
      <c r="CHF323" s="14"/>
      <c r="CHG323" s="14"/>
      <c r="CHH323" s="14"/>
      <c r="CHI323" s="14"/>
      <c r="CHJ323" s="14"/>
      <c r="CHK323" s="14"/>
      <c r="CHL323" s="14"/>
      <c r="CHM323" s="14"/>
      <c r="CHN323" s="14"/>
      <c r="CHO323" s="14"/>
      <c r="CHP323" s="14"/>
      <c r="CHQ323" s="14"/>
      <c r="CHR323" s="14"/>
      <c r="CHS323" s="14"/>
      <c r="CHT323" s="14"/>
      <c r="CHU323" s="14"/>
      <c r="CHV323" s="14"/>
      <c r="CHW323" s="14"/>
      <c r="CHX323" s="14"/>
      <c r="CHY323" s="14"/>
      <c r="CHZ323" s="14"/>
      <c r="CIA323" s="14"/>
      <c r="CIB323" s="14"/>
      <c r="CIC323" s="14"/>
      <c r="CID323" s="14"/>
      <c r="CIE323" s="14"/>
      <c r="CIF323" s="14"/>
      <c r="CIG323" s="14"/>
      <c r="CIH323" s="14"/>
      <c r="CII323" s="14"/>
      <c r="CIJ323" s="14"/>
      <c r="CIK323" s="14"/>
      <c r="CIL323" s="14"/>
      <c r="CIM323" s="14"/>
      <c r="CIN323" s="14"/>
      <c r="CIO323" s="14"/>
      <c r="CIP323" s="14"/>
      <c r="CIQ323" s="14"/>
      <c r="CIR323" s="14"/>
      <c r="CIS323" s="14"/>
      <c r="CIT323" s="14"/>
      <c r="CIU323" s="14"/>
      <c r="CIV323" s="14"/>
      <c r="CIW323" s="14"/>
      <c r="CIX323" s="14"/>
      <c r="CIY323" s="14"/>
      <c r="CIZ323" s="14"/>
      <c r="CJA323" s="14"/>
      <c r="CJB323" s="14"/>
      <c r="CJC323" s="14"/>
      <c r="CJD323" s="14"/>
      <c r="CJE323" s="14"/>
      <c r="CJF323" s="14"/>
      <c r="CJG323" s="14"/>
      <c r="CJH323" s="14"/>
      <c r="CJI323" s="14"/>
      <c r="CJJ323" s="14"/>
      <c r="CJK323" s="14"/>
      <c r="CJL323" s="14"/>
      <c r="CJM323" s="14"/>
      <c r="CJN323" s="14"/>
      <c r="CJO323" s="14"/>
      <c r="CJP323" s="14"/>
      <c r="CJQ323" s="14"/>
      <c r="CJR323" s="14"/>
      <c r="CJS323" s="14"/>
      <c r="CJT323" s="14"/>
      <c r="CJU323" s="14"/>
      <c r="CJV323" s="14"/>
      <c r="CJW323" s="14"/>
      <c r="CJX323" s="14"/>
      <c r="CJY323" s="14"/>
      <c r="CJZ323" s="14"/>
      <c r="CKA323" s="14"/>
      <c r="CKB323" s="14"/>
      <c r="CKC323" s="14"/>
      <c r="CKD323" s="14"/>
      <c r="CKE323" s="14"/>
      <c r="CKF323" s="14"/>
      <c r="CKG323" s="14"/>
      <c r="CKH323" s="14"/>
      <c r="CKI323" s="14"/>
      <c r="CKJ323" s="14"/>
      <c r="CKK323" s="14"/>
      <c r="CKL323" s="14"/>
      <c r="CKM323" s="14"/>
      <c r="CKN323" s="14"/>
      <c r="CKO323" s="14"/>
      <c r="CKP323" s="14"/>
      <c r="CKQ323" s="14"/>
      <c r="CKR323" s="14"/>
      <c r="CKS323" s="14"/>
      <c r="CKT323" s="14"/>
      <c r="CKU323" s="14"/>
      <c r="CKV323" s="14"/>
      <c r="CKW323" s="14"/>
      <c r="CKX323" s="14"/>
      <c r="CKY323" s="14"/>
      <c r="CKZ323" s="14"/>
      <c r="CLA323" s="14"/>
      <c r="CLB323" s="14"/>
      <c r="CLC323" s="14"/>
      <c r="CLD323" s="14"/>
      <c r="CLE323" s="14"/>
      <c r="CLF323" s="14"/>
      <c r="CLG323" s="14"/>
      <c r="CLH323" s="14"/>
      <c r="CLI323" s="14"/>
      <c r="CLJ323" s="14"/>
      <c r="CLK323" s="14"/>
      <c r="CLL323" s="14"/>
      <c r="CLM323" s="14"/>
      <c r="CLN323" s="14"/>
      <c r="CLO323" s="14"/>
      <c r="CLP323" s="14"/>
      <c r="CLQ323" s="14"/>
      <c r="CLR323" s="14"/>
      <c r="CLS323" s="14"/>
      <c r="CLT323" s="14"/>
      <c r="CLU323" s="14"/>
      <c r="CLV323" s="14"/>
      <c r="CLW323" s="14"/>
      <c r="CLX323" s="14"/>
      <c r="CLY323" s="14"/>
      <c r="CLZ323" s="14"/>
      <c r="CMA323" s="14"/>
      <c r="CMB323" s="14"/>
      <c r="CMC323" s="14"/>
      <c r="CMD323" s="14"/>
      <c r="CME323" s="14"/>
      <c r="CMF323" s="14"/>
      <c r="CMG323" s="14"/>
      <c r="CMH323" s="14"/>
      <c r="CMI323" s="14"/>
      <c r="CMJ323" s="14"/>
      <c r="CMK323" s="14"/>
      <c r="CML323" s="14"/>
      <c r="CMM323" s="14"/>
      <c r="CMN323" s="14"/>
      <c r="CMO323" s="14"/>
      <c r="CMP323" s="14"/>
      <c r="CMQ323" s="14"/>
      <c r="CMR323" s="14"/>
      <c r="CMS323" s="14"/>
      <c r="CMT323" s="14"/>
      <c r="CMU323" s="14"/>
      <c r="CMV323" s="14"/>
      <c r="CMW323" s="14"/>
      <c r="CMX323" s="14"/>
      <c r="CMY323" s="14"/>
      <c r="CMZ323" s="14"/>
      <c r="CNA323" s="14"/>
      <c r="CNB323" s="14"/>
      <c r="CNC323" s="14"/>
      <c r="CND323" s="14"/>
      <c r="CNE323" s="14"/>
      <c r="CNF323" s="14"/>
      <c r="CNG323" s="14"/>
      <c r="CNH323" s="14"/>
      <c r="CNI323" s="14"/>
      <c r="CNJ323" s="14"/>
      <c r="CNK323" s="14"/>
      <c r="CNL323" s="14"/>
      <c r="CNM323" s="14"/>
      <c r="CNN323" s="14"/>
      <c r="CNO323" s="14"/>
      <c r="CNP323" s="14"/>
      <c r="CNQ323" s="14"/>
      <c r="CNR323" s="14"/>
      <c r="CNS323" s="14"/>
      <c r="CNT323" s="14"/>
      <c r="CNU323" s="14"/>
      <c r="CNV323" s="14"/>
      <c r="CNW323" s="14"/>
      <c r="CNX323" s="14"/>
      <c r="CNY323" s="14"/>
      <c r="CNZ323" s="14"/>
      <c r="COA323" s="14"/>
      <c r="COB323" s="14"/>
      <c r="COC323" s="14"/>
      <c r="COD323" s="14"/>
      <c r="COE323" s="14"/>
      <c r="COF323" s="14"/>
      <c r="COG323" s="14"/>
      <c r="COH323" s="14"/>
      <c r="COI323" s="14"/>
      <c r="COJ323" s="14"/>
      <c r="COK323" s="14"/>
      <c r="COL323" s="14"/>
      <c r="COM323" s="14"/>
      <c r="CON323" s="14"/>
      <c r="COO323" s="14"/>
      <c r="COP323" s="14"/>
      <c r="COQ323" s="14"/>
      <c r="COR323" s="14"/>
      <c r="COS323" s="14"/>
      <c r="COT323" s="14"/>
      <c r="COU323" s="14"/>
      <c r="COV323" s="14"/>
      <c r="COW323" s="14"/>
      <c r="COX323" s="14"/>
      <c r="COY323" s="14"/>
      <c r="COZ323" s="14"/>
      <c r="CPA323" s="14"/>
      <c r="CPB323" s="14"/>
      <c r="CPC323" s="14"/>
      <c r="CPD323" s="14"/>
      <c r="CPE323" s="14"/>
      <c r="CPF323" s="14"/>
      <c r="CPG323" s="14"/>
      <c r="CPH323" s="14"/>
      <c r="CPI323" s="14"/>
      <c r="CPJ323" s="14"/>
      <c r="CPK323" s="14"/>
      <c r="CPL323" s="14"/>
      <c r="CPM323" s="14"/>
      <c r="CPN323" s="14"/>
      <c r="CPO323" s="14"/>
      <c r="CPP323" s="14"/>
      <c r="CPQ323" s="14"/>
      <c r="CPR323" s="14"/>
      <c r="CPS323" s="14"/>
      <c r="CPT323" s="14"/>
      <c r="CPU323" s="14"/>
      <c r="CPV323" s="14"/>
      <c r="CPW323" s="14"/>
      <c r="CPX323" s="14"/>
      <c r="CPY323" s="14"/>
      <c r="CPZ323" s="14"/>
      <c r="CQA323" s="14"/>
      <c r="CQB323" s="14"/>
      <c r="CQC323" s="14"/>
      <c r="CQD323" s="14"/>
      <c r="CQE323" s="14"/>
      <c r="CQF323" s="14"/>
      <c r="CQG323" s="14"/>
      <c r="CQH323" s="14"/>
      <c r="CQI323" s="14"/>
      <c r="CQJ323" s="14"/>
      <c r="CQK323" s="14"/>
      <c r="CQL323" s="14"/>
      <c r="CQM323" s="14"/>
      <c r="CQN323" s="14"/>
      <c r="CQO323" s="14"/>
      <c r="CQP323" s="14"/>
      <c r="CQQ323" s="14"/>
      <c r="CQR323" s="14"/>
      <c r="CQS323" s="14"/>
      <c r="CQT323" s="14"/>
      <c r="CQU323" s="14"/>
      <c r="CQV323" s="14"/>
      <c r="CQW323" s="14"/>
      <c r="CQX323" s="14"/>
      <c r="CQY323" s="14"/>
      <c r="CQZ323" s="14"/>
      <c r="CRA323" s="14"/>
      <c r="CRB323" s="14"/>
      <c r="CRC323" s="14"/>
      <c r="CRD323" s="14"/>
      <c r="CRE323" s="14"/>
      <c r="CRF323" s="14"/>
      <c r="CRG323" s="14"/>
      <c r="CRH323" s="14"/>
      <c r="CRI323" s="14"/>
      <c r="CRJ323" s="14"/>
      <c r="CRK323" s="14"/>
      <c r="CRL323" s="14"/>
      <c r="CRM323" s="14"/>
      <c r="CRN323" s="14"/>
      <c r="CRO323" s="14"/>
      <c r="CRP323" s="14"/>
      <c r="CRQ323" s="14"/>
      <c r="CRR323" s="14"/>
      <c r="CRS323" s="14"/>
      <c r="CRT323" s="14"/>
      <c r="CRU323" s="14"/>
      <c r="CRV323" s="14"/>
      <c r="CRW323" s="14"/>
      <c r="CRX323" s="14"/>
      <c r="CRY323" s="14"/>
      <c r="CRZ323" s="14"/>
      <c r="CSA323" s="14"/>
      <c r="CSB323" s="14"/>
      <c r="CSC323" s="14"/>
      <c r="CSD323" s="14"/>
      <c r="CSE323" s="14"/>
      <c r="CSF323" s="14"/>
      <c r="CSG323" s="14"/>
      <c r="CSH323" s="14"/>
      <c r="CSI323" s="14"/>
      <c r="CSJ323" s="14"/>
      <c r="CSK323" s="14"/>
      <c r="CSL323" s="14"/>
      <c r="CSM323" s="14"/>
      <c r="CSN323" s="14"/>
      <c r="CSO323" s="14"/>
      <c r="CSP323" s="14"/>
      <c r="CSQ323" s="14"/>
      <c r="CSR323" s="14"/>
      <c r="CSS323" s="14"/>
      <c r="CST323" s="14"/>
      <c r="CSU323" s="14"/>
      <c r="CSV323" s="14"/>
      <c r="CSW323" s="14"/>
      <c r="CSX323" s="14"/>
      <c r="CSY323" s="14"/>
      <c r="CSZ323" s="14"/>
      <c r="CTA323" s="14"/>
      <c r="CTB323" s="14"/>
      <c r="CTC323" s="14"/>
      <c r="CTD323" s="14"/>
      <c r="CTE323" s="14"/>
      <c r="CTF323" s="14"/>
      <c r="CTG323" s="14"/>
      <c r="CTH323" s="14"/>
      <c r="CTI323" s="14"/>
      <c r="CTJ323" s="14"/>
      <c r="CTK323" s="14"/>
      <c r="CTL323" s="14"/>
      <c r="CTM323" s="14"/>
      <c r="CTN323" s="14"/>
      <c r="CTO323" s="14"/>
      <c r="CTP323" s="14"/>
      <c r="CTQ323" s="14"/>
      <c r="CTR323" s="14"/>
      <c r="CTS323" s="14"/>
      <c r="CTT323" s="14"/>
      <c r="CTU323" s="14"/>
      <c r="CTV323" s="14"/>
      <c r="CTW323" s="14"/>
      <c r="CTX323" s="14"/>
      <c r="CTY323" s="14"/>
      <c r="CTZ323" s="14"/>
      <c r="CUA323" s="14"/>
      <c r="CUB323" s="14"/>
      <c r="CUC323" s="14"/>
      <c r="CUD323" s="14"/>
      <c r="CUE323" s="14"/>
      <c r="CUF323" s="14"/>
      <c r="CUG323" s="14"/>
      <c r="CUH323" s="14"/>
      <c r="CUI323" s="14"/>
      <c r="CUJ323" s="14"/>
      <c r="CUK323" s="14"/>
      <c r="CUL323" s="14"/>
      <c r="CUM323" s="14"/>
      <c r="CUN323" s="14"/>
      <c r="CUO323" s="14"/>
      <c r="CUP323" s="14"/>
      <c r="CUQ323" s="14"/>
      <c r="CUR323" s="14"/>
      <c r="CUS323" s="14"/>
      <c r="CUT323" s="14"/>
      <c r="CUU323" s="14"/>
      <c r="CUV323" s="14"/>
      <c r="CUW323" s="14"/>
      <c r="CUX323" s="14"/>
      <c r="CUY323" s="14"/>
      <c r="CUZ323" s="14"/>
      <c r="CVA323" s="14"/>
      <c r="CVB323" s="14"/>
      <c r="CVC323" s="14"/>
      <c r="CVD323" s="14"/>
      <c r="CVE323" s="14"/>
      <c r="CVF323" s="14"/>
      <c r="CVG323" s="14"/>
      <c r="CVH323" s="14"/>
      <c r="CVI323" s="14"/>
      <c r="CVJ323" s="14"/>
      <c r="CVK323" s="14"/>
      <c r="CVL323" s="14"/>
      <c r="CVM323" s="14"/>
      <c r="CVN323" s="14"/>
      <c r="CVO323" s="14"/>
      <c r="CVP323" s="14"/>
      <c r="CVQ323" s="14"/>
      <c r="CVR323" s="14"/>
      <c r="CVS323" s="14"/>
      <c r="CVT323" s="14"/>
      <c r="CVU323" s="14"/>
      <c r="CVV323" s="14"/>
      <c r="CVW323" s="14"/>
      <c r="CVX323" s="14"/>
      <c r="CVY323" s="14"/>
      <c r="CVZ323" s="14"/>
      <c r="CWA323" s="14"/>
      <c r="CWB323" s="14"/>
      <c r="CWC323" s="14"/>
      <c r="CWD323" s="14"/>
      <c r="CWE323" s="14"/>
      <c r="CWF323" s="14"/>
      <c r="CWG323" s="14"/>
      <c r="CWH323" s="14"/>
      <c r="CWI323" s="14"/>
      <c r="CWJ323" s="14"/>
      <c r="CWK323" s="14"/>
      <c r="CWL323" s="14"/>
      <c r="CWM323" s="14"/>
      <c r="CWN323" s="14"/>
      <c r="CWO323" s="14"/>
      <c r="CWP323" s="14"/>
      <c r="CWQ323" s="14"/>
      <c r="CWR323" s="14"/>
      <c r="CWS323" s="14"/>
      <c r="CWT323" s="14"/>
      <c r="CWU323" s="14"/>
      <c r="CWV323" s="14"/>
      <c r="CWW323" s="14"/>
      <c r="CWX323" s="14"/>
      <c r="CWY323" s="14"/>
      <c r="CWZ323" s="14"/>
      <c r="CXA323" s="14"/>
      <c r="CXB323" s="14"/>
      <c r="CXC323" s="14"/>
      <c r="CXD323" s="14"/>
      <c r="CXE323" s="14"/>
      <c r="CXF323" s="14"/>
      <c r="CXG323" s="14"/>
      <c r="CXH323" s="14"/>
      <c r="CXI323" s="14"/>
      <c r="CXJ323" s="14"/>
      <c r="CXK323" s="14"/>
      <c r="CXL323" s="14"/>
      <c r="CXM323" s="14"/>
      <c r="CXN323" s="14"/>
      <c r="CXO323" s="14"/>
      <c r="CXP323" s="14"/>
      <c r="CXQ323" s="14"/>
      <c r="CXR323" s="14"/>
      <c r="CXS323" s="14"/>
      <c r="CXT323" s="14"/>
      <c r="CXU323" s="14"/>
      <c r="CXV323" s="14"/>
      <c r="CXW323" s="14"/>
      <c r="CXX323" s="14"/>
      <c r="CXY323" s="14"/>
      <c r="CXZ323" s="14"/>
      <c r="CYA323" s="14"/>
      <c r="CYB323" s="14"/>
      <c r="CYC323" s="14"/>
      <c r="CYD323" s="14"/>
      <c r="CYE323" s="14"/>
      <c r="CYF323" s="14"/>
      <c r="CYG323" s="14"/>
      <c r="CYH323" s="14"/>
      <c r="CYI323" s="14"/>
      <c r="CYJ323" s="14"/>
      <c r="CYK323" s="14"/>
      <c r="CYL323" s="14"/>
      <c r="CYM323" s="14"/>
      <c r="CYN323" s="14"/>
      <c r="CYO323" s="14"/>
      <c r="CYP323" s="14"/>
      <c r="CYQ323" s="14"/>
      <c r="CYR323" s="14"/>
      <c r="CYS323" s="14"/>
      <c r="CYT323" s="14"/>
      <c r="CYU323" s="14"/>
      <c r="CYV323" s="14"/>
      <c r="CYW323" s="14"/>
      <c r="CYX323" s="14"/>
      <c r="CYY323" s="14"/>
      <c r="CYZ323" s="14"/>
      <c r="CZA323" s="14"/>
      <c r="CZB323" s="14"/>
      <c r="CZC323" s="14"/>
      <c r="CZD323" s="14"/>
      <c r="CZE323" s="14"/>
      <c r="CZF323" s="14"/>
      <c r="CZG323" s="14"/>
      <c r="CZH323" s="14"/>
      <c r="CZI323" s="14"/>
      <c r="CZJ323" s="14"/>
      <c r="CZK323" s="14"/>
      <c r="CZL323" s="14"/>
      <c r="CZM323" s="14"/>
      <c r="CZN323" s="14"/>
      <c r="CZO323" s="14"/>
      <c r="CZP323" s="14"/>
      <c r="CZQ323" s="14"/>
      <c r="CZR323" s="14"/>
      <c r="CZS323" s="14"/>
      <c r="CZT323" s="14"/>
      <c r="CZU323" s="14"/>
      <c r="CZV323" s="14"/>
      <c r="CZW323" s="14"/>
      <c r="CZX323" s="14"/>
      <c r="CZY323" s="14"/>
      <c r="CZZ323" s="14"/>
      <c r="DAA323" s="14"/>
      <c r="DAB323" s="14"/>
      <c r="DAC323" s="14"/>
      <c r="DAD323" s="14"/>
      <c r="DAE323" s="14"/>
      <c r="DAF323" s="14"/>
      <c r="DAG323" s="14"/>
      <c r="DAH323" s="14"/>
      <c r="DAI323" s="14"/>
      <c r="DAJ323" s="14"/>
      <c r="DAK323" s="14"/>
      <c r="DAL323" s="14"/>
      <c r="DAM323" s="14"/>
      <c r="DAN323" s="14"/>
      <c r="DAO323" s="14"/>
      <c r="DAP323" s="14"/>
      <c r="DAQ323" s="14"/>
      <c r="DAR323" s="14"/>
      <c r="DAS323" s="14"/>
      <c r="DAT323" s="14"/>
      <c r="DAU323" s="14"/>
      <c r="DAV323" s="14"/>
      <c r="DAW323" s="14"/>
      <c r="DAX323" s="14"/>
      <c r="DAY323" s="14"/>
      <c r="DAZ323" s="14"/>
      <c r="DBA323" s="14"/>
      <c r="DBB323" s="14"/>
      <c r="DBC323" s="14"/>
      <c r="DBD323" s="14"/>
      <c r="DBE323" s="14"/>
      <c r="DBF323" s="14"/>
      <c r="DBG323" s="14"/>
      <c r="DBH323" s="14"/>
      <c r="DBI323" s="14"/>
      <c r="DBJ323" s="14"/>
      <c r="DBK323" s="14"/>
      <c r="DBL323" s="14"/>
      <c r="DBM323" s="14"/>
      <c r="DBN323" s="14"/>
      <c r="DBO323" s="14"/>
      <c r="DBP323" s="14"/>
      <c r="DBQ323" s="14"/>
      <c r="DBR323" s="14"/>
      <c r="DBS323" s="14"/>
      <c r="DBT323" s="14"/>
      <c r="DBU323" s="14"/>
      <c r="DBV323" s="14"/>
      <c r="DBW323" s="14"/>
      <c r="DBX323" s="14"/>
      <c r="DBY323" s="14"/>
      <c r="DBZ323" s="14"/>
      <c r="DCA323" s="14"/>
      <c r="DCB323" s="14"/>
      <c r="DCC323" s="14"/>
      <c r="DCD323" s="14"/>
      <c r="DCE323" s="14"/>
      <c r="DCF323" s="14"/>
      <c r="DCG323" s="14"/>
      <c r="DCH323" s="14"/>
      <c r="DCI323" s="14"/>
      <c r="DCJ323" s="14"/>
      <c r="DCK323" s="14"/>
      <c r="DCL323" s="14"/>
      <c r="DCM323" s="14"/>
      <c r="DCN323" s="14"/>
      <c r="DCO323" s="14"/>
      <c r="DCP323" s="14"/>
      <c r="DCQ323" s="14"/>
      <c r="DCR323" s="14"/>
      <c r="DCS323" s="14"/>
      <c r="DCT323" s="14"/>
      <c r="DCU323" s="14"/>
      <c r="DCV323" s="14"/>
      <c r="DCW323" s="14"/>
      <c r="DCX323" s="14"/>
      <c r="DCY323" s="14"/>
      <c r="DCZ323" s="14"/>
      <c r="DDA323" s="14"/>
      <c r="DDB323" s="14"/>
      <c r="DDC323" s="14"/>
      <c r="DDD323" s="14"/>
      <c r="DDE323" s="14"/>
      <c r="DDF323" s="14"/>
      <c r="DDG323" s="14"/>
      <c r="DDH323" s="14"/>
      <c r="DDI323" s="14"/>
      <c r="DDJ323" s="14"/>
      <c r="DDK323" s="14"/>
      <c r="DDL323" s="14"/>
      <c r="DDM323" s="14"/>
      <c r="DDN323" s="14"/>
      <c r="DDO323" s="14"/>
      <c r="DDP323" s="14"/>
      <c r="DDQ323" s="14"/>
      <c r="DDR323" s="14"/>
      <c r="DDS323" s="14"/>
      <c r="DDT323" s="14"/>
      <c r="DDU323" s="14"/>
      <c r="DDV323" s="14"/>
      <c r="DDW323" s="14"/>
      <c r="DDX323" s="14"/>
      <c r="DDY323" s="14"/>
      <c r="DDZ323" s="14"/>
      <c r="DEA323" s="14"/>
      <c r="DEB323" s="14"/>
      <c r="DEC323" s="14"/>
      <c r="DED323" s="14"/>
      <c r="DEE323" s="14"/>
      <c r="DEF323" s="14"/>
      <c r="DEG323" s="14"/>
      <c r="DEH323" s="14"/>
      <c r="DEI323" s="14"/>
      <c r="DEJ323" s="14"/>
      <c r="DEK323" s="14"/>
      <c r="DEL323" s="14"/>
      <c r="DEM323" s="14"/>
      <c r="DEN323" s="14"/>
      <c r="DEO323" s="14"/>
      <c r="DEP323" s="14"/>
      <c r="DEQ323" s="14"/>
      <c r="DER323" s="14"/>
      <c r="DES323" s="14"/>
      <c r="DET323" s="14"/>
      <c r="DEU323" s="14"/>
      <c r="DEV323" s="14"/>
      <c r="DEW323" s="14"/>
      <c r="DEX323" s="14"/>
      <c r="DEY323" s="14"/>
      <c r="DEZ323" s="14"/>
      <c r="DFA323" s="14"/>
      <c r="DFB323" s="14"/>
      <c r="DFC323" s="14"/>
      <c r="DFD323" s="14"/>
      <c r="DFE323" s="14"/>
      <c r="DFF323" s="14"/>
      <c r="DFG323" s="14"/>
      <c r="DFH323" s="14"/>
      <c r="DFI323" s="14"/>
      <c r="DFJ323" s="14"/>
      <c r="DFK323" s="14"/>
      <c r="DFL323" s="14"/>
      <c r="DFM323" s="14"/>
      <c r="DFN323" s="14"/>
      <c r="DFO323" s="14"/>
      <c r="DFP323" s="14"/>
      <c r="DFQ323" s="14"/>
      <c r="DFR323" s="14"/>
      <c r="DFS323" s="14"/>
      <c r="DFT323" s="14"/>
      <c r="DFU323" s="14"/>
      <c r="DFV323" s="14"/>
      <c r="DFW323" s="14"/>
      <c r="DFX323" s="14"/>
      <c r="DFY323" s="14"/>
      <c r="DFZ323" s="14"/>
      <c r="DGA323" s="14"/>
      <c r="DGB323" s="14"/>
      <c r="DGC323" s="14"/>
      <c r="DGD323" s="14"/>
      <c r="DGE323" s="14"/>
      <c r="DGF323" s="14"/>
      <c r="DGG323" s="14"/>
      <c r="DGH323" s="14"/>
      <c r="DGI323" s="14"/>
      <c r="DGJ323" s="14"/>
      <c r="DGK323" s="14"/>
      <c r="DGL323" s="14"/>
      <c r="DGM323" s="14"/>
      <c r="DGN323" s="14"/>
      <c r="DGO323" s="14"/>
      <c r="DGP323" s="14"/>
      <c r="DGQ323" s="14"/>
      <c r="DGR323" s="14"/>
      <c r="DGS323" s="14"/>
      <c r="DGT323" s="14"/>
      <c r="DGU323" s="14"/>
      <c r="DGV323" s="14"/>
      <c r="DGW323" s="14"/>
      <c r="DGX323" s="14"/>
      <c r="DGY323" s="14"/>
      <c r="DGZ323" s="14"/>
      <c r="DHA323" s="14"/>
      <c r="DHB323" s="14"/>
      <c r="DHC323" s="14"/>
      <c r="DHD323" s="14"/>
      <c r="DHE323" s="14"/>
      <c r="DHF323" s="14"/>
      <c r="DHG323" s="14"/>
      <c r="DHH323" s="14"/>
      <c r="DHI323" s="14"/>
      <c r="DHJ323" s="14"/>
      <c r="DHK323" s="14"/>
      <c r="DHL323" s="14"/>
      <c r="DHM323" s="14"/>
      <c r="DHN323" s="14"/>
      <c r="DHO323" s="14"/>
      <c r="DHP323" s="14"/>
      <c r="DHQ323" s="14"/>
      <c r="DHR323" s="14"/>
      <c r="DHS323" s="14"/>
      <c r="DHT323" s="14"/>
      <c r="DHU323" s="14"/>
      <c r="DHV323" s="14"/>
      <c r="DHW323" s="14"/>
      <c r="DHX323" s="14"/>
      <c r="DHY323" s="14"/>
      <c r="DHZ323" s="14"/>
      <c r="DIA323" s="14"/>
      <c r="DIB323" s="14"/>
      <c r="DIC323" s="14"/>
      <c r="DID323" s="14"/>
      <c r="DIE323" s="14"/>
      <c r="DIF323" s="14"/>
      <c r="DIG323" s="14"/>
      <c r="DIH323" s="14"/>
      <c r="DII323" s="14"/>
      <c r="DIJ323" s="14"/>
      <c r="DIK323" s="14"/>
      <c r="DIL323" s="14"/>
      <c r="DIM323" s="14"/>
      <c r="DIN323" s="14"/>
      <c r="DIO323" s="14"/>
      <c r="DIP323" s="14"/>
      <c r="DIQ323" s="14"/>
      <c r="DIR323" s="14"/>
      <c r="DIS323" s="14"/>
      <c r="DIT323" s="14"/>
      <c r="DIU323" s="14"/>
      <c r="DIV323" s="14"/>
      <c r="DIW323" s="14"/>
      <c r="DIX323" s="14"/>
      <c r="DIY323" s="14"/>
      <c r="DIZ323" s="14"/>
      <c r="DJA323" s="14"/>
      <c r="DJB323" s="14"/>
      <c r="DJC323" s="14"/>
      <c r="DJD323" s="14"/>
      <c r="DJE323" s="14"/>
      <c r="DJF323" s="14"/>
      <c r="DJG323" s="14"/>
      <c r="DJH323" s="14"/>
      <c r="DJI323" s="14"/>
      <c r="DJJ323" s="14"/>
      <c r="DJK323" s="14"/>
      <c r="DJL323" s="14"/>
      <c r="DJM323" s="14"/>
      <c r="DJN323" s="14"/>
      <c r="DJO323" s="14"/>
      <c r="DJP323" s="14"/>
      <c r="DJQ323" s="14"/>
      <c r="DJR323" s="14"/>
      <c r="DJS323" s="14"/>
      <c r="DJT323" s="14"/>
      <c r="DJU323" s="14"/>
      <c r="DJV323" s="14"/>
      <c r="DJW323" s="14"/>
      <c r="DJX323" s="14"/>
      <c r="DJY323" s="14"/>
      <c r="DJZ323" s="14"/>
      <c r="DKA323" s="14"/>
      <c r="DKB323" s="14"/>
      <c r="DKC323" s="14"/>
      <c r="DKD323" s="14"/>
      <c r="DKE323" s="14"/>
      <c r="DKF323" s="14"/>
      <c r="DKG323" s="14"/>
      <c r="DKH323" s="14"/>
      <c r="DKI323" s="14"/>
      <c r="DKJ323" s="14"/>
      <c r="DKK323" s="14"/>
      <c r="DKL323" s="14"/>
      <c r="DKM323" s="14"/>
      <c r="DKN323" s="14"/>
      <c r="DKO323" s="14"/>
      <c r="DKP323" s="14"/>
      <c r="DKQ323" s="14"/>
      <c r="DKR323" s="14"/>
      <c r="DKS323" s="14"/>
      <c r="DKT323" s="14"/>
      <c r="DKU323" s="14"/>
      <c r="DKV323" s="14"/>
      <c r="DKW323" s="14"/>
      <c r="DKX323" s="14"/>
      <c r="DKY323" s="14"/>
      <c r="DKZ323" s="14"/>
      <c r="DLA323" s="14"/>
      <c r="DLB323" s="14"/>
      <c r="DLC323" s="14"/>
      <c r="DLD323" s="14"/>
      <c r="DLE323" s="14"/>
      <c r="DLF323" s="14"/>
      <c r="DLG323" s="14"/>
      <c r="DLH323" s="14"/>
      <c r="DLI323" s="14"/>
      <c r="DLJ323" s="14"/>
      <c r="DLK323" s="14"/>
      <c r="DLL323" s="14"/>
      <c r="DLM323" s="14"/>
      <c r="DLN323" s="14"/>
      <c r="DLO323" s="14"/>
      <c r="DLP323" s="14"/>
      <c r="DLQ323" s="14"/>
      <c r="DLR323" s="14"/>
      <c r="DLS323" s="14"/>
      <c r="DLT323" s="14"/>
      <c r="DLU323" s="14"/>
      <c r="DLV323" s="14"/>
      <c r="DLW323" s="14"/>
      <c r="DLX323" s="14"/>
      <c r="DLY323" s="14"/>
      <c r="DLZ323" s="14"/>
      <c r="DMA323" s="14"/>
      <c r="DMB323" s="14"/>
      <c r="DMC323" s="14"/>
      <c r="DMD323" s="14"/>
      <c r="DME323" s="14"/>
      <c r="DMF323" s="14"/>
      <c r="DMG323" s="14"/>
      <c r="DMH323" s="14"/>
      <c r="DMI323" s="14"/>
      <c r="DMJ323" s="14"/>
      <c r="DMK323" s="14"/>
      <c r="DML323" s="14"/>
      <c r="DMM323" s="14"/>
      <c r="DMN323" s="14"/>
      <c r="DMO323" s="14"/>
      <c r="DMP323" s="14"/>
      <c r="DMQ323" s="14"/>
      <c r="DMR323" s="14"/>
      <c r="DMS323" s="14"/>
      <c r="DMT323" s="14"/>
      <c r="DMU323" s="14"/>
      <c r="DMV323" s="14"/>
      <c r="DMW323" s="14"/>
      <c r="DMX323" s="14"/>
      <c r="DMY323" s="14"/>
      <c r="DMZ323" s="14"/>
      <c r="DNA323" s="14"/>
      <c r="DNB323" s="14"/>
      <c r="DNC323" s="14"/>
      <c r="DND323" s="14"/>
      <c r="DNE323" s="14"/>
      <c r="DNF323" s="14"/>
      <c r="DNG323" s="14"/>
      <c r="DNH323" s="14"/>
      <c r="DNI323" s="14"/>
      <c r="DNJ323" s="14"/>
      <c r="DNK323" s="14"/>
      <c r="DNL323" s="14"/>
      <c r="DNM323" s="14"/>
      <c r="DNN323" s="14"/>
      <c r="DNO323" s="14"/>
      <c r="DNP323" s="14"/>
      <c r="DNQ323" s="14"/>
      <c r="DNR323" s="14"/>
      <c r="DNS323" s="14"/>
      <c r="DNT323" s="14"/>
      <c r="DNU323" s="14"/>
      <c r="DNV323" s="14"/>
      <c r="DNW323" s="14"/>
      <c r="DNX323" s="14"/>
      <c r="DNY323" s="14"/>
      <c r="DNZ323" s="14"/>
      <c r="DOA323" s="14"/>
      <c r="DOB323" s="14"/>
      <c r="DOC323" s="14"/>
      <c r="DOD323" s="14"/>
      <c r="DOE323" s="14"/>
      <c r="DOF323" s="14"/>
      <c r="DOG323" s="14"/>
      <c r="DOH323" s="14"/>
      <c r="DOI323" s="14"/>
      <c r="DOJ323" s="14"/>
      <c r="DOK323" s="14"/>
      <c r="DOL323" s="14"/>
      <c r="DOM323" s="14"/>
      <c r="DON323" s="14"/>
      <c r="DOO323" s="14"/>
      <c r="DOP323" s="14"/>
      <c r="DOQ323" s="14"/>
      <c r="DOR323" s="14"/>
      <c r="DOS323" s="14"/>
      <c r="DOT323" s="14"/>
      <c r="DOU323" s="14"/>
      <c r="DOV323" s="14"/>
      <c r="DOW323" s="14"/>
      <c r="DOX323" s="14"/>
      <c r="DOY323" s="14"/>
      <c r="DOZ323" s="14"/>
      <c r="DPA323" s="14"/>
      <c r="DPB323" s="14"/>
      <c r="DPC323" s="14"/>
      <c r="DPD323" s="14"/>
      <c r="DPE323" s="14"/>
      <c r="DPF323" s="14"/>
      <c r="DPG323" s="14"/>
      <c r="DPH323" s="14"/>
      <c r="DPI323" s="14"/>
      <c r="DPJ323" s="14"/>
      <c r="DPK323" s="14"/>
      <c r="DPL323" s="14"/>
      <c r="DPM323" s="14"/>
      <c r="DPN323" s="14"/>
      <c r="DPO323" s="14"/>
      <c r="DPP323" s="14"/>
      <c r="DPQ323" s="14"/>
      <c r="DPR323" s="14"/>
      <c r="DPS323" s="14"/>
      <c r="DPT323" s="14"/>
      <c r="DPU323" s="14"/>
      <c r="DPV323" s="14"/>
      <c r="DPW323" s="14"/>
      <c r="DPX323" s="14"/>
      <c r="DPY323" s="14"/>
      <c r="DPZ323" s="14"/>
      <c r="DQA323" s="14"/>
      <c r="DQB323" s="14"/>
      <c r="DQC323" s="14"/>
      <c r="DQD323" s="14"/>
      <c r="DQE323" s="14"/>
      <c r="DQF323" s="14"/>
      <c r="DQG323" s="14"/>
      <c r="DQH323" s="14"/>
      <c r="DQI323" s="14"/>
      <c r="DQJ323" s="14"/>
      <c r="DQK323" s="14"/>
      <c r="DQL323" s="14"/>
      <c r="DQM323" s="14"/>
      <c r="DQN323" s="14"/>
      <c r="DQO323" s="14"/>
      <c r="DQP323" s="14"/>
      <c r="DQQ323" s="14"/>
      <c r="DQR323" s="14"/>
      <c r="DQS323" s="14"/>
      <c r="DQT323" s="14"/>
      <c r="DQU323" s="14"/>
      <c r="DQV323" s="14"/>
      <c r="DQW323" s="14"/>
      <c r="DQX323" s="14"/>
      <c r="DQY323" s="14"/>
      <c r="DQZ323" s="14"/>
      <c r="DRA323" s="14"/>
      <c r="DRB323" s="14"/>
      <c r="DRC323" s="14"/>
      <c r="DRD323" s="14"/>
      <c r="DRE323" s="14"/>
      <c r="DRF323" s="14"/>
      <c r="DRG323" s="14"/>
      <c r="DRH323" s="14"/>
      <c r="DRI323" s="14"/>
      <c r="DRJ323" s="14"/>
      <c r="DRK323" s="14"/>
      <c r="DRL323" s="14"/>
      <c r="DRM323" s="14"/>
      <c r="DRN323" s="14"/>
      <c r="DRO323" s="14"/>
      <c r="DRP323" s="14"/>
      <c r="DRQ323" s="14"/>
      <c r="DRR323" s="14"/>
      <c r="DRS323" s="14"/>
      <c r="DRT323" s="14"/>
      <c r="DRU323" s="14"/>
      <c r="DRV323" s="14"/>
      <c r="DRW323" s="14"/>
      <c r="DRX323" s="14"/>
      <c r="DRY323" s="14"/>
      <c r="DRZ323" s="14"/>
      <c r="DSA323" s="14"/>
      <c r="DSB323" s="14"/>
      <c r="DSC323" s="14"/>
      <c r="DSD323" s="14"/>
      <c r="DSE323" s="14"/>
      <c r="DSF323" s="14"/>
      <c r="DSG323" s="14"/>
      <c r="DSH323" s="14"/>
      <c r="DSI323" s="14"/>
      <c r="DSJ323" s="14"/>
      <c r="DSK323" s="14"/>
      <c r="DSL323" s="14"/>
      <c r="DSM323" s="14"/>
      <c r="DSN323" s="14"/>
      <c r="DSO323" s="14"/>
      <c r="DSP323" s="14"/>
      <c r="DSQ323" s="14"/>
      <c r="DSR323" s="14"/>
      <c r="DSS323" s="14"/>
      <c r="DST323" s="14"/>
      <c r="DSU323" s="14"/>
      <c r="DSV323" s="14"/>
      <c r="DSW323" s="14"/>
      <c r="DSX323" s="14"/>
      <c r="DSY323" s="14"/>
      <c r="DSZ323" s="14"/>
      <c r="DTA323" s="14"/>
      <c r="DTB323" s="14"/>
      <c r="DTC323" s="14"/>
      <c r="DTD323" s="14"/>
      <c r="DTE323" s="14"/>
      <c r="DTF323" s="14"/>
      <c r="DTG323" s="14"/>
      <c r="DTH323" s="14"/>
      <c r="DTI323" s="14"/>
      <c r="DTJ323" s="14"/>
      <c r="DTK323" s="14"/>
      <c r="DTL323" s="14"/>
      <c r="DTM323" s="14"/>
      <c r="DTN323" s="14"/>
      <c r="DTO323" s="14"/>
      <c r="DTP323" s="14"/>
      <c r="DTQ323" s="14"/>
      <c r="DTR323" s="14"/>
      <c r="DTS323" s="14"/>
      <c r="DTT323" s="14"/>
      <c r="DTU323" s="14"/>
      <c r="DTV323" s="14"/>
      <c r="DTW323" s="14"/>
      <c r="DTX323" s="14"/>
      <c r="DTY323" s="14"/>
      <c r="DTZ323" s="14"/>
      <c r="DUA323" s="14"/>
      <c r="DUB323" s="14"/>
      <c r="DUC323" s="14"/>
      <c r="DUD323" s="14"/>
      <c r="DUE323" s="14"/>
      <c r="DUF323" s="14"/>
      <c r="DUG323" s="14"/>
      <c r="DUH323" s="14"/>
      <c r="DUI323" s="14"/>
      <c r="DUJ323" s="14"/>
      <c r="DUK323" s="14"/>
      <c r="DUL323" s="14"/>
      <c r="DUM323" s="14"/>
      <c r="DUN323" s="14"/>
      <c r="DUO323" s="14"/>
      <c r="DUP323" s="14"/>
      <c r="DUQ323" s="14"/>
      <c r="DUR323" s="14"/>
      <c r="DUS323" s="14"/>
      <c r="DUT323" s="14"/>
      <c r="DUU323" s="14"/>
      <c r="DUV323" s="14"/>
      <c r="DUW323" s="14"/>
      <c r="DUX323" s="14"/>
      <c r="DUY323" s="14"/>
      <c r="DUZ323" s="14"/>
      <c r="DVA323" s="14"/>
      <c r="DVB323" s="14"/>
      <c r="DVC323" s="14"/>
      <c r="DVD323" s="14"/>
      <c r="DVE323" s="14"/>
      <c r="DVF323" s="14"/>
      <c r="DVG323" s="14"/>
      <c r="DVH323" s="14"/>
      <c r="DVI323" s="14"/>
      <c r="DVJ323" s="14"/>
      <c r="DVK323" s="14"/>
      <c r="DVL323" s="14"/>
      <c r="DVM323" s="14"/>
      <c r="DVN323" s="14"/>
      <c r="DVO323" s="14"/>
      <c r="DVP323" s="14"/>
      <c r="DVQ323" s="14"/>
      <c r="DVR323" s="14"/>
      <c r="DVS323" s="14"/>
      <c r="DVT323" s="14"/>
      <c r="DVU323" s="14"/>
      <c r="DVV323" s="14"/>
      <c r="DVW323" s="14"/>
      <c r="DVX323" s="14"/>
      <c r="DVY323" s="14"/>
      <c r="DVZ323" s="14"/>
      <c r="DWA323" s="14"/>
      <c r="DWB323" s="14"/>
      <c r="DWC323" s="14"/>
      <c r="DWD323" s="14"/>
      <c r="DWE323" s="14"/>
      <c r="DWF323" s="14"/>
      <c r="DWG323" s="14"/>
      <c r="DWH323" s="14"/>
      <c r="DWI323" s="14"/>
      <c r="DWJ323" s="14"/>
      <c r="DWK323" s="14"/>
      <c r="DWL323" s="14"/>
      <c r="DWM323" s="14"/>
      <c r="DWN323" s="14"/>
      <c r="DWO323" s="14"/>
      <c r="DWP323" s="14"/>
      <c r="DWQ323" s="14"/>
      <c r="DWR323" s="14"/>
      <c r="DWS323" s="14"/>
      <c r="DWT323" s="14"/>
      <c r="DWU323" s="14"/>
      <c r="DWV323" s="14"/>
      <c r="DWW323" s="14"/>
      <c r="DWX323" s="14"/>
      <c r="DWY323" s="14"/>
      <c r="DWZ323" s="14"/>
      <c r="DXA323" s="14"/>
      <c r="DXB323" s="14"/>
      <c r="DXC323" s="14"/>
      <c r="DXD323" s="14"/>
      <c r="DXE323" s="14"/>
      <c r="DXF323" s="14"/>
      <c r="DXG323" s="14"/>
      <c r="DXH323" s="14"/>
      <c r="DXI323" s="14"/>
      <c r="DXJ323" s="14"/>
      <c r="DXK323" s="14"/>
      <c r="DXL323" s="14"/>
      <c r="DXM323" s="14"/>
      <c r="DXN323" s="14"/>
      <c r="DXO323" s="14"/>
      <c r="DXP323" s="14"/>
      <c r="DXQ323" s="14"/>
      <c r="DXR323" s="14"/>
      <c r="DXS323" s="14"/>
      <c r="DXT323" s="14"/>
      <c r="DXU323" s="14"/>
      <c r="DXV323" s="14"/>
      <c r="DXW323" s="14"/>
      <c r="DXX323" s="14"/>
      <c r="DXY323" s="14"/>
      <c r="DXZ323" s="14"/>
      <c r="DYA323" s="14"/>
      <c r="DYB323" s="14"/>
      <c r="DYC323" s="14"/>
      <c r="DYD323" s="14"/>
      <c r="DYE323" s="14"/>
      <c r="DYF323" s="14"/>
      <c r="DYG323" s="14"/>
      <c r="DYH323" s="14"/>
      <c r="DYI323" s="14"/>
      <c r="DYJ323" s="14"/>
      <c r="DYK323" s="14"/>
      <c r="DYL323" s="14"/>
      <c r="DYM323" s="14"/>
      <c r="DYN323" s="14"/>
      <c r="DYO323" s="14"/>
      <c r="DYP323" s="14"/>
      <c r="DYQ323" s="14"/>
      <c r="DYR323" s="14"/>
      <c r="DYS323" s="14"/>
      <c r="DYT323" s="14"/>
      <c r="DYU323" s="14"/>
      <c r="DYV323" s="14"/>
      <c r="DYW323" s="14"/>
      <c r="DYX323" s="14"/>
      <c r="DYY323" s="14"/>
      <c r="DYZ323" s="14"/>
      <c r="DZA323" s="14"/>
      <c r="DZB323" s="14"/>
      <c r="DZC323" s="14"/>
      <c r="DZD323" s="14"/>
      <c r="DZE323" s="14"/>
      <c r="DZF323" s="14"/>
      <c r="DZG323" s="14"/>
      <c r="DZH323" s="14"/>
      <c r="DZI323" s="14"/>
      <c r="DZJ323" s="14"/>
      <c r="DZK323" s="14"/>
      <c r="DZL323" s="14"/>
      <c r="DZM323" s="14"/>
      <c r="DZN323" s="14"/>
      <c r="DZO323" s="14"/>
      <c r="DZP323" s="14"/>
      <c r="DZQ323" s="14"/>
      <c r="DZR323" s="14"/>
      <c r="DZS323" s="14"/>
      <c r="DZT323" s="14"/>
      <c r="DZU323" s="14"/>
      <c r="DZV323" s="14"/>
      <c r="DZW323" s="14"/>
      <c r="DZX323" s="14"/>
      <c r="DZY323" s="14"/>
      <c r="DZZ323" s="14"/>
      <c r="EAA323" s="14"/>
      <c r="EAB323" s="14"/>
      <c r="EAC323" s="14"/>
      <c r="EAD323" s="14"/>
      <c r="EAE323" s="14"/>
      <c r="EAF323" s="14"/>
      <c r="EAG323" s="14"/>
      <c r="EAH323" s="14"/>
      <c r="EAI323" s="14"/>
      <c r="EAJ323" s="14"/>
      <c r="EAK323" s="14"/>
      <c r="EAL323" s="14"/>
      <c r="EAM323" s="14"/>
      <c r="EAN323" s="14"/>
      <c r="EAO323" s="14"/>
      <c r="EAP323" s="14"/>
      <c r="EAQ323" s="14"/>
      <c r="EAR323" s="14"/>
      <c r="EAS323" s="14"/>
      <c r="EAT323" s="14"/>
      <c r="EAU323" s="14"/>
      <c r="EAV323" s="14"/>
      <c r="EAW323" s="14"/>
      <c r="EAX323" s="14"/>
      <c r="EAY323" s="14"/>
      <c r="EAZ323" s="14"/>
      <c r="EBA323" s="14"/>
      <c r="EBB323" s="14"/>
      <c r="EBC323" s="14"/>
      <c r="EBD323" s="14"/>
      <c r="EBE323" s="14"/>
      <c r="EBF323" s="14"/>
      <c r="EBG323" s="14"/>
      <c r="EBH323" s="14"/>
      <c r="EBI323" s="14"/>
      <c r="EBJ323" s="14"/>
      <c r="EBK323" s="14"/>
      <c r="EBL323" s="14"/>
      <c r="EBM323" s="14"/>
      <c r="EBN323" s="14"/>
      <c r="EBO323" s="14"/>
      <c r="EBP323" s="14"/>
      <c r="EBQ323" s="14"/>
      <c r="EBR323" s="14"/>
      <c r="EBS323" s="14"/>
      <c r="EBT323" s="14"/>
      <c r="EBU323" s="14"/>
      <c r="EBV323" s="14"/>
      <c r="EBW323" s="14"/>
      <c r="EBX323" s="14"/>
      <c r="EBY323" s="14"/>
      <c r="EBZ323" s="14"/>
      <c r="ECA323" s="14"/>
      <c r="ECB323" s="14"/>
      <c r="ECC323" s="14"/>
      <c r="ECD323" s="14"/>
      <c r="ECE323" s="14"/>
      <c r="ECF323" s="14"/>
      <c r="ECG323" s="14"/>
      <c r="ECH323" s="14"/>
      <c r="ECI323" s="14"/>
      <c r="ECJ323" s="14"/>
      <c r="ECK323" s="14"/>
      <c r="ECL323" s="14"/>
      <c r="ECM323" s="14"/>
      <c r="ECN323" s="14"/>
      <c r="ECO323" s="14"/>
      <c r="ECP323" s="14"/>
      <c r="ECQ323" s="14"/>
      <c r="ECR323" s="14"/>
      <c r="ECS323" s="14"/>
      <c r="ECT323" s="14"/>
      <c r="ECU323" s="14"/>
      <c r="ECV323" s="14"/>
      <c r="ECW323" s="14"/>
      <c r="ECX323" s="14"/>
      <c r="ECY323" s="14"/>
      <c r="ECZ323" s="14"/>
      <c r="EDA323" s="14"/>
      <c r="EDB323" s="14"/>
      <c r="EDC323" s="14"/>
      <c r="EDD323" s="14"/>
      <c r="EDE323" s="14"/>
      <c r="EDF323" s="14"/>
      <c r="EDG323" s="14"/>
      <c r="EDH323" s="14"/>
      <c r="EDI323" s="14"/>
      <c r="EDJ323" s="14"/>
      <c r="EDK323" s="14"/>
      <c r="EDL323" s="14"/>
      <c r="EDM323" s="14"/>
      <c r="EDN323" s="14"/>
      <c r="EDO323" s="14"/>
      <c r="EDP323" s="14"/>
      <c r="EDQ323" s="14"/>
      <c r="EDR323" s="14"/>
      <c r="EDS323" s="14"/>
      <c r="EDT323" s="14"/>
      <c r="EDU323" s="14"/>
      <c r="EDV323" s="14"/>
      <c r="EDW323" s="14"/>
      <c r="EDX323" s="14"/>
      <c r="EDY323" s="14"/>
      <c r="EDZ323" s="14"/>
      <c r="EEA323" s="14"/>
      <c r="EEB323" s="14"/>
      <c r="EEC323" s="14"/>
      <c r="EED323" s="14"/>
      <c r="EEE323" s="14"/>
      <c r="EEF323" s="14"/>
      <c r="EEG323" s="14"/>
      <c r="EEH323" s="14"/>
      <c r="EEI323" s="14"/>
      <c r="EEJ323" s="14"/>
      <c r="EEK323" s="14"/>
      <c r="EEL323" s="14"/>
      <c r="EEM323" s="14"/>
      <c r="EEN323" s="14"/>
      <c r="EEO323" s="14"/>
      <c r="EEP323" s="14"/>
      <c r="EEQ323" s="14"/>
      <c r="EER323" s="14"/>
      <c r="EES323" s="14"/>
      <c r="EET323" s="14"/>
      <c r="EEU323" s="14"/>
      <c r="EEV323" s="14"/>
      <c r="EEW323" s="14"/>
      <c r="EEX323" s="14"/>
      <c r="EEY323" s="14"/>
      <c r="EEZ323" s="14"/>
      <c r="EFA323" s="14"/>
      <c r="EFB323" s="14"/>
      <c r="EFC323" s="14"/>
      <c r="EFD323" s="14"/>
      <c r="EFE323" s="14"/>
      <c r="EFF323" s="14"/>
      <c r="EFG323" s="14"/>
      <c r="EFH323" s="14"/>
      <c r="EFI323" s="14"/>
      <c r="EFJ323" s="14"/>
      <c r="EFK323" s="14"/>
      <c r="EFL323" s="14"/>
      <c r="EFM323" s="14"/>
      <c r="EFN323" s="14"/>
      <c r="EFO323" s="14"/>
      <c r="EFP323" s="14"/>
      <c r="EFQ323" s="14"/>
      <c r="EFR323" s="14"/>
      <c r="EFS323" s="14"/>
      <c r="EFT323" s="14"/>
      <c r="EFU323" s="14"/>
      <c r="EFV323" s="14"/>
      <c r="EFW323" s="14"/>
      <c r="EFX323" s="14"/>
      <c r="EFY323" s="14"/>
      <c r="EFZ323" s="14"/>
      <c r="EGA323" s="14"/>
      <c r="EGB323" s="14"/>
      <c r="EGC323" s="14"/>
      <c r="EGD323" s="14"/>
      <c r="EGE323" s="14"/>
      <c r="EGF323" s="14"/>
      <c r="EGG323" s="14"/>
      <c r="EGH323" s="14"/>
      <c r="EGI323" s="14"/>
      <c r="EGJ323" s="14"/>
      <c r="EGK323" s="14"/>
      <c r="EGL323" s="14"/>
      <c r="EGM323" s="14"/>
      <c r="EGN323" s="14"/>
      <c r="EGO323" s="14"/>
      <c r="EGP323" s="14"/>
      <c r="EGQ323" s="14"/>
      <c r="EGR323" s="14"/>
      <c r="EGS323" s="14"/>
      <c r="EGT323" s="14"/>
      <c r="EGU323" s="14"/>
      <c r="EGV323" s="14"/>
      <c r="EGW323" s="14"/>
      <c r="EGX323" s="14"/>
      <c r="EGY323" s="14"/>
      <c r="EGZ323" s="14"/>
      <c r="EHA323" s="14"/>
      <c r="EHB323" s="14"/>
      <c r="EHC323" s="14"/>
      <c r="EHD323" s="14"/>
      <c r="EHE323" s="14"/>
      <c r="EHF323" s="14"/>
      <c r="EHG323" s="14"/>
      <c r="EHH323" s="14"/>
      <c r="EHI323" s="14"/>
      <c r="EHJ323" s="14"/>
      <c r="EHK323" s="14"/>
      <c r="EHL323" s="14"/>
      <c r="EHM323" s="14"/>
      <c r="EHN323" s="14"/>
      <c r="EHO323" s="14"/>
      <c r="EHP323" s="14"/>
      <c r="EHQ323" s="14"/>
      <c r="EHR323" s="14"/>
      <c r="EHS323" s="14"/>
      <c r="EHT323" s="14"/>
      <c r="EHU323" s="14"/>
      <c r="EHV323" s="14"/>
      <c r="EHW323" s="14"/>
      <c r="EHX323" s="14"/>
      <c r="EHY323" s="14"/>
      <c r="EHZ323" s="14"/>
      <c r="EIA323" s="14"/>
      <c r="EIB323" s="14"/>
      <c r="EIC323" s="14"/>
      <c r="EID323" s="14"/>
      <c r="EIE323" s="14"/>
      <c r="EIF323" s="14"/>
      <c r="EIG323" s="14"/>
      <c r="EIH323" s="14"/>
      <c r="EII323" s="14"/>
      <c r="EIJ323" s="14"/>
      <c r="EIK323" s="14"/>
      <c r="EIL323" s="14"/>
      <c r="EIM323" s="14"/>
      <c r="EIN323" s="14"/>
      <c r="EIO323" s="14"/>
      <c r="EIP323" s="14"/>
      <c r="EIQ323" s="14"/>
      <c r="EIR323" s="14"/>
      <c r="EIS323" s="14"/>
      <c r="EIT323" s="14"/>
      <c r="EIU323" s="14"/>
      <c r="EIV323" s="14"/>
      <c r="EIW323" s="14"/>
      <c r="EIX323" s="14"/>
      <c r="EIY323" s="14"/>
      <c r="EIZ323" s="14"/>
      <c r="EJA323" s="14"/>
      <c r="EJB323" s="14"/>
      <c r="EJC323" s="14"/>
      <c r="EJD323" s="14"/>
      <c r="EJE323" s="14"/>
      <c r="EJF323" s="14"/>
      <c r="EJG323" s="14"/>
      <c r="EJH323" s="14"/>
      <c r="EJI323" s="14"/>
      <c r="EJJ323" s="14"/>
      <c r="EJK323" s="14"/>
      <c r="EJL323" s="14"/>
      <c r="EJM323" s="14"/>
      <c r="EJN323" s="14"/>
      <c r="EJO323" s="14"/>
      <c r="EJP323" s="14"/>
      <c r="EJQ323" s="14"/>
      <c r="EJR323" s="14"/>
      <c r="EJS323" s="14"/>
      <c r="EJT323" s="14"/>
      <c r="EJU323" s="14"/>
      <c r="EJV323" s="14"/>
      <c r="EJW323" s="14"/>
      <c r="EJX323" s="14"/>
      <c r="EJY323" s="14"/>
      <c r="EJZ323" s="14"/>
      <c r="EKA323" s="14"/>
      <c r="EKB323" s="14"/>
      <c r="EKC323" s="14"/>
      <c r="EKD323" s="14"/>
      <c r="EKE323" s="14"/>
      <c r="EKF323" s="14"/>
      <c r="EKG323" s="14"/>
      <c r="EKH323" s="14"/>
      <c r="EKI323" s="14"/>
      <c r="EKJ323" s="14"/>
      <c r="EKK323" s="14"/>
      <c r="EKL323" s="14"/>
      <c r="EKM323" s="14"/>
      <c r="EKN323" s="14"/>
      <c r="EKO323" s="14"/>
      <c r="EKP323" s="14"/>
      <c r="EKQ323" s="14"/>
      <c r="EKR323" s="14"/>
      <c r="EKS323" s="14"/>
      <c r="EKT323" s="14"/>
      <c r="EKU323" s="14"/>
      <c r="EKV323" s="14"/>
      <c r="EKW323" s="14"/>
      <c r="EKX323" s="14"/>
      <c r="EKY323" s="14"/>
      <c r="EKZ323" s="14"/>
      <c r="ELA323" s="14"/>
      <c r="ELB323" s="14"/>
      <c r="ELC323" s="14"/>
      <c r="ELD323" s="14"/>
      <c r="ELE323" s="14"/>
      <c r="ELF323" s="14"/>
      <c r="ELG323" s="14"/>
      <c r="ELH323" s="14"/>
      <c r="ELI323" s="14"/>
      <c r="ELJ323" s="14"/>
      <c r="ELK323" s="14"/>
      <c r="ELL323" s="14"/>
      <c r="ELM323" s="14"/>
      <c r="ELN323" s="14"/>
      <c r="ELO323" s="14"/>
      <c r="ELP323" s="14"/>
      <c r="ELQ323" s="14"/>
      <c r="ELR323" s="14"/>
      <c r="ELS323" s="14"/>
      <c r="ELT323" s="14"/>
      <c r="ELU323" s="14"/>
      <c r="ELV323" s="14"/>
      <c r="ELW323" s="14"/>
      <c r="ELX323" s="14"/>
      <c r="ELY323" s="14"/>
      <c r="ELZ323" s="14"/>
      <c r="EMA323" s="14"/>
      <c r="EMB323" s="14"/>
      <c r="EMC323" s="14"/>
      <c r="EMD323" s="14"/>
      <c r="EME323" s="14"/>
      <c r="EMF323" s="14"/>
      <c r="EMG323" s="14"/>
      <c r="EMH323" s="14"/>
      <c r="EMI323" s="14"/>
      <c r="EMJ323" s="14"/>
      <c r="EMK323" s="14"/>
      <c r="EML323" s="14"/>
      <c r="EMM323" s="14"/>
      <c r="EMN323" s="14"/>
      <c r="EMO323" s="14"/>
      <c r="EMP323" s="14"/>
      <c r="EMQ323" s="14"/>
      <c r="EMR323" s="14"/>
      <c r="EMS323" s="14"/>
      <c r="EMT323" s="14"/>
      <c r="EMU323" s="14"/>
      <c r="EMV323" s="14"/>
      <c r="EMW323" s="14"/>
      <c r="EMX323" s="14"/>
      <c r="EMY323" s="14"/>
      <c r="EMZ323" s="14"/>
      <c r="ENA323" s="14"/>
      <c r="ENB323" s="14"/>
      <c r="ENC323" s="14"/>
      <c r="END323" s="14"/>
      <c r="ENE323" s="14"/>
      <c r="ENF323" s="14"/>
      <c r="ENG323" s="14"/>
      <c r="ENH323" s="14"/>
      <c r="ENI323" s="14"/>
      <c r="ENJ323" s="14"/>
      <c r="ENK323" s="14"/>
      <c r="ENL323" s="14"/>
      <c r="ENM323" s="14"/>
      <c r="ENN323" s="14"/>
      <c r="ENO323" s="14"/>
      <c r="ENP323" s="14"/>
      <c r="ENQ323" s="14"/>
      <c r="ENR323" s="14"/>
      <c r="ENS323" s="14"/>
      <c r="ENT323" s="14"/>
      <c r="ENU323" s="14"/>
      <c r="ENV323" s="14"/>
      <c r="ENW323" s="14"/>
      <c r="ENX323" s="14"/>
      <c r="ENY323" s="14"/>
      <c r="ENZ323" s="14"/>
      <c r="EOA323" s="14"/>
      <c r="EOB323" s="14"/>
      <c r="EOC323" s="14"/>
      <c r="EOD323" s="14"/>
      <c r="EOE323" s="14"/>
      <c r="EOF323" s="14"/>
      <c r="EOG323" s="14"/>
      <c r="EOH323" s="14"/>
      <c r="EOI323" s="14"/>
      <c r="EOJ323" s="14"/>
      <c r="EOK323" s="14"/>
      <c r="EOL323" s="14"/>
      <c r="EOM323" s="14"/>
      <c r="EON323" s="14"/>
      <c r="EOO323" s="14"/>
      <c r="EOP323" s="14"/>
      <c r="EOQ323" s="14"/>
      <c r="EOR323" s="14"/>
      <c r="EOS323" s="14"/>
      <c r="EOT323" s="14"/>
      <c r="EOU323" s="14"/>
      <c r="EOV323" s="14"/>
      <c r="EOW323" s="14"/>
      <c r="EOX323" s="14"/>
      <c r="EOY323" s="14"/>
      <c r="EOZ323" s="14"/>
      <c r="EPA323" s="14"/>
      <c r="EPB323" s="14"/>
      <c r="EPC323" s="14"/>
      <c r="EPD323" s="14"/>
      <c r="EPE323" s="14"/>
      <c r="EPF323" s="14"/>
      <c r="EPG323" s="14"/>
      <c r="EPH323" s="14"/>
      <c r="EPI323" s="14"/>
      <c r="EPJ323" s="14"/>
      <c r="EPK323" s="14"/>
      <c r="EPL323" s="14"/>
      <c r="EPM323" s="14"/>
      <c r="EPN323" s="14"/>
      <c r="EPO323" s="14"/>
      <c r="EPP323" s="14"/>
      <c r="EPQ323" s="14"/>
      <c r="EPR323" s="14"/>
      <c r="EPS323" s="14"/>
      <c r="EPT323" s="14"/>
      <c r="EPU323" s="14"/>
      <c r="EPV323" s="14"/>
      <c r="EPW323" s="14"/>
      <c r="EPX323" s="14"/>
      <c r="EPY323" s="14"/>
      <c r="EPZ323" s="14"/>
      <c r="EQA323" s="14"/>
      <c r="EQB323" s="14"/>
      <c r="EQC323" s="14"/>
      <c r="EQD323" s="14"/>
      <c r="EQE323" s="14"/>
      <c r="EQF323" s="14"/>
      <c r="EQG323" s="14"/>
      <c r="EQH323" s="14"/>
      <c r="EQI323" s="14"/>
      <c r="EQJ323" s="14"/>
      <c r="EQK323" s="14"/>
      <c r="EQL323" s="14"/>
      <c r="EQM323" s="14"/>
      <c r="EQN323" s="14"/>
      <c r="EQO323" s="14"/>
      <c r="EQP323" s="14"/>
      <c r="EQQ323" s="14"/>
      <c r="EQR323" s="14"/>
      <c r="EQS323" s="14"/>
      <c r="EQT323" s="14"/>
      <c r="EQU323" s="14"/>
      <c r="EQV323" s="14"/>
      <c r="EQW323" s="14"/>
      <c r="EQX323" s="14"/>
      <c r="EQY323" s="14"/>
      <c r="EQZ323" s="14"/>
      <c r="ERA323" s="14"/>
      <c r="ERB323" s="14"/>
      <c r="ERC323" s="14"/>
      <c r="ERD323" s="14"/>
      <c r="ERE323" s="14"/>
      <c r="ERF323" s="14"/>
      <c r="ERG323" s="14"/>
      <c r="ERH323" s="14"/>
      <c r="ERI323" s="14"/>
      <c r="ERJ323" s="14"/>
      <c r="ERK323" s="14"/>
      <c r="ERL323" s="14"/>
      <c r="ERM323" s="14"/>
      <c r="ERN323" s="14"/>
      <c r="ERO323" s="14"/>
      <c r="ERP323" s="14"/>
      <c r="ERQ323" s="14"/>
      <c r="ERR323" s="14"/>
      <c r="ERS323" s="14"/>
      <c r="ERT323" s="14"/>
      <c r="ERU323" s="14"/>
      <c r="ERV323" s="14"/>
      <c r="ERW323" s="14"/>
      <c r="ERX323" s="14"/>
      <c r="ERY323" s="14"/>
      <c r="ERZ323" s="14"/>
      <c r="ESA323" s="14"/>
      <c r="ESB323" s="14"/>
      <c r="ESC323" s="14"/>
      <c r="ESD323" s="14"/>
      <c r="ESE323" s="14"/>
      <c r="ESF323" s="14"/>
      <c r="ESG323" s="14"/>
      <c r="ESH323" s="14"/>
      <c r="ESI323" s="14"/>
      <c r="ESJ323" s="14"/>
      <c r="ESK323" s="14"/>
      <c r="ESL323" s="14"/>
      <c r="ESM323" s="14"/>
      <c r="ESN323" s="14"/>
      <c r="ESO323" s="14"/>
      <c r="ESP323" s="14"/>
      <c r="ESQ323" s="14"/>
      <c r="ESR323" s="14"/>
      <c r="ESS323" s="14"/>
      <c r="EST323" s="14"/>
      <c r="ESU323" s="14"/>
      <c r="ESV323" s="14"/>
      <c r="ESW323" s="14"/>
      <c r="ESX323" s="14"/>
      <c r="ESY323" s="14"/>
      <c r="ESZ323" s="14"/>
      <c r="ETA323" s="14"/>
      <c r="ETB323" s="14"/>
      <c r="ETC323" s="14"/>
      <c r="ETD323" s="14"/>
      <c r="ETE323" s="14"/>
      <c r="ETF323" s="14"/>
      <c r="ETG323" s="14"/>
      <c r="ETH323" s="14"/>
      <c r="ETI323" s="14"/>
      <c r="ETJ323" s="14"/>
      <c r="ETK323" s="14"/>
      <c r="ETL323" s="14"/>
      <c r="ETM323" s="14"/>
      <c r="ETN323" s="14"/>
      <c r="ETO323" s="14"/>
      <c r="ETP323" s="14"/>
      <c r="ETQ323" s="14"/>
      <c r="ETR323" s="14"/>
      <c r="ETS323" s="14"/>
      <c r="ETT323" s="14"/>
      <c r="ETU323" s="14"/>
      <c r="ETV323" s="14"/>
      <c r="ETW323" s="14"/>
      <c r="ETX323" s="14"/>
      <c r="ETY323" s="14"/>
      <c r="ETZ323" s="14"/>
      <c r="EUA323" s="14"/>
      <c r="EUB323" s="14"/>
      <c r="EUC323" s="14"/>
      <c r="EUD323" s="14"/>
      <c r="EUE323" s="14"/>
      <c r="EUF323" s="14"/>
      <c r="EUG323" s="14"/>
      <c r="EUH323" s="14"/>
      <c r="EUI323" s="14"/>
      <c r="EUJ323" s="14"/>
      <c r="EUK323" s="14"/>
      <c r="EUL323" s="14"/>
      <c r="EUM323" s="14"/>
      <c r="EUN323" s="14"/>
      <c r="EUO323" s="14"/>
      <c r="EUP323" s="14"/>
      <c r="EUQ323" s="14"/>
      <c r="EUR323" s="14"/>
      <c r="EUS323" s="14"/>
      <c r="EUT323" s="14"/>
      <c r="EUU323" s="14"/>
      <c r="EUV323" s="14"/>
      <c r="EUW323" s="14"/>
      <c r="EUX323" s="14"/>
      <c r="EUY323" s="14"/>
      <c r="EUZ323" s="14"/>
      <c r="EVA323" s="14"/>
      <c r="EVB323" s="14"/>
      <c r="EVC323" s="14"/>
      <c r="EVD323" s="14"/>
      <c r="EVE323" s="14"/>
      <c r="EVF323" s="14"/>
      <c r="EVG323" s="14"/>
      <c r="EVH323" s="14"/>
      <c r="EVI323" s="14"/>
      <c r="EVJ323" s="14"/>
      <c r="EVK323" s="14"/>
      <c r="EVL323" s="14"/>
      <c r="EVM323" s="14"/>
      <c r="EVN323" s="14"/>
      <c r="EVO323" s="14"/>
      <c r="EVP323" s="14"/>
      <c r="EVQ323" s="14"/>
      <c r="EVR323" s="14"/>
      <c r="EVS323" s="14"/>
      <c r="EVT323" s="14"/>
      <c r="EVU323" s="14"/>
      <c r="EVV323" s="14"/>
      <c r="EVW323" s="14"/>
      <c r="EVX323" s="14"/>
      <c r="EVY323" s="14"/>
      <c r="EVZ323" s="14"/>
      <c r="EWA323" s="14"/>
      <c r="EWB323" s="14"/>
      <c r="EWC323" s="14"/>
      <c r="EWD323" s="14"/>
      <c r="EWE323" s="14"/>
      <c r="EWF323" s="14"/>
      <c r="EWG323" s="14"/>
      <c r="EWH323" s="14"/>
      <c r="EWI323" s="14"/>
      <c r="EWJ323" s="14"/>
      <c r="EWK323" s="14"/>
      <c r="EWL323" s="14"/>
      <c r="EWM323" s="14"/>
      <c r="EWN323" s="14"/>
      <c r="EWO323" s="14"/>
      <c r="EWP323" s="14"/>
      <c r="EWQ323" s="14"/>
      <c r="EWR323" s="14"/>
      <c r="EWS323" s="14"/>
      <c r="EWT323" s="14"/>
      <c r="EWU323" s="14"/>
      <c r="EWV323" s="14"/>
      <c r="EWW323" s="14"/>
      <c r="EWX323" s="14"/>
      <c r="EWY323" s="14"/>
      <c r="EWZ323" s="14"/>
      <c r="EXA323" s="14"/>
      <c r="EXB323" s="14"/>
      <c r="EXC323" s="14"/>
      <c r="EXD323" s="14"/>
      <c r="EXE323" s="14"/>
      <c r="EXF323" s="14"/>
      <c r="EXG323" s="14"/>
      <c r="EXH323" s="14"/>
      <c r="EXI323" s="14"/>
      <c r="EXJ323" s="14"/>
      <c r="EXK323" s="14"/>
      <c r="EXL323" s="14"/>
      <c r="EXM323" s="14"/>
      <c r="EXN323" s="14"/>
      <c r="EXO323" s="14"/>
      <c r="EXP323" s="14"/>
      <c r="EXQ323" s="14"/>
      <c r="EXR323" s="14"/>
      <c r="EXS323" s="14"/>
      <c r="EXT323" s="14"/>
      <c r="EXU323" s="14"/>
      <c r="EXV323" s="14"/>
      <c r="EXW323" s="14"/>
      <c r="EXX323" s="14"/>
      <c r="EXY323" s="14"/>
      <c r="EXZ323" s="14"/>
      <c r="EYA323" s="14"/>
      <c r="EYB323" s="14"/>
      <c r="EYC323" s="14"/>
      <c r="EYD323" s="14"/>
      <c r="EYE323" s="14"/>
      <c r="EYF323" s="14"/>
      <c r="EYG323" s="14"/>
      <c r="EYH323" s="14"/>
      <c r="EYI323" s="14"/>
      <c r="EYJ323" s="14"/>
      <c r="EYK323" s="14"/>
      <c r="EYL323" s="14"/>
      <c r="EYM323" s="14"/>
      <c r="EYN323" s="14"/>
      <c r="EYO323" s="14"/>
      <c r="EYP323" s="14"/>
      <c r="EYQ323" s="14"/>
      <c r="EYR323" s="14"/>
      <c r="EYS323" s="14"/>
      <c r="EYT323" s="14"/>
      <c r="EYU323" s="14"/>
      <c r="EYV323" s="14"/>
      <c r="EYW323" s="14"/>
      <c r="EYX323" s="14"/>
      <c r="EYY323" s="14"/>
      <c r="EYZ323" s="14"/>
      <c r="EZA323" s="14"/>
      <c r="EZB323" s="14"/>
      <c r="EZC323" s="14"/>
      <c r="EZD323" s="14"/>
      <c r="EZE323" s="14"/>
      <c r="EZF323" s="14"/>
      <c r="EZG323" s="14"/>
      <c r="EZH323" s="14"/>
      <c r="EZI323" s="14"/>
      <c r="EZJ323" s="14"/>
      <c r="EZK323" s="14"/>
      <c r="EZL323" s="14"/>
      <c r="EZM323" s="14"/>
      <c r="EZN323" s="14"/>
      <c r="EZO323" s="14"/>
      <c r="EZP323" s="14"/>
      <c r="EZQ323" s="14"/>
      <c r="EZR323" s="14"/>
      <c r="EZS323" s="14"/>
      <c r="EZT323" s="14"/>
      <c r="EZU323" s="14"/>
      <c r="EZV323" s="14"/>
      <c r="EZW323" s="14"/>
      <c r="EZX323" s="14"/>
      <c r="EZY323" s="14"/>
      <c r="EZZ323" s="14"/>
      <c r="FAA323" s="14"/>
      <c r="FAB323" s="14"/>
      <c r="FAC323" s="14"/>
      <c r="FAD323" s="14"/>
      <c r="FAE323" s="14"/>
      <c r="FAF323" s="14"/>
      <c r="FAG323" s="14"/>
      <c r="FAH323" s="14"/>
      <c r="FAI323" s="14"/>
      <c r="FAJ323" s="14"/>
      <c r="FAK323" s="14"/>
      <c r="FAL323" s="14"/>
      <c r="FAM323" s="14"/>
      <c r="FAN323" s="14"/>
      <c r="FAO323" s="14"/>
      <c r="FAP323" s="14"/>
      <c r="FAQ323" s="14"/>
      <c r="FAR323" s="14"/>
      <c r="FAS323" s="14"/>
      <c r="FAT323" s="14"/>
      <c r="FAU323" s="14"/>
      <c r="FAV323" s="14"/>
      <c r="FAW323" s="14"/>
      <c r="FAX323" s="14"/>
      <c r="FAY323" s="14"/>
      <c r="FAZ323" s="14"/>
      <c r="FBA323" s="14"/>
      <c r="FBB323" s="14"/>
      <c r="FBC323" s="14"/>
      <c r="FBD323" s="14"/>
      <c r="FBE323" s="14"/>
      <c r="FBF323" s="14"/>
      <c r="FBG323" s="14"/>
      <c r="FBH323" s="14"/>
      <c r="FBI323" s="14"/>
      <c r="FBJ323" s="14"/>
      <c r="FBK323" s="14"/>
      <c r="FBL323" s="14"/>
      <c r="FBM323" s="14"/>
      <c r="FBN323" s="14"/>
      <c r="FBO323" s="14"/>
      <c r="FBP323" s="14"/>
      <c r="FBQ323" s="14"/>
      <c r="FBR323" s="14"/>
      <c r="FBS323" s="14"/>
      <c r="FBT323" s="14"/>
      <c r="FBU323" s="14"/>
      <c r="FBV323" s="14"/>
      <c r="FBW323" s="14"/>
      <c r="FBX323" s="14"/>
      <c r="FBY323" s="14"/>
      <c r="FBZ323" s="14"/>
      <c r="FCA323" s="14"/>
      <c r="FCB323" s="14"/>
      <c r="FCC323" s="14"/>
      <c r="FCD323" s="14"/>
      <c r="FCE323" s="14"/>
      <c r="FCF323" s="14"/>
      <c r="FCG323" s="14"/>
      <c r="FCH323" s="14"/>
      <c r="FCI323" s="14"/>
      <c r="FCJ323" s="14"/>
      <c r="FCK323" s="14"/>
      <c r="FCL323" s="14"/>
      <c r="FCM323" s="14"/>
      <c r="FCN323" s="14"/>
      <c r="FCO323" s="14"/>
      <c r="FCP323" s="14"/>
      <c r="FCQ323" s="14"/>
      <c r="FCR323" s="14"/>
      <c r="FCS323" s="14"/>
      <c r="FCT323" s="14"/>
      <c r="FCU323" s="14"/>
      <c r="FCV323" s="14"/>
      <c r="FCW323" s="14"/>
      <c r="FCX323" s="14"/>
      <c r="FCY323" s="14"/>
      <c r="FCZ323" s="14"/>
      <c r="FDA323" s="14"/>
      <c r="FDB323" s="14"/>
      <c r="FDC323" s="14"/>
      <c r="FDD323" s="14"/>
      <c r="FDE323" s="14"/>
      <c r="FDF323" s="14"/>
      <c r="FDG323" s="14"/>
      <c r="FDH323" s="14"/>
      <c r="FDI323" s="14"/>
      <c r="FDJ323" s="14"/>
      <c r="FDK323" s="14"/>
      <c r="FDL323" s="14"/>
      <c r="FDM323" s="14"/>
      <c r="FDN323" s="14"/>
      <c r="FDO323" s="14"/>
      <c r="FDP323" s="14"/>
      <c r="FDQ323" s="14"/>
      <c r="FDR323" s="14"/>
      <c r="FDS323" s="14"/>
      <c r="FDT323" s="14"/>
      <c r="FDU323" s="14"/>
      <c r="FDV323" s="14"/>
      <c r="FDW323" s="14"/>
      <c r="FDX323" s="14"/>
      <c r="FDY323" s="14"/>
      <c r="FDZ323" s="14"/>
      <c r="FEA323" s="14"/>
      <c r="FEB323" s="14"/>
      <c r="FEC323" s="14"/>
      <c r="FED323" s="14"/>
      <c r="FEE323" s="14"/>
      <c r="FEF323" s="14"/>
      <c r="FEG323" s="14"/>
      <c r="FEH323" s="14"/>
      <c r="FEI323" s="14"/>
      <c r="FEJ323" s="14"/>
      <c r="FEK323" s="14"/>
      <c r="FEL323" s="14"/>
      <c r="FEM323" s="14"/>
      <c r="FEN323" s="14"/>
      <c r="FEO323" s="14"/>
      <c r="FEP323" s="14"/>
      <c r="FEQ323" s="14"/>
      <c r="FER323" s="14"/>
      <c r="FES323" s="14"/>
      <c r="FET323" s="14"/>
      <c r="FEU323" s="14"/>
      <c r="FEV323" s="14"/>
      <c r="FEW323" s="14"/>
      <c r="FEX323" s="14"/>
      <c r="FEY323" s="14"/>
      <c r="FEZ323" s="14"/>
      <c r="FFA323" s="14"/>
      <c r="FFB323" s="14"/>
      <c r="FFC323" s="14"/>
      <c r="FFD323" s="14"/>
      <c r="FFE323" s="14"/>
      <c r="FFF323" s="14"/>
      <c r="FFG323" s="14"/>
      <c r="FFH323" s="14"/>
      <c r="FFI323" s="14"/>
      <c r="FFJ323" s="14"/>
      <c r="FFK323" s="14"/>
      <c r="FFL323" s="14"/>
      <c r="FFM323" s="14"/>
      <c r="FFN323" s="14"/>
      <c r="FFO323" s="14"/>
      <c r="FFP323" s="14"/>
      <c r="FFQ323" s="14"/>
      <c r="FFR323" s="14"/>
      <c r="FFS323" s="14"/>
      <c r="FFT323" s="14"/>
      <c r="FFU323" s="14"/>
      <c r="FFV323" s="14"/>
      <c r="FFW323" s="14"/>
      <c r="FFX323" s="14"/>
      <c r="FFY323" s="14"/>
      <c r="FFZ323" s="14"/>
      <c r="FGA323" s="14"/>
      <c r="FGB323" s="14"/>
      <c r="FGC323" s="14"/>
      <c r="FGD323" s="14"/>
      <c r="FGE323" s="14"/>
      <c r="FGF323" s="14"/>
      <c r="FGG323" s="14"/>
      <c r="FGH323" s="14"/>
      <c r="FGI323" s="14"/>
      <c r="FGJ323" s="14"/>
      <c r="FGK323" s="14"/>
      <c r="FGL323" s="14"/>
      <c r="FGM323" s="14"/>
      <c r="FGN323" s="14"/>
      <c r="FGO323" s="14"/>
      <c r="FGP323" s="14"/>
      <c r="FGQ323" s="14"/>
      <c r="FGR323" s="14"/>
      <c r="FGS323" s="14"/>
      <c r="FGT323" s="14"/>
      <c r="FGU323" s="14"/>
      <c r="FGV323" s="14"/>
      <c r="FGW323" s="14"/>
      <c r="FGX323" s="14"/>
      <c r="FGY323" s="14"/>
      <c r="FGZ323" s="14"/>
      <c r="FHA323" s="14"/>
      <c r="FHB323" s="14"/>
      <c r="FHC323" s="14"/>
      <c r="FHD323" s="14"/>
      <c r="FHE323" s="14"/>
      <c r="FHF323" s="14"/>
      <c r="FHG323" s="14"/>
      <c r="FHH323" s="14"/>
      <c r="FHI323" s="14"/>
      <c r="FHJ323" s="14"/>
      <c r="FHK323" s="14"/>
      <c r="FHL323" s="14"/>
      <c r="FHM323" s="14"/>
      <c r="FHN323" s="14"/>
      <c r="FHO323" s="14"/>
      <c r="FHP323" s="14"/>
      <c r="FHQ323" s="14"/>
      <c r="FHR323" s="14"/>
      <c r="FHS323" s="14"/>
      <c r="FHT323" s="14"/>
      <c r="FHU323" s="14"/>
      <c r="FHV323" s="14"/>
      <c r="FHW323" s="14"/>
      <c r="FHX323" s="14"/>
      <c r="FHY323" s="14"/>
      <c r="FHZ323" s="14"/>
      <c r="FIA323" s="14"/>
      <c r="FIB323" s="14"/>
      <c r="FIC323" s="14"/>
      <c r="FID323" s="14"/>
      <c r="FIE323" s="14"/>
      <c r="FIF323" s="14"/>
      <c r="FIG323" s="14"/>
      <c r="FIH323" s="14"/>
      <c r="FII323" s="14"/>
      <c r="FIJ323" s="14"/>
      <c r="FIK323" s="14"/>
      <c r="FIL323" s="14"/>
      <c r="FIM323" s="14"/>
      <c r="FIN323" s="14"/>
      <c r="FIO323" s="14"/>
      <c r="FIP323" s="14"/>
      <c r="FIQ323" s="14"/>
      <c r="FIR323" s="14"/>
      <c r="FIS323" s="14"/>
      <c r="FIT323" s="14"/>
      <c r="FIU323" s="14"/>
      <c r="FIV323" s="14"/>
      <c r="FIW323" s="14"/>
      <c r="FIX323" s="14"/>
      <c r="FIY323" s="14"/>
      <c r="FIZ323" s="14"/>
      <c r="FJA323" s="14"/>
      <c r="FJB323" s="14"/>
      <c r="FJC323" s="14"/>
      <c r="FJD323" s="14"/>
      <c r="FJE323" s="14"/>
      <c r="FJF323" s="14"/>
      <c r="FJG323" s="14"/>
      <c r="FJH323" s="14"/>
      <c r="FJI323" s="14"/>
      <c r="FJJ323" s="14"/>
      <c r="FJK323" s="14"/>
      <c r="FJL323" s="14"/>
      <c r="FJM323" s="14"/>
      <c r="FJN323" s="14"/>
      <c r="FJO323" s="14"/>
      <c r="FJP323" s="14"/>
      <c r="FJQ323" s="14"/>
      <c r="FJR323" s="14"/>
      <c r="FJS323" s="14"/>
      <c r="FJT323" s="14"/>
      <c r="FJU323" s="14"/>
      <c r="FJV323" s="14"/>
      <c r="FJW323" s="14"/>
      <c r="FJX323" s="14"/>
      <c r="FJY323" s="14"/>
      <c r="FJZ323" s="14"/>
      <c r="FKA323" s="14"/>
      <c r="FKB323" s="14"/>
      <c r="FKC323" s="14"/>
      <c r="FKD323" s="14"/>
      <c r="FKE323" s="14"/>
      <c r="FKF323" s="14"/>
      <c r="FKG323" s="14"/>
      <c r="FKH323" s="14"/>
      <c r="FKI323" s="14"/>
      <c r="FKJ323" s="14"/>
      <c r="FKK323" s="14"/>
      <c r="FKL323" s="14"/>
      <c r="FKM323" s="14"/>
      <c r="FKN323" s="14"/>
      <c r="FKO323" s="14"/>
      <c r="FKP323" s="14"/>
      <c r="FKQ323" s="14"/>
      <c r="FKR323" s="14"/>
      <c r="FKS323" s="14"/>
      <c r="FKT323" s="14"/>
      <c r="FKU323" s="14"/>
      <c r="FKV323" s="14"/>
      <c r="FKW323" s="14"/>
      <c r="FKX323" s="14"/>
      <c r="FKY323" s="14"/>
      <c r="FKZ323" s="14"/>
      <c r="FLA323" s="14"/>
      <c r="FLB323" s="14"/>
      <c r="FLC323" s="14"/>
      <c r="FLD323" s="14"/>
      <c r="FLE323" s="14"/>
      <c r="FLF323" s="14"/>
      <c r="FLG323" s="14"/>
      <c r="FLH323" s="14"/>
      <c r="FLI323" s="14"/>
      <c r="FLJ323" s="14"/>
      <c r="FLK323" s="14"/>
      <c r="FLL323" s="14"/>
      <c r="FLM323" s="14"/>
      <c r="FLN323" s="14"/>
      <c r="FLO323" s="14"/>
      <c r="FLP323" s="14"/>
      <c r="FLQ323" s="14"/>
      <c r="FLR323" s="14"/>
      <c r="FLS323" s="14"/>
      <c r="FLT323" s="14"/>
      <c r="FLU323" s="14"/>
      <c r="FLV323" s="14"/>
      <c r="FLW323" s="14"/>
      <c r="FLX323" s="14"/>
      <c r="FLY323" s="14"/>
      <c r="FLZ323" s="14"/>
      <c r="FMA323" s="14"/>
      <c r="FMB323" s="14"/>
      <c r="FMC323" s="14"/>
      <c r="FMD323" s="14"/>
      <c r="FME323" s="14"/>
      <c r="FMF323" s="14"/>
      <c r="FMG323" s="14"/>
      <c r="FMH323" s="14"/>
      <c r="FMI323" s="14"/>
      <c r="FMJ323" s="14"/>
      <c r="FMK323" s="14"/>
      <c r="FML323" s="14"/>
      <c r="FMM323" s="14"/>
      <c r="FMN323" s="14"/>
      <c r="FMO323" s="14"/>
      <c r="FMP323" s="14"/>
      <c r="FMQ323" s="14"/>
      <c r="FMR323" s="14"/>
      <c r="FMS323" s="14"/>
      <c r="FMT323" s="14"/>
      <c r="FMU323" s="14"/>
      <c r="FMV323" s="14"/>
      <c r="FMW323" s="14"/>
      <c r="FMX323" s="14"/>
      <c r="FMY323" s="14"/>
      <c r="FMZ323" s="14"/>
      <c r="FNA323" s="14"/>
      <c r="FNB323" s="14"/>
      <c r="FNC323" s="14"/>
      <c r="FND323" s="14"/>
      <c r="FNE323" s="14"/>
      <c r="FNF323" s="14"/>
      <c r="FNG323" s="14"/>
      <c r="FNH323" s="14"/>
      <c r="FNI323" s="14"/>
      <c r="FNJ323" s="14"/>
      <c r="FNK323" s="14"/>
      <c r="FNL323" s="14"/>
      <c r="FNM323" s="14"/>
      <c r="FNN323" s="14"/>
      <c r="FNO323" s="14"/>
      <c r="FNP323" s="14"/>
      <c r="FNQ323" s="14"/>
      <c r="FNR323" s="14"/>
      <c r="FNS323" s="14"/>
      <c r="FNT323" s="14"/>
      <c r="FNU323" s="14"/>
      <c r="FNV323" s="14"/>
      <c r="FNW323" s="14"/>
      <c r="FNX323" s="14"/>
      <c r="FNY323" s="14"/>
      <c r="FNZ323" s="14"/>
      <c r="FOA323" s="14"/>
      <c r="FOB323" s="14"/>
      <c r="FOC323" s="14"/>
      <c r="FOD323" s="14"/>
      <c r="FOE323" s="14"/>
      <c r="FOF323" s="14"/>
      <c r="FOG323" s="14"/>
      <c r="FOH323" s="14"/>
      <c r="FOI323" s="14"/>
      <c r="FOJ323" s="14"/>
      <c r="FOK323" s="14"/>
      <c r="FOL323" s="14"/>
      <c r="FOM323" s="14"/>
      <c r="FON323" s="14"/>
      <c r="FOO323" s="14"/>
      <c r="FOP323" s="14"/>
      <c r="FOQ323" s="14"/>
      <c r="FOR323" s="14"/>
      <c r="FOS323" s="14"/>
      <c r="FOT323" s="14"/>
      <c r="FOU323" s="14"/>
      <c r="FOV323" s="14"/>
      <c r="FOW323" s="14"/>
      <c r="FOX323" s="14"/>
      <c r="FOY323" s="14"/>
      <c r="FOZ323" s="14"/>
      <c r="FPA323" s="14"/>
      <c r="FPB323" s="14"/>
      <c r="FPC323" s="14"/>
      <c r="FPD323" s="14"/>
      <c r="FPE323" s="14"/>
      <c r="FPF323" s="14"/>
      <c r="FPG323" s="14"/>
      <c r="FPH323" s="14"/>
      <c r="FPI323" s="14"/>
      <c r="FPJ323" s="14"/>
      <c r="FPK323" s="14"/>
      <c r="FPL323" s="14"/>
      <c r="FPM323" s="14"/>
      <c r="FPN323" s="14"/>
      <c r="FPO323" s="14"/>
      <c r="FPP323" s="14"/>
      <c r="FPQ323" s="14"/>
      <c r="FPR323" s="14"/>
      <c r="FPS323" s="14"/>
      <c r="FPT323" s="14"/>
      <c r="FPU323" s="14"/>
      <c r="FPV323" s="14"/>
      <c r="FPW323" s="14"/>
      <c r="FPX323" s="14"/>
      <c r="FPY323" s="14"/>
      <c r="FPZ323" s="14"/>
      <c r="FQA323" s="14"/>
      <c r="FQB323" s="14"/>
      <c r="FQC323" s="14"/>
      <c r="FQD323" s="14"/>
      <c r="FQE323" s="14"/>
      <c r="FQF323" s="14"/>
      <c r="FQG323" s="14"/>
      <c r="FQH323" s="14"/>
      <c r="FQI323" s="14"/>
      <c r="FQJ323" s="14"/>
      <c r="FQK323" s="14"/>
      <c r="FQL323" s="14"/>
      <c r="FQM323" s="14"/>
      <c r="FQN323" s="14"/>
      <c r="FQO323" s="14"/>
      <c r="FQP323" s="14"/>
      <c r="FQQ323" s="14"/>
      <c r="FQR323" s="14"/>
      <c r="FQS323" s="14"/>
      <c r="FQT323" s="14"/>
      <c r="FQU323" s="14"/>
      <c r="FQV323" s="14"/>
      <c r="FQW323" s="14"/>
      <c r="FQX323" s="14"/>
      <c r="FQY323" s="14"/>
      <c r="FQZ323" s="14"/>
      <c r="FRA323" s="14"/>
      <c r="FRB323" s="14"/>
      <c r="FRC323" s="14"/>
      <c r="FRD323" s="14"/>
      <c r="FRE323" s="14"/>
      <c r="FRF323" s="14"/>
      <c r="FRG323" s="14"/>
      <c r="FRH323" s="14"/>
      <c r="FRI323" s="14"/>
      <c r="FRJ323" s="14"/>
      <c r="FRK323" s="14"/>
      <c r="FRL323" s="14"/>
      <c r="FRM323" s="14"/>
      <c r="FRN323" s="14"/>
      <c r="FRO323" s="14"/>
      <c r="FRP323" s="14"/>
      <c r="FRQ323" s="14"/>
      <c r="FRR323" s="14"/>
      <c r="FRS323" s="14"/>
      <c r="FRT323" s="14"/>
      <c r="FRU323" s="14"/>
      <c r="FRV323" s="14"/>
      <c r="FRW323" s="14"/>
      <c r="FRX323" s="14"/>
      <c r="FRY323" s="14"/>
      <c r="FRZ323" s="14"/>
      <c r="FSA323" s="14"/>
      <c r="FSB323" s="14"/>
      <c r="FSC323" s="14"/>
      <c r="FSD323" s="14"/>
      <c r="FSE323" s="14"/>
      <c r="FSF323" s="14"/>
      <c r="FSG323" s="14"/>
      <c r="FSH323" s="14"/>
      <c r="FSI323" s="14"/>
      <c r="FSJ323" s="14"/>
      <c r="FSK323" s="14"/>
      <c r="FSL323" s="14"/>
      <c r="FSM323" s="14"/>
      <c r="FSN323" s="14"/>
      <c r="FSO323" s="14"/>
      <c r="FSP323" s="14"/>
      <c r="FSQ323" s="14"/>
      <c r="FSR323" s="14"/>
      <c r="FSS323" s="14"/>
      <c r="FST323" s="14"/>
      <c r="FSU323" s="14"/>
      <c r="FSV323" s="14"/>
      <c r="FSW323" s="14"/>
      <c r="FSX323" s="14"/>
      <c r="FSY323" s="14"/>
      <c r="FSZ323" s="14"/>
      <c r="FTA323" s="14"/>
      <c r="FTB323" s="14"/>
      <c r="FTC323" s="14"/>
      <c r="FTD323" s="14"/>
      <c r="FTE323" s="14"/>
      <c r="FTF323" s="14"/>
      <c r="FTG323" s="14"/>
      <c r="FTH323" s="14"/>
      <c r="FTI323" s="14"/>
      <c r="FTJ323" s="14"/>
      <c r="FTK323" s="14"/>
      <c r="FTL323" s="14"/>
      <c r="FTM323" s="14"/>
      <c r="FTN323" s="14"/>
      <c r="FTO323" s="14"/>
      <c r="FTP323" s="14"/>
      <c r="FTQ323" s="14"/>
      <c r="FTR323" s="14"/>
      <c r="FTS323" s="14"/>
      <c r="FTT323" s="14"/>
      <c r="FTU323" s="14"/>
      <c r="FTV323" s="14"/>
      <c r="FTW323" s="14"/>
      <c r="FTX323" s="14"/>
      <c r="FTY323" s="14"/>
      <c r="FTZ323" s="14"/>
      <c r="FUA323" s="14"/>
      <c r="FUB323" s="14"/>
      <c r="FUC323" s="14"/>
      <c r="FUD323" s="14"/>
      <c r="FUE323" s="14"/>
      <c r="FUF323" s="14"/>
      <c r="FUG323" s="14"/>
      <c r="FUH323" s="14"/>
      <c r="FUI323" s="14"/>
      <c r="FUJ323" s="14"/>
      <c r="FUK323" s="14"/>
      <c r="FUL323" s="14"/>
      <c r="FUM323" s="14"/>
      <c r="FUN323" s="14"/>
      <c r="FUO323" s="14"/>
      <c r="FUP323" s="14"/>
      <c r="FUQ323" s="14"/>
      <c r="FUR323" s="14"/>
      <c r="FUS323" s="14"/>
      <c r="FUT323" s="14"/>
      <c r="FUU323" s="14"/>
      <c r="FUV323" s="14"/>
      <c r="FUW323" s="14"/>
      <c r="FUX323" s="14"/>
      <c r="FUY323" s="14"/>
      <c r="FUZ323" s="14"/>
      <c r="FVA323" s="14"/>
      <c r="FVB323" s="14"/>
      <c r="FVC323" s="14"/>
      <c r="FVD323" s="14"/>
      <c r="FVE323" s="14"/>
      <c r="FVF323" s="14"/>
      <c r="FVG323" s="14"/>
      <c r="FVH323" s="14"/>
      <c r="FVI323" s="14"/>
      <c r="FVJ323" s="14"/>
      <c r="FVK323" s="14"/>
      <c r="FVL323" s="14"/>
      <c r="FVM323" s="14"/>
      <c r="FVN323" s="14"/>
      <c r="FVO323" s="14"/>
      <c r="FVP323" s="14"/>
      <c r="FVQ323" s="14"/>
      <c r="FVR323" s="14"/>
      <c r="FVS323" s="14"/>
      <c r="FVT323" s="14"/>
      <c r="FVU323" s="14"/>
      <c r="FVV323" s="14"/>
      <c r="FVW323" s="14"/>
      <c r="FVX323" s="14"/>
      <c r="FVY323" s="14"/>
      <c r="FVZ323" s="14"/>
      <c r="FWA323" s="14"/>
      <c r="FWB323" s="14"/>
      <c r="FWC323" s="14"/>
      <c r="FWD323" s="14"/>
      <c r="FWE323" s="14"/>
      <c r="FWF323" s="14"/>
      <c r="FWG323" s="14"/>
      <c r="FWH323" s="14"/>
      <c r="FWI323" s="14"/>
      <c r="FWJ323" s="14"/>
      <c r="FWK323" s="14"/>
      <c r="FWL323" s="14"/>
      <c r="FWM323" s="14"/>
      <c r="FWN323" s="14"/>
      <c r="FWO323" s="14"/>
      <c r="FWP323" s="14"/>
      <c r="FWQ323" s="14"/>
      <c r="FWR323" s="14"/>
      <c r="FWS323" s="14"/>
      <c r="FWT323" s="14"/>
      <c r="FWU323" s="14"/>
      <c r="FWV323" s="14"/>
      <c r="FWW323" s="14"/>
      <c r="FWX323" s="14"/>
      <c r="FWY323" s="14"/>
      <c r="FWZ323" s="14"/>
      <c r="FXA323" s="14"/>
      <c r="FXB323" s="14"/>
      <c r="FXC323" s="14"/>
      <c r="FXD323" s="14"/>
      <c r="FXE323" s="14"/>
      <c r="FXF323" s="14"/>
      <c r="FXG323" s="14"/>
      <c r="FXH323" s="14"/>
      <c r="FXI323" s="14"/>
      <c r="FXJ323" s="14"/>
      <c r="FXK323" s="14"/>
      <c r="FXL323" s="14"/>
      <c r="FXM323" s="14"/>
      <c r="FXN323" s="14"/>
      <c r="FXO323" s="14"/>
      <c r="FXP323" s="14"/>
      <c r="FXQ323" s="14"/>
      <c r="FXR323" s="14"/>
      <c r="FXS323" s="14"/>
      <c r="FXT323" s="14"/>
      <c r="FXU323" s="14"/>
      <c r="FXV323" s="14"/>
      <c r="FXW323" s="14"/>
      <c r="FXX323" s="14"/>
      <c r="FXY323" s="14"/>
      <c r="FXZ323" s="14"/>
      <c r="FYA323" s="14"/>
      <c r="FYB323" s="14"/>
      <c r="FYC323" s="14"/>
      <c r="FYD323" s="14"/>
      <c r="FYE323" s="14"/>
      <c r="FYF323" s="14"/>
      <c r="FYG323" s="14"/>
      <c r="FYH323" s="14"/>
      <c r="FYI323" s="14"/>
      <c r="FYJ323" s="14"/>
      <c r="FYK323" s="14"/>
      <c r="FYL323" s="14"/>
      <c r="FYM323" s="14"/>
      <c r="FYN323" s="14"/>
      <c r="FYO323" s="14"/>
      <c r="FYP323" s="14"/>
      <c r="FYQ323" s="14"/>
      <c r="FYR323" s="14"/>
      <c r="FYS323" s="14"/>
      <c r="FYT323" s="14"/>
      <c r="FYU323" s="14"/>
      <c r="FYV323" s="14"/>
      <c r="FYW323" s="14"/>
      <c r="FYX323" s="14"/>
      <c r="FYY323" s="14"/>
      <c r="FYZ323" s="14"/>
      <c r="FZA323" s="14"/>
      <c r="FZB323" s="14"/>
      <c r="FZC323" s="14"/>
      <c r="FZD323" s="14"/>
      <c r="FZE323" s="14"/>
      <c r="FZF323" s="14"/>
      <c r="FZG323" s="14"/>
      <c r="FZH323" s="14"/>
      <c r="FZI323" s="14"/>
      <c r="FZJ323" s="14"/>
      <c r="FZK323" s="14"/>
      <c r="FZL323" s="14"/>
      <c r="FZM323" s="14"/>
      <c r="FZN323" s="14"/>
      <c r="FZO323" s="14"/>
      <c r="FZP323" s="14"/>
      <c r="FZQ323" s="14"/>
      <c r="FZR323" s="14"/>
      <c r="FZS323" s="14"/>
      <c r="FZT323" s="14"/>
      <c r="FZU323" s="14"/>
      <c r="FZV323" s="14"/>
      <c r="FZW323" s="14"/>
      <c r="FZX323" s="14"/>
      <c r="FZY323" s="14"/>
      <c r="FZZ323" s="14"/>
      <c r="GAA323" s="14"/>
      <c r="GAB323" s="14"/>
      <c r="GAC323" s="14"/>
      <c r="GAD323" s="14"/>
      <c r="GAE323" s="14"/>
      <c r="GAF323" s="14"/>
      <c r="GAG323" s="14"/>
      <c r="GAH323" s="14"/>
      <c r="GAI323" s="14"/>
      <c r="GAJ323" s="14"/>
      <c r="GAK323" s="14"/>
      <c r="GAL323" s="14"/>
      <c r="GAM323" s="14"/>
      <c r="GAN323" s="14"/>
      <c r="GAO323" s="14"/>
      <c r="GAP323" s="14"/>
      <c r="GAQ323" s="14"/>
      <c r="GAR323" s="14"/>
      <c r="GAS323" s="14"/>
      <c r="GAT323" s="14"/>
      <c r="GAU323" s="14"/>
      <c r="GAV323" s="14"/>
      <c r="GAW323" s="14"/>
      <c r="GAX323" s="14"/>
      <c r="GAY323" s="14"/>
      <c r="GAZ323" s="14"/>
      <c r="GBA323" s="14"/>
      <c r="GBB323" s="14"/>
      <c r="GBC323" s="14"/>
      <c r="GBD323" s="14"/>
      <c r="GBE323" s="14"/>
      <c r="GBF323" s="14"/>
      <c r="GBG323" s="14"/>
      <c r="GBH323" s="14"/>
      <c r="GBI323" s="14"/>
      <c r="GBJ323" s="14"/>
      <c r="GBK323" s="14"/>
      <c r="GBL323" s="14"/>
      <c r="GBM323" s="14"/>
      <c r="GBN323" s="14"/>
      <c r="GBO323" s="14"/>
      <c r="GBP323" s="14"/>
      <c r="GBQ323" s="14"/>
      <c r="GBR323" s="14"/>
      <c r="GBS323" s="14"/>
      <c r="GBT323" s="14"/>
      <c r="GBU323" s="14"/>
      <c r="GBV323" s="14"/>
      <c r="GBW323" s="14"/>
      <c r="GBX323" s="14"/>
      <c r="GBY323" s="14"/>
      <c r="GBZ323" s="14"/>
      <c r="GCA323" s="14"/>
      <c r="GCB323" s="14"/>
      <c r="GCC323" s="14"/>
      <c r="GCD323" s="14"/>
      <c r="GCE323" s="14"/>
      <c r="GCF323" s="14"/>
      <c r="GCG323" s="14"/>
      <c r="GCH323" s="14"/>
      <c r="GCI323" s="14"/>
      <c r="GCJ323" s="14"/>
      <c r="GCK323" s="14"/>
      <c r="GCL323" s="14"/>
      <c r="GCM323" s="14"/>
      <c r="GCN323" s="14"/>
      <c r="GCO323" s="14"/>
      <c r="GCP323" s="14"/>
      <c r="GCQ323" s="14"/>
      <c r="GCR323" s="14"/>
      <c r="GCS323" s="14"/>
      <c r="GCT323" s="14"/>
      <c r="GCU323" s="14"/>
      <c r="GCV323" s="14"/>
      <c r="GCW323" s="14"/>
      <c r="GCX323" s="14"/>
      <c r="GCY323" s="14"/>
      <c r="GCZ323" s="14"/>
      <c r="GDA323" s="14"/>
      <c r="GDB323" s="14"/>
      <c r="GDC323" s="14"/>
      <c r="GDD323" s="14"/>
      <c r="GDE323" s="14"/>
      <c r="GDF323" s="14"/>
      <c r="GDG323" s="14"/>
      <c r="GDH323" s="14"/>
      <c r="GDI323" s="14"/>
      <c r="GDJ323" s="14"/>
      <c r="GDK323" s="14"/>
      <c r="GDL323" s="14"/>
      <c r="GDM323" s="14"/>
      <c r="GDN323" s="14"/>
      <c r="GDO323" s="14"/>
      <c r="GDP323" s="14"/>
      <c r="GDQ323" s="14"/>
      <c r="GDR323" s="14"/>
      <c r="GDS323" s="14"/>
      <c r="GDT323" s="14"/>
      <c r="GDU323" s="14"/>
      <c r="GDV323" s="14"/>
      <c r="GDW323" s="14"/>
      <c r="GDX323" s="14"/>
      <c r="GDY323" s="14"/>
      <c r="GDZ323" s="14"/>
      <c r="GEA323" s="14"/>
      <c r="GEB323" s="14"/>
      <c r="GEC323" s="14"/>
      <c r="GED323" s="14"/>
      <c r="GEE323" s="14"/>
      <c r="GEF323" s="14"/>
      <c r="GEG323" s="14"/>
      <c r="GEH323" s="14"/>
      <c r="GEI323" s="14"/>
      <c r="GEJ323" s="14"/>
      <c r="GEK323" s="14"/>
      <c r="GEL323" s="14"/>
      <c r="GEM323" s="14"/>
      <c r="GEN323" s="14"/>
      <c r="GEO323" s="14"/>
      <c r="GEP323" s="14"/>
      <c r="GEQ323" s="14"/>
      <c r="GER323" s="14"/>
      <c r="GES323" s="14"/>
      <c r="GET323" s="14"/>
      <c r="GEU323" s="14"/>
      <c r="GEV323" s="14"/>
      <c r="GEW323" s="14"/>
      <c r="GEX323" s="14"/>
      <c r="GEY323" s="14"/>
      <c r="GEZ323" s="14"/>
      <c r="GFA323" s="14"/>
      <c r="GFB323" s="14"/>
      <c r="GFC323" s="14"/>
      <c r="GFD323" s="14"/>
      <c r="GFE323" s="14"/>
      <c r="GFF323" s="14"/>
      <c r="GFG323" s="14"/>
      <c r="GFH323" s="14"/>
      <c r="GFI323" s="14"/>
      <c r="GFJ323" s="14"/>
      <c r="GFK323" s="14"/>
      <c r="GFL323" s="14"/>
      <c r="GFM323" s="14"/>
      <c r="GFN323" s="14"/>
      <c r="GFO323" s="14"/>
      <c r="GFP323" s="14"/>
      <c r="GFQ323" s="14"/>
      <c r="GFR323" s="14"/>
      <c r="GFS323" s="14"/>
      <c r="GFT323" s="14"/>
      <c r="GFU323" s="14"/>
      <c r="GFV323" s="14"/>
      <c r="GFW323" s="14"/>
      <c r="GFX323" s="14"/>
      <c r="GFY323" s="14"/>
      <c r="GFZ323" s="14"/>
      <c r="GGA323" s="14"/>
      <c r="GGB323" s="14"/>
      <c r="GGC323" s="14"/>
      <c r="GGD323" s="14"/>
      <c r="GGE323" s="14"/>
      <c r="GGF323" s="14"/>
      <c r="GGG323" s="14"/>
      <c r="GGH323" s="14"/>
      <c r="GGI323" s="14"/>
      <c r="GGJ323" s="14"/>
      <c r="GGK323" s="14"/>
      <c r="GGL323" s="14"/>
      <c r="GGM323" s="14"/>
      <c r="GGN323" s="14"/>
      <c r="GGO323" s="14"/>
      <c r="GGP323" s="14"/>
      <c r="GGQ323" s="14"/>
      <c r="GGR323" s="14"/>
      <c r="GGS323" s="14"/>
      <c r="GGT323" s="14"/>
      <c r="GGU323" s="14"/>
      <c r="GGV323" s="14"/>
      <c r="GGW323" s="14"/>
      <c r="GGX323" s="14"/>
      <c r="GGY323" s="14"/>
      <c r="GGZ323" s="14"/>
      <c r="GHA323" s="14"/>
      <c r="GHB323" s="14"/>
      <c r="GHC323" s="14"/>
      <c r="GHD323" s="14"/>
      <c r="GHE323" s="14"/>
      <c r="GHF323" s="14"/>
      <c r="GHG323" s="14"/>
      <c r="GHH323" s="14"/>
      <c r="GHI323" s="14"/>
      <c r="GHJ323" s="14"/>
      <c r="GHK323" s="14"/>
      <c r="GHL323" s="14"/>
      <c r="GHM323" s="14"/>
      <c r="GHN323" s="14"/>
      <c r="GHO323" s="14"/>
      <c r="GHP323" s="14"/>
      <c r="GHQ323" s="14"/>
      <c r="GHR323" s="14"/>
      <c r="GHS323" s="14"/>
      <c r="GHT323" s="14"/>
      <c r="GHU323" s="14"/>
      <c r="GHV323" s="14"/>
      <c r="GHW323" s="14"/>
      <c r="GHX323" s="14"/>
      <c r="GHY323" s="14"/>
      <c r="GHZ323" s="14"/>
      <c r="GIA323" s="14"/>
      <c r="GIB323" s="14"/>
      <c r="GIC323" s="14"/>
      <c r="GID323" s="14"/>
      <c r="GIE323" s="14"/>
      <c r="GIF323" s="14"/>
      <c r="GIG323" s="14"/>
      <c r="GIH323" s="14"/>
      <c r="GII323" s="14"/>
      <c r="GIJ323" s="14"/>
      <c r="GIK323" s="14"/>
      <c r="GIL323" s="14"/>
      <c r="GIM323" s="14"/>
      <c r="GIN323" s="14"/>
      <c r="GIO323" s="14"/>
      <c r="GIP323" s="14"/>
      <c r="GIQ323" s="14"/>
      <c r="GIR323" s="14"/>
      <c r="GIS323" s="14"/>
      <c r="GIT323" s="14"/>
      <c r="GIU323" s="14"/>
      <c r="GIV323" s="14"/>
      <c r="GIW323" s="14"/>
      <c r="GIX323" s="14"/>
      <c r="GIY323" s="14"/>
      <c r="GIZ323" s="14"/>
      <c r="GJA323" s="14"/>
      <c r="GJB323" s="14"/>
      <c r="GJC323" s="14"/>
      <c r="GJD323" s="14"/>
      <c r="GJE323" s="14"/>
      <c r="GJF323" s="14"/>
      <c r="GJG323" s="14"/>
      <c r="GJH323" s="14"/>
      <c r="GJI323" s="14"/>
      <c r="GJJ323" s="14"/>
      <c r="GJK323" s="14"/>
      <c r="GJL323" s="14"/>
      <c r="GJM323" s="14"/>
      <c r="GJN323" s="14"/>
      <c r="GJO323" s="14"/>
      <c r="GJP323" s="14"/>
      <c r="GJQ323" s="14"/>
      <c r="GJR323" s="14"/>
      <c r="GJS323" s="14"/>
      <c r="GJT323" s="14"/>
      <c r="GJU323" s="14"/>
      <c r="GJV323" s="14"/>
      <c r="GJW323" s="14"/>
      <c r="GJX323" s="14"/>
      <c r="GJY323" s="14"/>
      <c r="GJZ323" s="14"/>
      <c r="GKA323" s="14"/>
      <c r="GKB323" s="14"/>
      <c r="GKC323" s="14"/>
      <c r="GKD323" s="14"/>
      <c r="GKE323" s="14"/>
      <c r="GKF323" s="14"/>
      <c r="GKG323" s="14"/>
      <c r="GKH323" s="14"/>
      <c r="GKI323" s="14"/>
      <c r="GKJ323" s="14"/>
      <c r="GKK323" s="14"/>
      <c r="GKL323" s="14"/>
      <c r="GKM323" s="14"/>
      <c r="GKN323" s="14"/>
      <c r="GKO323" s="14"/>
      <c r="GKP323" s="14"/>
      <c r="GKQ323" s="14"/>
      <c r="GKR323" s="14"/>
      <c r="GKS323" s="14"/>
      <c r="GKT323" s="14"/>
      <c r="GKU323" s="14"/>
      <c r="GKV323" s="14"/>
      <c r="GKW323" s="14"/>
      <c r="GKX323" s="14"/>
      <c r="GKY323" s="14"/>
      <c r="GKZ323" s="14"/>
      <c r="GLA323" s="14"/>
      <c r="GLB323" s="14"/>
      <c r="GLC323" s="14"/>
      <c r="GLD323" s="14"/>
      <c r="GLE323" s="14"/>
      <c r="GLF323" s="14"/>
      <c r="GLG323" s="14"/>
      <c r="GLH323" s="14"/>
      <c r="GLI323" s="14"/>
      <c r="GLJ323" s="14"/>
      <c r="GLK323" s="14"/>
      <c r="GLL323" s="14"/>
      <c r="GLM323" s="14"/>
      <c r="GLN323" s="14"/>
      <c r="GLO323" s="14"/>
      <c r="GLP323" s="14"/>
      <c r="GLQ323" s="14"/>
      <c r="GLR323" s="14"/>
      <c r="GLS323" s="14"/>
      <c r="GLT323" s="14"/>
      <c r="GLU323" s="14"/>
      <c r="GLV323" s="14"/>
      <c r="GLW323" s="14"/>
      <c r="GLX323" s="14"/>
      <c r="GLY323" s="14"/>
      <c r="GLZ323" s="14"/>
      <c r="GMA323" s="14"/>
      <c r="GMB323" s="14"/>
      <c r="GMC323" s="14"/>
      <c r="GMD323" s="14"/>
      <c r="GME323" s="14"/>
      <c r="GMF323" s="14"/>
      <c r="GMG323" s="14"/>
      <c r="GMH323" s="14"/>
      <c r="GMI323" s="14"/>
      <c r="GMJ323" s="14"/>
      <c r="GMK323" s="14"/>
      <c r="GML323" s="14"/>
      <c r="GMM323" s="14"/>
      <c r="GMN323" s="14"/>
      <c r="GMO323" s="14"/>
      <c r="GMP323" s="14"/>
      <c r="GMQ323" s="14"/>
      <c r="GMR323" s="14"/>
      <c r="GMS323" s="14"/>
      <c r="GMT323" s="14"/>
      <c r="GMU323" s="14"/>
      <c r="GMV323" s="14"/>
      <c r="GMW323" s="14"/>
      <c r="GMX323" s="14"/>
      <c r="GMY323" s="14"/>
      <c r="GMZ323" s="14"/>
      <c r="GNA323" s="14"/>
      <c r="GNB323" s="14"/>
      <c r="GNC323" s="14"/>
      <c r="GND323" s="14"/>
      <c r="GNE323" s="14"/>
      <c r="GNF323" s="14"/>
      <c r="GNG323" s="14"/>
      <c r="GNH323" s="14"/>
      <c r="GNI323" s="14"/>
      <c r="GNJ323" s="14"/>
      <c r="GNK323" s="14"/>
      <c r="GNL323" s="14"/>
      <c r="GNM323" s="14"/>
      <c r="GNN323" s="14"/>
      <c r="GNO323" s="14"/>
      <c r="GNP323" s="14"/>
      <c r="GNQ323" s="14"/>
      <c r="GNR323" s="14"/>
      <c r="GNS323" s="14"/>
      <c r="GNT323" s="14"/>
      <c r="GNU323" s="14"/>
      <c r="GNV323" s="14"/>
      <c r="GNW323" s="14"/>
      <c r="GNX323" s="14"/>
      <c r="GNY323" s="14"/>
      <c r="GNZ323" s="14"/>
      <c r="GOA323" s="14"/>
      <c r="GOB323" s="14"/>
      <c r="GOC323" s="14"/>
      <c r="GOD323" s="14"/>
      <c r="GOE323" s="14"/>
      <c r="GOF323" s="14"/>
      <c r="GOG323" s="14"/>
      <c r="GOH323" s="14"/>
      <c r="GOI323" s="14"/>
      <c r="GOJ323" s="14"/>
      <c r="GOK323" s="14"/>
      <c r="GOL323" s="14"/>
      <c r="GOM323" s="14"/>
      <c r="GON323" s="14"/>
      <c r="GOO323" s="14"/>
      <c r="GOP323" s="14"/>
      <c r="GOQ323" s="14"/>
      <c r="GOR323" s="14"/>
      <c r="GOS323" s="14"/>
      <c r="GOT323" s="14"/>
      <c r="GOU323" s="14"/>
      <c r="GOV323" s="14"/>
      <c r="GOW323" s="14"/>
      <c r="GOX323" s="14"/>
      <c r="GOY323" s="14"/>
      <c r="GOZ323" s="14"/>
      <c r="GPA323" s="14"/>
      <c r="GPB323" s="14"/>
      <c r="GPC323" s="14"/>
      <c r="GPD323" s="14"/>
      <c r="GPE323" s="14"/>
      <c r="GPF323" s="14"/>
      <c r="GPG323" s="14"/>
      <c r="GPH323" s="14"/>
      <c r="GPI323" s="14"/>
      <c r="GPJ323" s="14"/>
      <c r="GPK323" s="14"/>
      <c r="GPL323" s="14"/>
      <c r="GPM323" s="14"/>
      <c r="GPN323" s="14"/>
      <c r="GPO323" s="14"/>
      <c r="GPP323" s="14"/>
      <c r="GPQ323" s="14"/>
      <c r="GPR323" s="14"/>
      <c r="GPS323" s="14"/>
      <c r="GPT323" s="14"/>
      <c r="GPU323" s="14"/>
      <c r="GPV323" s="14"/>
      <c r="GPW323" s="14"/>
      <c r="GPX323" s="14"/>
      <c r="GPY323" s="14"/>
      <c r="GPZ323" s="14"/>
      <c r="GQA323" s="14"/>
      <c r="GQB323" s="14"/>
      <c r="GQC323" s="14"/>
      <c r="GQD323" s="14"/>
      <c r="GQE323" s="14"/>
      <c r="GQF323" s="14"/>
      <c r="GQG323" s="14"/>
      <c r="GQH323" s="14"/>
      <c r="GQI323" s="14"/>
      <c r="GQJ323" s="14"/>
      <c r="GQK323" s="14"/>
      <c r="GQL323" s="14"/>
      <c r="GQM323" s="14"/>
      <c r="GQN323" s="14"/>
      <c r="GQO323" s="14"/>
      <c r="GQP323" s="14"/>
      <c r="GQQ323" s="14"/>
      <c r="GQR323" s="14"/>
      <c r="GQS323" s="14"/>
      <c r="GQT323" s="14"/>
      <c r="GQU323" s="14"/>
      <c r="GQV323" s="14"/>
      <c r="GQW323" s="14"/>
      <c r="GQX323" s="14"/>
      <c r="GQY323" s="14"/>
      <c r="GQZ323" s="14"/>
      <c r="GRA323" s="14"/>
      <c r="GRB323" s="14"/>
      <c r="GRC323" s="14"/>
      <c r="GRD323" s="14"/>
      <c r="GRE323" s="14"/>
      <c r="GRF323" s="14"/>
      <c r="GRG323" s="14"/>
      <c r="GRH323" s="14"/>
      <c r="GRI323" s="14"/>
      <c r="GRJ323" s="14"/>
      <c r="GRK323" s="14"/>
      <c r="GRL323" s="14"/>
      <c r="GRM323" s="14"/>
      <c r="GRN323" s="14"/>
      <c r="GRO323" s="14"/>
      <c r="GRP323" s="14"/>
      <c r="GRQ323" s="14"/>
      <c r="GRR323" s="14"/>
      <c r="GRS323" s="14"/>
      <c r="GRT323" s="14"/>
      <c r="GRU323" s="14"/>
      <c r="GRV323" s="14"/>
      <c r="GRW323" s="14"/>
      <c r="GRX323" s="14"/>
      <c r="GRY323" s="14"/>
      <c r="GRZ323" s="14"/>
      <c r="GSA323" s="14"/>
      <c r="GSB323" s="14"/>
      <c r="GSC323" s="14"/>
      <c r="GSD323" s="14"/>
      <c r="GSE323" s="14"/>
      <c r="GSF323" s="14"/>
      <c r="GSG323" s="14"/>
      <c r="GSH323" s="14"/>
      <c r="GSI323" s="14"/>
      <c r="GSJ323" s="14"/>
      <c r="GSK323" s="14"/>
      <c r="GSL323" s="14"/>
      <c r="GSM323" s="14"/>
      <c r="GSN323" s="14"/>
      <c r="GSO323" s="14"/>
      <c r="GSP323" s="14"/>
      <c r="GSQ323" s="14"/>
      <c r="GSR323" s="14"/>
      <c r="GSS323" s="14"/>
      <c r="GST323" s="14"/>
      <c r="GSU323" s="14"/>
      <c r="GSV323" s="14"/>
      <c r="GSW323" s="14"/>
      <c r="GSX323" s="14"/>
      <c r="GSY323" s="14"/>
      <c r="GSZ323" s="14"/>
      <c r="GTA323" s="14"/>
      <c r="GTB323" s="14"/>
      <c r="GTC323" s="14"/>
      <c r="GTD323" s="14"/>
      <c r="GTE323" s="14"/>
      <c r="GTF323" s="14"/>
      <c r="GTG323" s="14"/>
      <c r="GTH323" s="14"/>
      <c r="GTI323" s="14"/>
      <c r="GTJ323" s="14"/>
      <c r="GTK323" s="14"/>
      <c r="GTL323" s="14"/>
      <c r="GTM323" s="14"/>
      <c r="GTN323" s="14"/>
      <c r="GTO323" s="14"/>
      <c r="GTP323" s="14"/>
      <c r="GTQ323" s="14"/>
      <c r="GTR323" s="14"/>
      <c r="GTS323" s="14"/>
      <c r="GTT323" s="14"/>
      <c r="GTU323" s="14"/>
      <c r="GTV323" s="14"/>
      <c r="GTW323" s="14"/>
      <c r="GTX323" s="14"/>
      <c r="GTY323" s="14"/>
      <c r="GTZ323" s="14"/>
      <c r="GUA323" s="14"/>
      <c r="GUB323" s="14"/>
      <c r="GUC323" s="14"/>
      <c r="GUD323" s="14"/>
      <c r="GUE323" s="14"/>
      <c r="GUF323" s="14"/>
      <c r="GUG323" s="14"/>
      <c r="GUH323" s="14"/>
      <c r="GUI323" s="14"/>
      <c r="GUJ323" s="14"/>
      <c r="GUK323" s="14"/>
      <c r="GUL323" s="14"/>
      <c r="GUM323" s="14"/>
      <c r="GUN323" s="14"/>
      <c r="GUO323" s="14"/>
      <c r="GUP323" s="14"/>
      <c r="GUQ323" s="14"/>
      <c r="GUR323" s="14"/>
      <c r="GUS323" s="14"/>
      <c r="GUT323" s="14"/>
      <c r="GUU323" s="14"/>
      <c r="GUV323" s="14"/>
      <c r="GUW323" s="14"/>
      <c r="GUX323" s="14"/>
      <c r="GUY323" s="14"/>
      <c r="GUZ323" s="14"/>
      <c r="GVA323" s="14"/>
      <c r="GVB323" s="14"/>
      <c r="GVC323" s="14"/>
      <c r="GVD323" s="14"/>
      <c r="GVE323" s="14"/>
      <c r="GVF323" s="14"/>
      <c r="GVG323" s="14"/>
      <c r="GVH323" s="14"/>
      <c r="GVI323" s="14"/>
      <c r="GVJ323" s="14"/>
      <c r="GVK323" s="14"/>
      <c r="GVL323" s="14"/>
      <c r="GVM323" s="14"/>
      <c r="GVN323" s="14"/>
      <c r="GVO323" s="14"/>
      <c r="GVP323" s="14"/>
      <c r="GVQ323" s="14"/>
      <c r="GVR323" s="14"/>
      <c r="GVS323" s="14"/>
      <c r="GVT323" s="14"/>
      <c r="GVU323" s="14"/>
      <c r="GVV323" s="14"/>
      <c r="GVW323" s="14"/>
      <c r="GVX323" s="14"/>
      <c r="GVY323" s="14"/>
      <c r="GVZ323" s="14"/>
      <c r="GWA323" s="14"/>
      <c r="GWB323" s="14"/>
      <c r="GWC323" s="14"/>
      <c r="GWD323" s="14"/>
      <c r="GWE323" s="14"/>
      <c r="GWF323" s="14"/>
      <c r="GWG323" s="14"/>
      <c r="GWH323" s="14"/>
      <c r="GWI323" s="14"/>
      <c r="GWJ323" s="14"/>
      <c r="GWK323" s="14"/>
      <c r="GWL323" s="14"/>
      <c r="GWM323" s="14"/>
      <c r="GWN323" s="14"/>
      <c r="GWO323" s="14"/>
      <c r="GWP323" s="14"/>
      <c r="GWQ323" s="14"/>
      <c r="GWR323" s="14"/>
      <c r="GWS323" s="14"/>
      <c r="GWT323" s="14"/>
      <c r="GWU323" s="14"/>
      <c r="GWV323" s="14"/>
      <c r="GWW323" s="14"/>
      <c r="GWX323" s="14"/>
      <c r="GWY323" s="14"/>
      <c r="GWZ323" s="14"/>
      <c r="GXA323" s="14"/>
      <c r="GXB323" s="14"/>
      <c r="GXC323" s="14"/>
      <c r="GXD323" s="14"/>
      <c r="GXE323" s="14"/>
      <c r="GXF323" s="14"/>
      <c r="GXG323" s="14"/>
      <c r="GXH323" s="14"/>
      <c r="GXI323" s="14"/>
      <c r="GXJ323" s="14"/>
      <c r="GXK323" s="14"/>
      <c r="GXL323" s="14"/>
      <c r="GXM323" s="14"/>
      <c r="GXN323" s="14"/>
      <c r="GXO323" s="14"/>
      <c r="GXP323" s="14"/>
      <c r="GXQ323" s="14"/>
      <c r="GXR323" s="14"/>
      <c r="GXS323" s="14"/>
      <c r="GXT323" s="14"/>
      <c r="GXU323" s="14"/>
      <c r="GXV323" s="14"/>
      <c r="GXW323" s="14"/>
      <c r="GXX323" s="14"/>
      <c r="GXY323" s="14"/>
      <c r="GXZ323" s="14"/>
      <c r="GYA323" s="14"/>
      <c r="GYB323" s="14"/>
      <c r="GYC323" s="14"/>
      <c r="GYD323" s="14"/>
      <c r="GYE323" s="14"/>
      <c r="GYF323" s="14"/>
      <c r="GYG323" s="14"/>
      <c r="GYH323" s="14"/>
      <c r="GYI323" s="14"/>
      <c r="GYJ323" s="14"/>
      <c r="GYK323" s="14"/>
      <c r="GYL323" s="14"/>
      <c r="GYM323" s="14"/>
      <c r="GYN323" s="14"/>
      <c r="GYO323" s="14"/>
      <c r="GYP323" s="14"/>
      <c r="GYQ323" s="14"/>
      <c r="GYR323" s="14"/>
      <c r="GYS323" s="14"/>
      <c r="GYT323" s="14"/>
      <c r="GYU323" s="14"/>
      <c r="GYV323" s="14"/>
      <c r="GYW323" s="14"/>
      <c r="GYX323" s="14"/>
      <c r="GYY323" s="14"/>
      <c r="GYZ323" s="14"/>
      <c r="GZA323" s="14"/>
      <c r="GZB323" s="14"/>
      <c r="GZC323" s="14"/>
      <c r="GZD323" s="14"/>
      <c r="GZE323" s="14"/>
      <c r="GZF323" s="14"/>
      <c r="GZG323" s="14"/>
      <c r="GZH323" s="14"/>
      <c r="GZI323" s="14"/>
      <c r="GZJ323" s="14"/>
      <c r="GZK323" s="14"/>
      <c r="GZL323" s="14"/>
      <c r="GZM323" s="14"/>
      <c r="GZN323" s="14"/>
      <c r="GZO323" s="14"/>
      <c r="GZP323" s="14"/>
      <c r="GZQ323" s="14"/>
      <c r="GZR323" s="14"/>
      <c r="GZS323" s="14"/>
      <c r="GZT323" s="14"/>
      <c r="GZU323" s="14"/>
      <c r="GZV323" s="14"/>
      <c r="GZW323" s="14"/>
      <c r="GZX323" s="14"/>
      <c r="GZY323" s="14"/>
      <c r="GZZ323" s="14"/>
      <c r="HAA323" s="14"/>
      <c r="HAB323" s="14"/>
      <c r="HAC323" s="14"/>
      <c r="HAD323" s="14"/>
      <c r="HAE323" s="14"/>
      <c r="HAF323" s="14"/>
      <c r="HAG323" s="14"/>
      <c r="HAH323" s="14"/>
      <c r="HAI323" s="14"/>
      <c r="HAJ323" s="14"/>
      <c r="HAK323" s="14"/>
      <c r="HAL323" s="14"/>
      <c r="HAM323" s="14"/>
      <c r="HAN323" s="14"/>
      <c r="HAO323" s="14"/>
      <c r="HAP323" s="14"/>
      <c r="HAQ323" s="14"/>
      <c r="HAR323" s="14"/>
      <c r="HAS323" s="14"/>
      <c r="HAT323" s="14"/>
      <c r="HAU323" s="14"/>
      <c r="HAV323" s="14"/>
      <c r="HAW323" s="14"/>
      <c r="HAX323" s="14"/>
      <c r="HAY323" s="14"/>
      <c r="HAZ323" s="14"/>
      <c r="HBA323" s="14"/>
      <c r="HBB323" s="14"/>
      <c r="HBC323" s="14"/>
      <c r="HBD323" s="14"/>
      <c r="HBE323" s="14"/>
      <c r="HBF323" s="14"/>
      <c r="HBG323" s="14"/>
      <c r="HBH323" s="14"/>
      <c r="HBI323" s="14"/>
      <c r="HBJ323" s="14"/>
      <c r="HBK323" s="14"/>
      <c r="HBL323" s="14"/>
      <c r="HBM323" s="14"/>
      <c r="HBN323" s="14"/>
      <c r="HBO323" s="14"/>
      <c r="HBP323" s="14"/>
      <c r="HBQ323" s="14"/>
      <c r="HBR323" s="14"/>
      <c r="HBS323" s="14"/>
      <c r="HBT323" s="14"/>
      <c r="HBU323" s="14"/>
      <c r="HBV323" s="14"/>
      <c r="HBW323" s="14"/>
      <c r="HBX323" s="14"/>
      <c r="HBY323" s="14"/>
      <c r="HBZ323" s="14"/>
      <c r="HCA323" s="14"/>
      <c r="HCB323" s="14"/>
      <c r="HCC323" s="14"/>
      <c r="HCD323" s="14"/>
      <c r="HCE323" s="14"/>
      <c r="HCF323" s="14"/>
      <c r="HCG323" s="14"/>
      <c r="HCH323" s="14"/>
      <c r="HCI323" s="14"/>
      <c r="HCJ323" s="14"/>
      <c r="HCK323" s="14"/>
      <c r="HCL323" s="14"/>
      <c r="HCM323" s="14"/>
      <c r="HCN323" s="14"/>
      <c r="HCO323" s="14"/>
      <c r="HCP323" s="14"/>
      <c r="HCQ323" s="14"/>
      <c r="HCR323" s="14"/>
      <c r="HCS323" s="14"/>
      <c r="HCT323" s="14"/>
      <c r="HCU323" s="14"/>
      <c r="HCV323" s="14"/>
      <c r="HCW323" s="14"/>
      <c r="HCX323" s="14"/>
      <c r="HCY323" s="14"/>
      <c r="HCZ323" s="14"/>
      <c r="HDA323" s="14"/>
      <c r="HDB323" s="14"/>
      <c r="HDC323" s="14"/>
      <c r="HDD323" s="14"/>
      <c r="HDE323" s="14"/>
      <c r="HDF323" s="14"/>
      <c r="HDG323" s="14"/>
      <c r="HDH323" s="14"/>
      <c r="HDI323" s="14"/>
      <c r="HDJ323" s="14"/>
      <c r="HDK323" s="14"/>
      <c r="HDL323" s="14"/>
      <c r="HDM323" s="14"/>
      <c r="HDN323" s="14"/>
      <c r="HDO323" s="14"/>
      <c r="HDP323" s="14"/>
      <c r="HDQ323" s="14"/>
      <c r="HDR323" s="14"/>
      <c r="HDS323" s="14"/>
      <c r="HDT323" s="14"/>
      <c r="HDU323" s="14"/>
      <c r="HDV323" s="14"/>
      <c r="HDW323" s="14"/>
      <c r="HDX323" s="14"/>
      <c r="HDY323" s="14"/>
      <c r="HDZ323" s="14"/>
      <c r="HEA323" s="14"/>
      <c r="HEB323" s="14"/>
      <c r="HEC323" s="14"/>
      <c r="HED323" s="14"/>
      <c r="HEE323" s="14"/>
      <c r="HEF323" s="14"/>
      <c r="HEG323" s="14"/>
      <c r="HEH323" s="14"/>
      <c r="HEI323" s="14"/>
      <c r="HEJ323" s="14"/>
      <c r="HEK323" s="14"/>
      <c r="HEL323" s="14"/>
      <c r="HEM323" s="14"/>
      <c r="HEN323" s="14"/>
      <c r="HEO323" s="14"/>
      <c r="HEP323" s="14"/>
      <c r="HEQ323" s="14"/>
      <c r="HER323" s="14"/>
      <c r="HES323" s="14"/>
      <c r="HET323" s="14"/>
      <c r="HEU323" s="14"/>
      <c r="HEV323" s="14"/>
      <c r="HEW323" s="14"/>
      <c r="HEX323" s="14"/>
      <c r="HEY323" s="14"/>
      <c r="HEZ323" s="14"/>
      <c r="HFA323" s="14"/>
      <c r="HFB323" s="14"/>
      <c r="HFC323" s="14"/>
      <c r="HFD323" s="14"/>
      <c r="HFE323" s="14"/>
      <c r="HFF323" s="14"/>
      <c r="HFG323" s="14"/>
      <c r="HFH323" s="14"/>
      <c r="HFI323" s="14"/>
      <c r="HFJ323" s="14"/>
      <c r="HFK323" s="14"/>
      <c r="HFL323" s="14"/>
      <c r="HFM323" s="14"/>
      <c r="HFN323" s="14"/>
      <c r="HFO323" s="14"/>
      <c r="HFP323" s="14"/>
      <c r="HFQ323" s="14"/>
      <c r="HFR323" s="14"/>
      <c r="HFS323" s="14"/>
      <c r="HFT323" s="14"/>
      <c r="HFU323" s="14"/>
      <c r="HFV323" s="14"/>
      <c r="HFW323" s="14"/>
      <c r="HFX323" s="14"/>
      <c r="HFY323" s="14"/>
      <c r="HFZ323" s="14"/>
      <c r="HGA323" s="14"/>
      <c r="HGB323" s="14"/>
      <c r="HGC323" s="14"/>
      <c r="HGD323" s="14"/>
      <c r="HGE323" s="14"/>
      <c r="HGF323" s="14"/>
      <c r="HGG323" s="14"/>
      <c r="HGH323" s="14"/>
      <c r="HGI323" s="14"/>
      <c r="HGJ323" s="14"/>
      <c r="HGK323" s="14"/>
      <c r="HGL323" s="14"/>
      <c r="HGM323" s="14"/>
      <c r="HGN323" s="14"/>
      <c r="HGO323" s="14"/>
      <c r="HGP323" s="14"/>
      <c r="HGQ323" s="14"/>
      <c r="HGR323" s="14"/>
      <c r="HGS323" s="14"/>
      <c r="HGT323" s="14"/>
      <c r="HGU323" s="14"/>
      <c r="HGV323" s="14"/>
      <c r="HGW323" s="14"/>
      <c r="HGX323" s="14"/>
      <c r="HGY323" s="14"/>
      <c r="HGZ323" s="14"/>
      <c r="HHA323" s="14"/>
      <c r="HHB323" s="14"/>
      <c r="HHC323" s="14"/>
      <c r="HHD323" s="14"/>
      <c r="HHE323" s="14"/>
      <c r="HHF323" s="14"/>
      <c r="HHG323" s="14"/>
      <c r="HHH323" s="14"/>
      <c r="HHI323" s="14"/>
      <c r="HHJ323" s="14"/>
      <c r="HHK323" s="14"/>
      <c r="HHL323" s="14"/>
      <c r="HHM323" s="14"/>
      <c r="HHN323" s="14"/>
      <c r="HHO323" s="14"/>
      <c r="HHP323" s="14"/>
      <c r="HHQ323" s="14"/>
      <c r="HHR323" s="14"/>
      <c r="HHS323" s="14"/>
      <c r="HHT323" s="14"/>
      <c r="HHU323" s="14"/>
      <c r="HHV323" s="14"/>
      <c r="HHW323" s="14"/>
      <c r="HHX323" s="14"/>
      <c r="HHY323" s="14"/>
      <c r="HHZ323" s="14"/>
      <c r="HIA323" s="14"/>
      <c r="HIB323" s="14"/>
      <c r="HIC323" s="14"/>
      <c r="HID323" s="14"/>
      <c r="HIE323" s="14"/>
      <c r="HIF323" s="14"/>
      <c r="HIG323" s="14"/>
      <c r="HIH323" s="14"/>
      <c r="HII323" s="14"/>
      <c r="HIJ323" s="14"/>
      <c r="HIK323" s="14"/>
      <c r="HIL323" s="14"/>
      <c r="HIM323" s="14"/>
      <c r="HIN323" s="14"/>
      <c r="HIO323" s="14"/>
      <c r="HIP323" s="14"/>
      <c r="HIQ323" s="14"/>
      <c r="HIR323" s="14"/>
      <c r="HIS323" s="14"/>
      <c r="HIT323" s="14"/>
      <c r="HIU323" s="14"/>
      <c r="HIV323" s="14"/>
      <c r="HIW323" s="14"/>
      <c r="HIX323" s="14"/>
      <c r="HIY323" s="14"/>
      <c r="HIZ323" s="14"/>
      <c r="HJA323" s="14"/>
      <c r="HJB323" s="14"/>
      <c r="HJC323" s="14"/>
      <c r="HJD323" s="14"/>
      <c r="HJE323" s="14"/>
      <c r="HJF323" s="14"/>
      <c r="HJG323" s="14"/>
      <c r="HJH323" s="14"/>
      <c r="HJI323" s="14"/>
      <c r="HJJ323" s="14"/>
      <c r="HJK323" s="14"/>
      <c r="HJL323" s="14"/>
      <c r="HJM323" s="14"/>
      <c r="HJN323" s="14"/>
      <c r="HJO323" s="14"/>
      <c r="HJP323" s="14"/>
      <c r="HJQ323" s="14"/>
      <c r="HJR323" s="14"/>
      <c r="HJS323" s="14"/>
      <c r="HJT323" s="14"/>
      <c r="HJU323" s="14"/>
      <c r="HJV323" s="14"/>
      <c r="HJW323" s="14"/>
      <c r="HJX323" s="14"/>
      <c r="HJY323" s="14"/>
      <c r="HJZ323" s="14"/>
      <c r="HKA323" s="14"/>
      <c r="HKB323" s="14"/>
      <c r="HKC323" s="14"/>
      <c r="HKD323" s="14"/>
      <c r="HKE323" s="14"/>
      <c r="HKF323" s="14"/>
      <c r="HKG323" s="14"/>
      <c r="HKH323" s="14"/>
      <c r="HKI323" s="14"/>
      <c r="HKJ323" s="14"/>
      <c r="HKK323" s="14"/>
      <c r="HKL323" s="14"/>
      <c r="HKM323" s="14"/>
      <c r="HKN323" s="14"/>
      <c r="HKO323" s="14"/>
      <c r="HKP323" s="14"/>
      <c r="HKQ323" s="14"/>
      <c r="HKR323" s="14"/>
      <c r="HKS323" s="14"/>
      <c r="HKT323" s="14"/>
      <c r="HKU323" s="14"/>
      <c r="HKV323" s="14"/>
      <c r="HKW323" s="14"/>
      <c r="HKX323" s="14"/>
      <c r="HKY323" s="14"/>
      <c r="HKZ323" s="14"/>
      <c r="HLA323" s="14"/>
      <c r="HLB323" s="14"/>
      <c r="HLC323" s="14"/>
      <c r="HLD323" s="14"/>
      <c r="HLE323" s="14"/>
      <c r="HLF323" s="14"/>
      <c r="HLG323" s="14"/>
      <c r="HLH323" s="14"/>
      <c r="HLI323" s="14"/>
      <c r="HLJ323" s="14"/>
      <c r="HLK323" s="14"/>
      <c r="HLL323" s="14"/>
      <c r="HLM323" s="14"/>
      <c r="HLN323" s="14"/>
      <c r="HLO323" s="14"/>
      <c r="HLP323" s="14"/>
      <c r="HLQ323" s="14"/>
      <c r="HLR323" s="14"/>
      <c r="HLS323" s="14"/>
      <c r="HLT323" s="14"/>
      <c r="HLU323" s="14"/>
      <c r="HLV323" s="14"/>
      <c r="HLW323" s="14"/>
      <c r="HLX323" s="14"/>
      <c r="HLY323" s="14"/>
      <c r="HLZ323" s="14"/>
      <c r="HMA323" s="14"/>
      <c r="HMB323" s="14"/>
      <c r="HMC323" s="14"/>
      <c r="HMD323" s="14"/>
      <c r="HME323" s="14"/>
      <c r="HMF323" s="14"/>
      <c r="HMG323" s="14"/>
      <c r="HMH323" s="14"/>
      <c r="HMI323" s="14"/>
      <c r="HMJ323" s="14"/>
      <c r="HMK323" s="14"/>
      <c r="HML323" s="14"/>
      <c r="HMM323" s="14"/>
      <c r="HMN323" s="14"/>
      <c r="HMO323" s="14"/>
      <c r="HMP323" s="14"/>
      <c r="HMQ323" s="14"/>
      <c r="HMR323" s="14"/>
      <c r="HMS323" s="14"/>
      <c r="HMT323" s="14"/>
      <c r="HMU323" s="14"/>
      <c r="HMV323" s="14"/>
      <c r="HMW323" s="14"/>
      <c r="HMX323" s="14"/>
      <c r="HMY323" s="14"/>
      <c r="HMZ323" s="14"/>
      <c r="HNA323" s="14"/>
      <c r="HNB323" s="14"/>
      <c r="HNC323" s="14"/>
      <c r="HND323" s="14"/>
      <c r="HNE323" s="14"/>
      <c r="HNF323" s="14"/>
      <c r="HNG323" s="14"/>
      <c r="HNH323" s="14"/>
      <c r="HNI323" s="14"/>
      <c r="HNJ323" s="14"/>
      <c r="HNK323" s="14"/>
      <c r="HNL323" s="14"/>
      <c r="HNM323" s="14"/>
      <c r="HNN323" s="14"/>
      <c r="HNO323" s="14"/>
      <c r="HNP323" s="14"/>
      <c r="HNQ323" s="14"/>
      <c r="HNR323" s="14"/>
      <c r="HNS323" s="14"/>
      <c r="HNT323" s="14"/>
      <c r="HNU323" s="14"/>
      <c r="HNV323" s="14"/>
      <c r="HNW323" s="14"/>
      <c r="HNX323" s="14"/>
      <c r="HNY323" s="14"/>
      <c r="HNZ323" s="14"/>
      <c r="HOA323" s="14"/>
      <c r="HOB323" s="14"/>
      <c r="HOC323" s="14"/>
      <c r="HOD323" s="14"/>
      <c r="HOE323" s="14"/>
      <c r="HOF323" s="14"/>
      <c r="HOG323" s="14"/>
      <c r="HOH323" s="14"/>
      <c r="HOI323" s="14"/>
      <c r="HOJ323" s="14"/>
      <c r="HOK323" s="14"/>
      <c r="HOL323" s="14"/>
      <c r="HOM323" s="14"/>
      <c r="HON323" s="14"/>
      <c r="HOO323" s="14"/>
      <c r="HOP323" s="14"/>
      <c r="HOQ323" s="14"/>
      <c r="HOR323" s="14"/>
      <c r="HOS323" s="14"/>
      <c r="HOT323" s="14"/>
      <c r="HOU323" s="14"/>
      <c r="HOV323" s="14"/>
      <c r="HOW323" s="14"/>
      <c r="HOX323" s="14"/>
      <c r="HOY323" s="14"/>
      <c r="HOZ323" s="14"/>
      <c r="HPA323" s="14"/>
      <c r="HPB323" s="14"/>
      <c r="HPC323" s="14"/>
      <c r="HPD323" s="14"/>
      <c r="HPE323" s="14"/>
      <c r="HPF323" s="14"/>
      <c r="HPG323" s="14"/>
      <c r="HPH323" s="14"/>
      <c r="HPI323" s="14"/>
      <c r="HPJ323" s="14"/>
      <c r="HPK323" s="14"/>
      <c r="HPL323" s="14"/>
      <c r="HPM323" s="14"/>
      <c r="HPN323" s="14"/>
      <c r="HPO323" s="14"/>
      <c r="HPP323" s="14"/>
      <c r="HPQ323" s="14"/>
      <c r="HPR323" s="14"/>
      <c r="HPS323" s="14"/>
      <c r="HPT323" s="14"/>
      <c r="HPU323" s="14"/>
      <c r="HPV323" s="14"/>
      <c r="HPW323" s="14"/>
      <c r="HPX323" s="14"/>
      <c r="HPY323" s="14"/>
      <c r="HPZ323" s="14"/>
      <c r="HQA323" s="14"/>
      <c r="HQB323" s="14"/>
      <c r="HQC323" s="14"/>
      <c r="HQD323" s="14"/>
      <c r="HQE323" s="14"/>
      <c r="HQF323" s="14"/>
      <c r="HQG323" s="14"/>
      <c r="HQH323" s="14"/>
      <c r="HQI323" s="14"/>
      <c r="HQJ323" s="14"/>
      <c r="HQK323" s="14"/>
      <c r="HQL323" s="14"/>
      <c r="HQM323" s="14"/>
      <c r="HQN323" s="14"/>
      <c r="HQO323" s="14"/>
      <c r="HQP323" s="14"/>
      <c r="HQQ323" s="14"/>
      <c r="HQR323" s="14"/>
      <c r="HQS323" s="14"/>
      <c r="HQT323" s="14"/>
      <c r="HQU323" s="14"/>
      <c r="HQV323" s="14"/>
      <c r="HQW323" s="14"/>
      <c r="HQX323" s="14"/>
      <c r="HQY323" s="14"/>
      <c r="HQZ323" s="14"/>
      <c r="HRA323" s="14"/>
      <c r="HRB323" s="14"/>
      <c r="HRC323" s="14"/>
      <c r="HRD323" s="14"/>
      <c r="HRE323" s="14"/>
      <c r="HRF323" s="14"/>
      <c r="HRG323" s="14"/>
      <c r="HRH323" s="14"/>
      <c r="HRI323" s="14"/>
      <c r="HRJ323" s="14"/>
      <c r="HRK323" s="14"/>
      <c r="HRL323" s="14"/>
      <c r="HRM323" s="14"/>
      <c r="HRN323" s="14"/>
      <c r="HRO323" s="14"/>
      <c r="HRP323" s="14"/>
      <c r="HRQ323" s="14"/>
      <c r="HRR323" s="14"/>
      <c r="HRS323" s="14"/>
      <c r="HRT323" s="14"/>
      <c r="HRU323" s="14"/>
      <c r="HRV323" s="14"/>
      <c r="HRW323" s="14"/>
      <c r="HRX323" s="14"/>
      <c r="HRY323" s="14"/>
      <c r="HRZ323" s="14"/>
      <c r="HSA323" s="14"/>
      <c r="HSB323" s="14"/>
      <c r="HSC323" s="14"/>
      <c r="HSD323" s="14"/>
      <c r="HSE323" s="14"/>
      <c r="HSF323" s="14"/>
      <c r="HSG323" s="14"/>
      <c r="HSH323" s="14"/>
      <c r="HSI323" s="14"/>
      <c r="HSJ323" s="14"/>
      <c r="HSK323" s="14"/>
      <c r="HSL323" s="14"/>
      <c r="HSM323" s="14"/>
      <c r="HSN323" s="14"/>
      <c r="HSO323" s="14"/>
      <c r="HSP323" s="14"/>
      <c r="HSQ323" s="14"/>
      <c r="HSR323" s="14"/>
      <c r="HSS323" s="14"/>
      <c r="HST323" s="14"/>
      <c r="HSU323" s="14"/>
      <c r="HSV323" s="14"/>
      <c r="HSW323" s="14"/>
      <c r="HSX323" s="14"/>
      <c r="HSY323" s="14"/>
      <c r="HSZ323" s="14"/>
      <c r="HTA323" s="14"/>
      <c r="HTB323" s="14"/>
      <c r="HTC323" s="14"/>
      <c r="HTD323" s="14"/>
      <c r="HTE323" s="14"/>
      <c r="HTF323" s="14"/>
      <c r="HTG323" s="14"/>
      <c r="HTH323" s="14"/>
      <c r="HTI323" s="14"/>
      <c r="HTJ323" s="14"/>
      <c r="HTK323" s="14"/>
      <c r="HTL323" s="14"/>
      <c r="HTM323" s="14"/>
      <c r="HTN323" s="14"/>
      <c r="HTO323" s="14"/>
      <c r="HTP323" s="14"/>
      <c r="HTQ323" s="14"/>
      <c r="HTR323" s="14"/>
      <c r="HTS323" s="14"/>
      <c r="HTT323" s="14"/>
      <c r="HTU323" s="14"/>
      <c r="HTV323" s="14"/>
      <c r="HTW323" s="14"/>
      <c r="HTX323" s="14"/>
      <c r="HTY323" s="14"/>
      <c r="HTZ323" s="14"/>
      <c r="HUA323" s="14"/>
      <c r="HUB323" s="14"/>
      <c r="HUC323" s="14"/>
      <c r="HUD323" s="14"/>
      <c r="HUE323" s="14"/>
      <c r="HUF323" s="14"/>
      <c r="HUG323" s="14"/>
      <c r="HUH323" s="14"/>
      <c r="HUI323" s="14"/>
      <c r="HUJ323" s="14"/>
      <c r="HUK323" s="14"/>
      <c r="HUL323" s="14"/>
      <c r="HUM323" s="14"/>
      <c r="HUN323" s="14"/>
      <c r="HUO323" s="14"/>
      <c r="HUP323" s="14"/>
      <c r="HUQ323" s="14"/>
      <c r="HUR323" s="14"/>
      <c r="HUS323" s="14"/>
      <c r="HUT323" s="14"/>
      <c r="HUU323" s="14"/>
      <c r="HUV323" s="14"/>
      <c r="HUW323" s="14"/>
      <c r="HUX323" s="14"/>
      <c r="HUY323" s="14"/>
      <c r="HUZ323" s="14"/>
      <c r="HVA323" s="14"/>
      <c r="HVB323" s="14"/>
      <c r="HVC323" s="14"/>
      <c r="HVD323" s="14"/>
      <c r="HVE323" s="14"/>
      <c r="HVF323" s="14"/>
      <c r="HVG323" s="14"/>
      <c r="HVH323" s="14"/>
      <c r="HVI323" s="14"/>
      <c r="HVJ323" s="14"/>
      <c r="HVK323" s="14"/>
      <c r="HVL323" s="14"/>
      <c r="HVM323" s="14"/>
      <c r="HVN323" s="14"/>
      <c r="HVO323" s="14"/>
      <c r="HVP323" s="14"/>
      <c r="HVQ323" s="14"/>
      <c r="HVR323" s="14"/>
      <c r="HVS323" s="14"/>
      <c r="HVT323" s="14"/>
      <c r="HVU323" s="14"/>
      <c r="HVV323" s="14"/>
      <c r="HVW323" s="14"/>
      <c r="HVX323" s="14"/>
      <c r="HVY323" s="14"/>
      <c r="HVZ323" s="14"/>
      <c r="HWA323" s="14"/>
      <c r="HWB323" s="14"/>
      <c r="HWC323" s="14"/>
      <c r="HWD323" s="14"/>
      <c r="HWE323" s="14"/>
      <c r="HWF323" s="14"/>
      <c r="HWG323" s="14"/>
      <c r="HWH323" s="14"/>
      <c r="HWI323" s="14"/>
      <c r="HWJ323" s="14"/>
      <c r="HWK323" s="14"/>
      <c r="HWL323" s="14"/>
      <c r="HWM323" s="14"/>
      <c r="HWN323" s="14"/>
      <c r="HWO323" s="14"/>
      <c r="HWP323" s="14"/>
      <c r="HWQ323" s="14"/>
      <c r="HWR323" s="14"/>
      <c r="HWS323" s="14"/>
      <c r="HWT323" s="14"/>
      <c r="HWU323" s="14"/>
      <c r="HWV323" s="14"/>
      <c r="HWW323" s="14"/>
      <c r="HWX323" s="14"/>
      <c r="HWY323" s="14"/>
      <c r="HWZ323" s="14"/>
      <c r="HXA323" s="14"/>
      <c r="HXB323" s="14"/>
      <c r="HXC323" s="14"/>
      <c r="HXD323" s="14"/>
      <c r="HXE323" s="14"/>
      <c r="HXF323" s="14"/>
      <c r="HXG323" s="14"/>
      <c r="HXH323" s="14"/>
      <c r="HXI323" s="14"/>
      <c r="HXJ323" s="14"/>
      <c r="HXK323" s="14"/>
      <c r="HXL323" s="14"/>
      <c r="HXM323" s="14"/>
      <c r="HXN323" s="14"/>
      <c r="HXO323" s="14"/>
      <c r="HXP323" s="14"/>
      <c r="HXQ323" s="14"/>
      <c r="HXR323" s="14"/>
      <c r="HXS323" s="14"/>
      <c r="HXT323" s="14"/>
      <c r="HXU323" s="14"/>
      <c r="HXV323" s="14"/>
      <c r="HXW323" s="14"/>
      <c r="HXX323" s="14"/>
      <c r="HXY323" s="14"/>
      <c r="HXZ323" s="14"/>
      <c r="HYA323" s="14"/>
      <c r="HYB323" s="14"/>
      <c r="HYC323" s="14"/>
      <c r="HYD323" s="14"/>
      <c r="HYE323" s="14"/>
      <c r="HYF323" s="14"/>
      <c r="HYG323" s="14"/>
      <c r="HYH323" s="14"/>
      <c r="HYI323" s="14"/>
      <c r="HYJ323" s="14"/>
      <c r="HYK323" s="14"/>
      <c r="HYL323" s="14"/>
      <c r="HYM323" s="14"/>
      <c r="HYN323" s="14"/>
      <c r="HYO323" s="14"/>
      <c r="HYP323" s="14"/>
      <c r="HYQ323" s="14"/>
      <c r="HYR323" s="14"/>
      <c r="HYS323" s="14"/>
      <c r="HYT323" s="14"/>
      <c r="HYU323" s="14"/>
      <c r="HYV323" s="14"/>
      <c r="HYW323" s="14"/>
      <c r="HYX323" s="14"/>
      <c r="HYY323" s="14"/>
      <c r="HYZ323" s="14"/>
      <c r="HZA323" s="14"/>
      <c r="HZB323" s="14"/>
      <c r="HZC323" s="14"/>
      <c r="HZD323" s="14"/>
      <c r="HZE323" s="14"/>
      <c r="HZF323" s="14"/>
      <c r="HZG323" s="14"/>
      <c r="HZH323" s="14"/>
      <c r="HZI323" s="14"/>
      <c r="HZJ323" s="14"/>
      <c r="HZK323" s="14"/>
      <c r="HZL323" s="14"/>
      <c r="HZM323" s="14"/>
      <c r="HZN323" s="14"/>
      <c r="HZO323" s="14"/>
      <c r="HZP323" s="14"/>
      <c r="HZQ323" s="14"/>
      <c r="HZR323" s="14"/>
      <c r="HZS323" s="14"/>
      <c r="HZT323" s="14"/>
      <c r="HZU323" s="14"/>
      <c r="HZV323" s="14"/>
      <c r="HZW323" s="14"/>
      <c r="HZX323" s="14"/>
      <c r="HZY323" s="14"/>
      <c r="HZZ323" s="14"/>
      <c r="IAA323" s="14"/>
      <c r="IAB323" s="14"/>
      <c r="IAC323" s="14"/>
      <c r="IAD323" s="14"/>
      <c r="IAE323" s="14"/>
      <c r="IAF323" s="14"/>
      <c r="IAG323" s="14"/>
      <c r="IAH323" s="14"/>
      <c r="IAI323" s="14"/>
      <c r="IAJ323" s="14"/>
      <c r="IAK323" s="14"/>
      <c r="IAL323" s="14"/>
      <c r="IAM323" s="14"/>
      <c r="IAN323" s="14"/>
      <c r="IAO323" s="14"/>
      <c r="IAP323" s="14"/>
      <c r="IAQ323" s="14"/>
      <c r="IAR323" s="14"/>
      <c r="IAS323" s="14"/>
      <c r="IAT323" s="14"/>
      <c r="IAU323" s="14"/>
      <c r="IAV323" s="14"/>
      <c r="IAW323" s="14"/>
      <c r="IAX323" s="14"/>
      <c r="IAY323" s="14"/>
      <c r="IAZ323" s="14"/>
      <c r="IBA323" s="14"/>
      <c r="IBB323" s="14"/>
      <c r="IBC323" s="14"/>
      <c r="IBD323" s="14"/>
      <c r="IBE323" s="14"/>
      <c r="IBF323" s="14"/>
      <c r="IBG323" s="14"/>
      <c r="IBH323" s="14"/>
      <c r="IBI323" s="14"/>
      <c r="IBJ323" s="14"/>
      <c r="IBK323" s="14"/>
      <c r="IBL323" s="14"/>
      <c r="IBM323" s="14"/>
      <c r="IBN323" s="14"/>
      <c r="IBO323" s="14"/>
      <c r="IBP323" s="14"/>
      <c r="IBQ323" s="14"/>
      <c r="IBR323" s="14"/>
      <c r="IBS323" s="14"/>
      <c r="IBT323" s="14"/>
      <c r="IBU323" s="14"/>
      <c r="IBV323" s="14"/>
      <c r="IBW323" s="14"/>
      <c r="IBX323" s="14"/>
      <c r="IBY323" s="14"/>
      <c r="IBZ323" s="14"/>
      <c r="ICA323" s="14"/>
      <c r="ICB323" s="14"/>
      <c r="ICC323" s="14"/>
      <c r="ICD323" s="14"/>
      <c r="ICE323" s="14"/>
      <c r="ICF323" s="14"/>
      <c r="ICG323" s="14"/>
      <c r="ICH323" s="14"/>
      <c r="ICI323" s="14"/>
      <c r="ICJ323" s="14"/>
      <c r="ICK323" s="14"/>
      <c r="ICL323" s="14"/>
      <c r="ICM323" s="14"/>
      <c r="ICN323" s="14"/>
      <c r="ICO323" s="14"/>
      <c r="ICP323" s="14"/>
      <c r="ICQ323" s="14"/>
      <c r="ICR323" s="14"/>
      <c r="ICS323" s="14"/>
      <c r="ICT323" s="14"/>
      <c r="ICU323" s="14"/>
      <c r="ICV323" s="14"/>
      <c r="ICW323" s="14"/>
      <c r="ICX323" s="14"/>
      <c r="ICY323" s="14"/>
      <c r="ICZ323" s="14"/>
      <c r="IDA323" s="14"/>
      <c r="IDB323" s="14"/>
      <c r="IDC323" s="14"/>
      <c r="IDD323" s="14"/>
      <c r="IDE323" s="14"/>
      <c r="IDF323" s="14"/>
      <c r="IDG323" s="14"/>
      <c r="IDH323" s="14"/>
      <c r="IDI323" s="14"/>
      <c r="IDJ323" s="14"/>
      <c r="IDK323" s="14"/>
      <c r="IDL323" s="14"/>
      <c r="IDM323" s="14"/>
      <c r="IDN323" s="14"/>
      <c r="IDO323" s="14"/>
      <c r="IDP323" s="14"/>
      <c r="IDQ323" s="14"/>
      <c r="IDR323" s="14"/>
      <c r="IDS323" s="14"/>
      <c r="IDT323" s="14"/>
      <c r="IDU323" s="14"/>
      <c r="IDV323" s="14"/>
      <c r="IDW323" s="14"/>
      <c r="IDX323" s="14"/>
      <c r="IDY323" s="14"/>
      <c r="IDZ323" s="14"/>
      <c r="IEA323" s="14"/>
      <c r="IEB323" s="14"/>
      <c r="IEC323" s="14"/>
      <c r="IED323" s="14"/>
      <c r="IEE323" s="14"/>
      <c r="IEF323" s="14"/>
      <c r="IEG323" s="14"/>
      <c r="IEH323" s="14"/>
      <c r="IEI323" s="14"/>
      <c r="IEJ323" s="14"/>
      <c r="IEK323" s="14"/>
      <c r="IEL323" s="14"/>
      <c r="IEM323" s="14"/>
      <c r="IEN323" s="14"/>
      <c r="IEO323" s="14"/>
      <c r="IEP323" s="14"/>
      <c r="IEQ323" s="14"/>
      <c r="IER323" s="14"/>
      <c r="IES323" s="14"/>
      <c r="IET323" s="14"/>
      <c r="IEU323" s="14"/>
      <c r="IEV323" s="14"/>
      <c r="IEW323" s="14"/>
      <c r="IEX323" s="14"/>
      <c r="IEY323" s="14"/>
      <c r="IEZ323" s="14"/>
      <c r="IFA323" s="14"/>
      <c r="IFB323" s="14"/>
      <c r="IFC323" s="14"/>
      <c r="IFD323" s="14"/>
      <c r="IFE323" s="14"/>
      <c r="IFF323" s="14"/>
      <c r="IFG323" s="14"/>
      <c r="IFH323" s="14"/>
      <c r="IFI323" s="14"/>
      <c r="IFJ323" s="14"/>
      <c r="IFK323" s="14"/>
      <c r="IFL323" s="14"/>
      <c r="IFM323" s="14"/>
      <c r="IFN323" s="14"/>
      <c r="IFO323" s="14"/>
      <c r="IFP323" s="14"/>
      <c r="IFQ323" s="14"/>
      <c r="IFR323" s="14"/>
      <c r="IFS323" s="14"/>
      <c r="IFT323" s="14"/>
      <c r="IFU323" s="14"/>
      <c r="IFV323" s="14"/>
      <c r="IFW323" s="14"/>
      <c r="IFX323" s="14"/>
      <c r="IFY323" s="14"/>
      <c r="IFZ323" s="14"/>
      <c r="IGA323" s="14"/>
      <c r="IGB323" s="14"/>
      <c r="IGC323" s="14"/>
      <c r="IGD323" s="14"/>
      <c r="IGE323" s="14"/>
      <c r="IGF323" s="14"/>
      <c r="IGG323" s="14"/>
      <c r="IGH323" s="14"/>
      <c r="IGI323" s="14"/>
      <c r="IGJ323" s="14"/>
      <c r="IGK323" s="14"/>
      <c r="IGL323" s="14"/>
      <c r="IGM323" s="14"/>
      <c r="IGN323" s="14"/>
      <c r="IGO323" s="14"/>
      <c r="IGP323" s="14"/>
      <c r="IGQ323" s="14"/>
      <c r="IGR323" s="14"/>
      <c r="IGS323" s="14"/>
      <c r="IGT323" s="14"/>
      <c r="IGU323" s="14"/>
      <c r="IGV323" s="14"/>
      <c r="IGW323" s="14"/>
      <c r="IGX323" s="14"/>
      <c r="IGY323" s="14"/>
      <c r="IGZ323" s="14"/>
      <c r="IHA323" s="14"/>
      <c r="IHB323" s="14"/>
      <c r="IHC323" s="14"/>
      <c r="IHD323" s="14"/>
      <c r="IHE323" s="14"/>
      <c r="IHF323" s="14"/>
      <c r="IHG323" s="14"/>
      <c r="IHH323" s="14"/>
      <c r="IHI323" s="14"/>
      <c r="IHJ323" s="14"/>
      <c r="IHK323" s="14"/>
      <c r="IHL323" s="14"/>
      <c r="IHM323" s="14"/>
      <c r="IHN323" s="14"/>
      <c r="IHO323" s="14"/>
      <c r="IHP323" s="14"/>
      <c r="IHQ323" s="14"/>
      <c r="IHR323" s="14"/>
      <c r="IHS323" s="14"/>
      <c r="IHT323" s="14"/>
      <c r="IHU323" s="14"/>
      <c r="IHV323" s="14"/>
      <c r="IHW323" s="14"/>
      <c r="IHX323" s="14"/>
      <c r="IHY323" s="14"/>
      <c r="IHZ323" s="14"/>
      <c r="IIA323" s="14"/>
      <c r="IIB323" s="14"/>
      <c r="IIC323" s="14"/>
      <c r="IID323" s="14"/>
      <c r="IIE323" s="14"/>
      <c r="IIF323" s="14"/>
      <c r="IIG323" s="14"/>
      <c r="IIH323" s="14"/>
      <c r="III323" s="14"/>
      <c r="IIJ323" s="14"/>
      <c r="IIK323" s="14"/>
      <c r="IIL323" s="14"/>
      <c r="IIM323" s="14"/>
      <c r="IIN323" s="14"/>
      <c r="IIO323" s="14"/>
      <c r="IIP323" s="14"/>
      <c r="IIQ323" s="14"/>
      <c r="IIR323" s="14"/>
      <c r="IIS323" s="14"/>
      <c r="IIT323" s="14"/>
      <c r="IIU323" s="14"/>
      <c r="IIV323" s="14"/>
      <c r="IIW323" s="14"/>
      <c r="IIX323" s="14"/>
      <c r="IIY323" s="14"/>
      <c r="IIZ323" s="14"/>
      <c r="IJA323" s="14"/>
      <c r="IJB323" s="14"/>
      <c r="IJC323" s="14"/>
      <c r="IJD323" s="14"/>
      <c r="IJE323" s="14"/>
      <c r="IJF323" s="14"/>
      <c r="IJG323" s="14"/>
      <c r="IJH323" s="14"/>
      <c r="IJI323" s="14"/>
      <c r="IJJ323" s="14"/>
      <c r="IJK323" s="14"/>
      <c r="IJL323" s="14"/>
      <c r="IJM323" s="14"/>
      <c r="IJN323" s="14"/>
      <c r="IJO323" s="14"/>
      <c r="IJP323" s="14"/>
      <c r="IJQ323" s="14"/>
      <c r="IJR323" s="14"/>
      <c r="IJS323" s="14"/>
      <c r="IJT323" s="14"/>
      <c r="IJU323" s="14"/>
      <c r="IJV323" s="14"/>
      <c r="IJW323" s="14"/>
      <c r="IJX323" s="14"/>
      <c r="IJY323" s="14"/>
      <c r="IJZ323" s="14"/>
      <c r="IKA323" s="14"/>
      <c r="IKB323" s="14"/>
      <c r="IKC323" s="14"/>
      <c r="IKD323" s="14"/>
      <c r="IKE323" s="14"/>
      <c r="IKF323" s="14"/>
      <c r="IKG323" s="14"/>
      <c r="IKH323" s="14"/>
      <c r="IKI323" s="14"/>
      <c r="IKJ323" s="14"/>
      <c r="IKK323" s="14"/>
      <c r="IKL323" s="14"/>
      <c r="IKM323" s="14"/>
      <c r="IKN323" s="14"/>
      <c r="IKO323" s="14"/>
      <c r="IKP323" s="14"/>
      <c r="IKQ323" s="14"/>
      <c r="IKR323" s="14"/>
      <c r="IKS323" s="14"/>
      <c r="IKT323" s="14"/>
      <c r="IKU323" s="14"/>
      <c r="IKV323" s="14"/>
      <c r="IKW323" s="14"/>
      <c r="IKX323" s="14"/>
      <c r="IKY323" s="14"/>
      <c r="IKZ323" s="14"/>
      <c r="ILA323" s="14"/>
      <c r="ILB323" s="14"/>
      <c r="ILC323" s="14"/>
      <c r="ILD323" s="14"/>
      <c r="ILE323" s="14"/>
      <c r="ILF323" s="14"/>
      <c r="ILG323" s="14"/>
      <c r="ILH323" s="14"/>
      <c r="ILI323" s="14"/>
      <c r="ILJ323" s="14"/>
      <c r="ILK323" s="14"/>
      <c r="ILL323" s="14"/>
      <c r="ILM323" s="14"/>
      <c r="ILN323" s="14"/>
      <c r="ILO323" s="14"/>
      <c r="ILP323" s="14"/>
      <c r="ILQ323" s="14"/>
      <c r="ILR323" s="14"/>
      <c r="ILS323" s="14"/>
      <c r="ILT323" s="14"/>
      <c r="ILU323" s="14"/>
      <c r="ILV323" s="14"/>
      <c r="ILW323" s="14"/>
      <c r="ILX323" s="14"/>
      <c r="ILY323" s="14"/>
      <c r="ILZ323" s="14"/>
      <c r="IMA323" s="14"/>
      <c r="IMB323" s="14"/>
      <c r="IMC323" s="14"/>
      <c r="IMD323" s="14"/>
      <c r="IME323" s="14"/>
      <c r="IMF323" s="14"/>
      <c r="IMG323" s="14"/>
      <c r="IMH323" s="14"/>
      <c r="IMI323" s="14"/>
      <c r="IMJ323" s="14"/>
      <c r="IMK323" s="14"/>
      <c r="IML323" s="14"/>
      <c r="IMM323" s="14"/>
      <c r="IMN323" s="14"/>
      <c r="IMO323" s="14"/>
      <c r="IMP323" s="14"/>
      <c r="IMQ323" s="14"/>
      <c r="IMR323" s="14"/>
      <c r="IMS323" s="14"/>
      <c r="IMT323" s="14"/>
      <c r="IMU323" s="14"/>
      <c r="IMV323" s="14"/>
      <c r="IMW323" s="14"/>
      <c r="IMX323" s="14"/>
      <c r="IMY323" s="14"/>
      <c r="IMZ323" s="14"/>
      <c r="INA323" s="14"/>
      <c r="INB323" s="14"/>
      <c r="INC323" s="14"/>
      <c r="IND323" s="14"/>
      <c r="INE323" s="14"/>
      <c r="INF323" s="14"/>
      <c r="ING323" s="14"/>
      <c r="INH323" s="14"/>
      <c r="INI323" s="14"/>
      <c r="INJ323" s="14"/>
      <c r="INK323" s="14"/>
      <c r="INL323" s="14"/>
      <c r="INM323" s="14"/>
      <c r="INN323" s="14"/>
      <c r="INO323" s="14"/>
      <c r="INP323" s="14"/>
      <c r="INQ323" s="14"/>
      <c r="INR323" s="14"/>
      <c r="INS323" s="14"/>
      <c r="INT323" s="14"/>
      <c r="INU323" s="14"/>
      <c r="INV323" s="14"/>
      <c r="INW323" s="14"/>
      <c r="INX323" s="14"/>
      <c r="INY323" s="14"/>
      <c r="INZ323" s="14"/>
      <c r="IOA323" s="14"/>
      <c r="IOB323" s="14"/>
      <c r="IOC323" s="14"/>
      <c r="IOD323" s="14"/>
      <c r="IOE323" s="14"/>
      <c r="IOF323" s="14"/>
      <c r="IOG323" s="14"/>
      <c r="IOH323" s="14"/>
      <c r="IOI323" s="14"/>
      <c r="IOJ323" s="14"/>
      <c r="IOK323" s="14"/>
      <c r="IOL323" s="14"/>
      <c r="IOM323" s="14"/>
      <c r="ION323" s="14"/>
      <c r="IOO323" s="14"/>
      <c r="IOP323" s="14"/>
      <c r="IOQ323" s="14"/>
      <c r="IOR323" s="14"/>
      <c r="IOS323" s="14"/>
      <c r="IOT323" s="14"/>
      <c r="IOU323" s="14"/>
      <c r="IOV323" s="14"/>
      <c r="IOW323" s="14"/>
      <c r="IOX323" s="14"/>
      <c r="IOY323" s="14"/>
      <c r="IOZ323" s="14"/>
      <c r="IPA323" s="14"/>
      <c r="IPB323" s="14"/>
      <c r="IPC323" s="14"/>
      <c r="IPD323" s="14"/>
      <c r="IPE323" s="14"/>
      <c r="IPF323" s="14"/>
      <c r="IPG323" s="14"/>
      <c r="IPH323" s="14"/>
      <c r="IPI323" s="14"/>
      <c r="IPJ323" s="14"/>
      <c r="IPK323" s="14"/>
      <c r="IPL323" s="14"/>
      <c r="IPM323" s="14"/>
      <c r="IPN323" s="14"/>
      <c r="IPO323" s="14"/>
      <c r="IPP323" s="14"/>
      <c r="IPQ323" s="14"/>
      <c r="IPR323" s="14"/>
      <c r="IPS323" s="14"/>
      <c r="IPT323" s="14"/>
      <c r="IPU323" s="14"/>
      <c r="IPV323" s="14"/>
      <c r="IPW323" s="14"/>
      <c r="IPX323" s="14"/>
      <c r="IPY323" s="14"/>
      <c r="IPZ323" s="14"/>
      <c r="IQA323" s="14"/>
      <c r="IQB323" s="14"/>
      <c r="IQC323" s="14"/>
      <c r="IQD323" s="14"/>
      <c r="IQE323" s="14"/>
      <c r="IQF323" s="14"/>
      <c r="IQG323" s="14"/>
      <c r="IQH323" s="14"/>
      <c r="IQI323" s="14"/>
      <c r="IQJ323" s="14"/>
      <c r="IQK323" s="14"/>
      <c r="IQL323" s="14"/>
      <c r="IQM323" s="14"/>
      <c r="IQN323" s="14"/>
      <c r="IQO323" s="14"/>
      <c r="IQP323" s="14"/>
      <c r="IQQ323" s="14"/>
      <c r="IQR323" s="14"/>
      <c r="IQS323" s="14"/>
      <c r="IQT323" s="14"/>
      <c r="IQU323" s="14"/>
      <c r="IQV323" s="14"/>
      <c r="IQW323" s="14"/>
      <c r="IQX323" s="14"/>
      <c r="IQY323" s="14"/>
      <c r="IQZ323" s="14"/>
      <c r="IRA323" s="14"/>
      <c r="IRB323" s="14"/>
      <c r="IRC323" s="14"/>
      <c r="IRD323" s="14"/>
      <c r="IRE323" s="14"/>
      <c r="IRF323" s="14"/>
      <c r="IRG323" s="14"/>
      <c r="IRH323" s="14"/>
      <c r="IRI323" s="14"/>
      <c r="IRJ323" s="14"/>
      <c r="IRK323" s="14"/>
      <c r="IRL323" s="14"/>
      <c r="IRM323" s="14"/>
      <c r="IRN323" s="14"/>
      <c r="IRO323" s="14"/>
      <c r="IRP323" s="14"/>
      <c r="IRQ323" s="14"/>
      <c r="IRR323" s="14"/>
      <c r="IRS323" s="14"/>
      <c r="IRT323" s="14"/>
      <c r="IRU323" s="14"/>
      <c r="IRV323" s="14"/>
      <c r="IRW323" s="14"/>
      <c r="IRX323" s="14"/>
      <c r="IRY323" s="14"/>
      <c r="IRZ323" s="14"/>
      <c r="ISA323" s="14"/>
      <c r="ISB323" s="14"/>
      <c r="ISC323" s="14"/>
      <c r="ISD323" s="14"/>
      <c r="ISE323" s="14"/>
      <c r="ISF323" s="14"/>
      <c r="ISG323" s="14"/>
      <c r="ISH323" s="14"/>
      <c r="ISI323" s="14"/>
      <c r="ISJ323" s="14"/>
      <c r="ISK323" s="14"/>
      <c r="ISL323" s="14"/>
      <c r="ISM323" s="14"/>
      <c r="ISN323" s="14"/>
      <c r="ISO323" s="14"/>
      <c r="ISP323" s="14"/>
      <c r="ISQ323" s="14"/>
      <c r="ISR323" s="14"/>
      <c r="ISS323" s="14"/>
      <c r="IST323" s="14"/>
      <c r="ISU323" s="14"/>
      <c r="ISV323" s="14"/>
      <c r="ISW323" s="14"/>
      <c r="ISX323" s="14"/>
      <c r="ISY323" s="14"/>
      <c r="ISZ323" s="14"/>
      <c r="ITA323" s="14"/>
      <c r="ITB323" s="14"/>
      <c r="ITC323" s="14"/>
      <c r="ITD323" s="14"/>
      <c r="ITE323" s="14"/>
      <c r="ITF323" s="14"/>
      <c r="ITG323" s="14"/>
      <c r="ITH323" s="14"/>
      <c r="ITI323" s="14"/>
      <c r="ITJ323" s="14"/>
      <c r="ITK323" s="14"/>
      <c r="ITL323" s="14"/>
      <c r="ITM323" s="14"/>
      <c r="ITN323" s="14"/>
      <c r="ITO323" s="14"/>
      <c r="ITP323" s="14"/>
      <c r="ITQ323" s="14"/>
      <c r="ITR323" s="14"/>
      <c r="ITS323" s="14"/>
      <c r="ITT323" s="14"/>
      <c r="ITU323" s="14"/>
      <c r="ITV323" s="14"/>
      <c r="ITW323" s="14"/>
      <c r="ITX323" s="14"/>
      <c r="ITY323" s="14"/>
      <c r="ITZ323" s="14"/>
      <c r="IUA323" s="14"/>
      <c r="IUB323" s="14"/>
      <c r="IUC323" s="14"/>
      <c r="IUD323" s="14"/>
      <c r="IUE323" s="14"/>
      <c r="IUF323" s="14"/>
      <c r="IUG323" s="14"/>
      <c r="IUH323" s="14"/>
      <c r="IUI323" s="14"/>
      <c r="IUJ323" s="14"/>
      <c r="IUK323" s="14"/>
      <c r="IUL323" s="14"/>
      <c r="IUM323" s="14"/>
      <c r="IUN323" s="14"/>
      <c r="IUO323" s="14"/>
      <c r="IUP323" s="14"/>
      <c r="IUQ323" s="14"/>
      <c r="IUR323" s="14"/>
      <c r="IUS323" s="14"/>
      <c r="IUT323" s="14"/>
      <c r="IUU323" s="14"/>
      <c r="IUV323" s="14"/>
      <c r="IUW323" s="14"/>
      <c r="IUX323" s="14"/>
      <c r="IUY323" s="14"/>
      <c r="IUZ323" s="14"/>
      <c r="IVA323" s="14"/>
      <c r="IVB323" s="14"/>
      <c r="IVC323" s="14"/>
      <c r="IVD323" s="14"/>
      <c r="IVE323" s="14"/>
      <c r="IVF323" s="14"/>
      <c r="IVG323" s="14"/>
      <c r="IVH323" s="14"/>
      <c r="IVI323" s="14"/>
      <c r="IVJ323" s="14"/>
      <c r="IVK323" s="14"/>
      <c r="IVL323" s="14"/>
      <c r="IVM323" s="14"/>
      <c r="IVN323" s="14"/>
      <c r="IVO323" s="14"/>
      <c r="IVP323" s="14"/>
      <c r="IVQ323" s="14"/>
      <c r="IVR323" s="14"/>
      <c r="IVS323" s="14"/>
      <c r="IVT323" s="14"/>
      <c r="IVU323" s="14"/>
      <c r="IVV323" s="14"/>
      <c r="IVW323" s="14"/>
      <c r="IVX323" s="14"/>
      <c r="IVY323" s="14"/>
      <c r="IVZ323" s="14"/>
      <c r="IWA323" s="14"/>
      <c r="IWB323" s="14"/>
      <c r="IWC323" s="14"/>
      <c r="IWD323" s="14"/>
      <c r="IWE323" s="14"/>
      <c r="IWF323" s="14"/>
      <c r="IWG323" s="14"/>
      <c r="IWH323" s="14"/>
      <c r="IWI323" s="14"/>
      <c r="IWJ323" s="14"/>
      <c r="IWK323" s="14"/>
      <c r="IWL323" s="14"/>
      <c r="IWM323" s="14"/>
      <c r="IWN323" s="14"/>
      <c r="IWO323" s="14"/>
      <c r="IWP323" s="14"/>
      <c r="IWQ323" s="14"/>
      <c r="IWR323" s="14"/>
      <c r="IWS323" s="14"/>
      <c r="IWT323" s="14"/>
      <c r="IWU323" s="14"/>
      <c r="IWV323" s="14"/>
      <c r="IWW323" s="14"/>
      <c r="IWX323" s="14"/>
      <c r="IWY323" s="14"/>
      <c r="IWZ323" s="14"/>
      <c r="IXA323" s="14"/>
      <c r="IXB323" s="14"/>
      <c r="IXC323" s="14"/>
      <c r="IXD323" s="14"/>
      <c r="IXE323" s="14"/>
      <c r="IXF323" s="14"/>
      <c r="IXG323" s="14"/>
      <c r="IXH323" s="14"/>
      <c r="IXI323" s="14"/>
      <c r="IXJ323" s="14"/>
      <c r="IXK323" s="14"/>
      <c r="IXL323" s="14"/>
      <c r="IXM323" s="14"/>
      <c r="IXN323" s="14"/>
      <c r="IXO323" s="14"/>
      <c r="IXP323" s="14"/>
      <c r="IXQ323" s="14"/>
      <c r="IXR323" s="14"/>
      <c r="IXS323" s="14"/>
      <c r="IXT323" s="14"/>
      <c r="IXU323" s="14"/>
      <c r="IXV323" s="14"/>
      <c r="IXW323" s="14"/>
      <c r="IXX323" s="14"/>
      <c r="IXY323" s="14"/>
      <c r="IXZ323" s="14"/>
      <c r="IYA323" s="14"/>
      <c r="IYB323" s="14"/>
      <c r="IYC323" s="14"/>
      <c r="IYD323" s="14"/>
      <c r="IYE323" s="14"/>
      <c r="IYF323" s="14"/>
      <c r="IYG323" s="14"/>
      <c r="IYH323" s="14"/>
      <c r="IYI323" s="14"/>
      <c r="IYJ323" s="14"/>
      <c r="IYK323" s="14"/>
      <c r="IYL323" s="14"/>
      <c r="IYM323" s="14"/>
      <c r="IYN323" s="14"/>
      <c r="IYO323" s="14"/>
      <c r="IYP323" s="14"/>
      <c r="IYQ323" s="14"/>
      <c r="IYR323" s="14"/>
      <c r="IYS323" s="14"/>
      <c r="IYT323" s="14"/>
      <c r="IYU323" s="14"/>
      <c r="IYV323" s="14"/>
      <c r="IYW323" s="14"/>
      <c r="IYX323" s="14"/>
      <c r="IYY323" s="14"/>
      <c r="IYZ323" s="14"/>
      <c r="IZA323" s="14"/>
      <c r="IZB323" s="14"/>
      <c r="IZC323" s="14"/>
      <c r="IZD323" s="14"/>
      <c r="IZE323" s="14"/>
      <c r="IZF323" s="14"/>
      <c r="IZG323" s="14"/>
      <c r="IZH323" s="14"/>
      <c r="IZI323" s="14"/>
      <c r="IZJ323" s="14"/>
      <c r="IZK323" s="14"/>
      <c r="IZL323" s="14"/>
      <c r="IZM323" s="14"/>
      <c r="IZN323" s="14"/>
      <c r="IZO323" s="14"/>
      <c r="IZP323" s="14"/>
      <c r="IZQ323" s="14"/>
      <c r="IZR323" s="14"/>
      <c r="IZS323" s="14"/>
      <c r="IZT323" s="14"/>
      <c r="IZU323" s="14"/>
      <c r="IZV323" s="14"/>
      <c r="IZW323" s="14"/>
      <c r="IZX323" s="14"/>
      <c r="IZY323" s="14"/>
      <c r="IZZ323" s="14"/>
      <c r="JAA323" s="14"/>
      <c r="JAB323" s="14"/>
      <c r="JAC323" s="14"/>
      <c r="JAD323" s="14"/>
      <c r="JAE323" s="14"/>
      <c r="JAF323" s="14"/>
      <c r="JAG323" s="14"/>
      <c r="JAH323" s="14"/>
      <c r="JAI323" s="14"/>
      <c r="JAJ323" s="14"/>
      <c r="JAK323" s="14"/>
      <c r="JAL323" s="14"/>
      <c r="JAM323" s="14"/>
      <c r="JAN323" s="14"/>
      <c r="JAO323" s="14"/>
      <c r="JAP323" s="14"/>
      <c r="JAQ323" s="14"/>
      <c r="JAR323" s="14"/>
      <c r="JAS323" s="14"/>
      <c r="JAT323" s="14"/>
      <c r="JAU323" s="14"/>
      <c r="JAV323" s="14"/>
      <c r="JAW323" s="14"/>
      <c r="JAX323" s="14"/>
      <c r="JAY323" s="14"/>
      <c r="JAZ323" s="14"/>
      <c r="JBA323" s="14"/>
      <c r="JBB323" s="14"/>
      <c r="JBC323" s="14"/>
      <c r="JBD323" s="14"/>
      <c r="JBE323" s="14"/>
      <c r="JBF323" s="14"/>
      <c r="JBG323" s="14"/>
      <c r="JBH323" s="14"/>
      <c r="JBI323" s="14"/>
      <c r="JBJ323" s="14"/>
      <c r="JBK323" s="14"/>
      <c r="JBL323" s="14"/>
      <c r="JBM323" s="14"/>
      <c r="JBN323" s="14"/>
      <c r="JBO323" s="14"/>
      <c r="JBP323" s="14"/>
      <c r="JBQ323" s="14"/>
      <c r="JBR323" s="14"/>
      <c r="JBS323" s="14"/>
      <c r="JBT323" s="14"/>
      <c r="JBU323" s="14"/>
      <c r="JBV323" s="14"/>
      <c r="JBW323" s="14"/>
      <c r="JBX323" s="14"/>
      <c r="JBY323" s="14"/>
      <c r="JBZ323" s="14"/>
      <c r="JCA323" s="14"/>
      <c r="JCB323" s="14"/>
      <c r="JCC323" s="14"/>
      <c r="JCD323" s="14"/>
      <c r="JCE323" s="14"/>
      <c r="JCF323" s="14"/>
      <c r="JCG323" s="14"/>
      <c r="JCH323" s="14"/>
      <c r="JCI323" s="14"/>
      <c r="JCJ323" s="14"/>
      <c r="JCK323" s="14"/>
      <c r="JCL323" s="14"/>
      <c r="JCM323" s="14"/>
      <c r="JCN323" s="14"/>
      <c r="JCO323" s="14"/>
      <c r="JCP323" s="14"/>
      <c r="JCQ323" s="14"/>
      <c r="JCR323" s="14"/>
      <c r="JCS323" s="14"/>
      <c r="JCT323" s="14"/>
      <c r="JCU323" s="14"/>
      <c r="JCV323" s="14"/>
      <c r="JCW323" s="14"/>
      <c r="JCX323" s="14"/>
      <c r="JCY323" s="14"/>
      <c r="JCZ323" s="14"/>
      <c r="JDA323" s="14"/>
      <c r="JDB323" s="14"/>
      <c r="JDC323" s="14"/>
      <c r="JDD323" s="14"/>
      <c r="JDE323" s="14"/>
      <c r="JDF323" s="14"/>
      <c r="JDG323" s="14"/>
      <c r="JDH323" s="14"/>
      <c r="JDI323" s="14"/>
      <c r="JDJ323" s="14"/>
      <c r="JDK323" s="14"/>
      <c r="JDL323" s="14"/>
      <c r="JDM323" s="14"/>
      <c r="JDN323" s="14"/>
      <c r="JDO323" s="14"/>
      <c r="JDP323" s="14"/>
      <c r="JDQ323" s="14"/>
      <c r="JDR323" s="14"/>
      <c r="JDS323" s="14"/>
      <c r="JDT323" s="14"/>
      <c r="JDU323" s="14"/>
      <c r="JDV323" s="14"/>
      <c r="JDW323" s="14"/>
      <c r="JDX323" s="14"/>
      <c r="JDY323" s="14"/>
      <c r="JDZ323" s="14"/>
      <c r="JEA323" s="14"/>
      <c r="JEB323" s="14"/>
      <c r="JEC323" s="14"/>
      <c r="JED323" s="14"/>
      <c r="JEE323" s="14"/>
      <c r="JEF323" s="14"/>
      <c r="JEG323" s="14"/>
      <c r="JEH323" s="14"/>
      <c r="JEI323" s="14"/>
      <c r="JEJ323" s="14"/>
      <c r="JEK323" s="14"/>
      <c r="JEL323" s="14"/>
      <c r="JEM323" s="14"/>
      <c r="JEN323" s="14"/>
      <c r="JEO323" s="14"/>
      <c r="JEP323" s="14"/>
      <c r="JEQ323" s="14"/>
      <c r="JER323" s="14"/>
      <c r="JES323" s="14"/>
      <c r="JET323" s="14"/>
      <c r="JEU323" s="14"/>
      <c r="JEV323" s="14"/>
      <c r="JEW323" s="14"/>
      <c r="JEX323" s="14"/>
      <c r="JEY323" s="14"/>
      <c r="JEZ323" s="14"/>
      <c r="JFA323" s="14"/>
      <c r="JFB323" s="14"/>
      <c r="JFC323" s="14"/>
      <c r="JFD323" s="14"/>
      <c r="JFE323" s="14"/>
      <c r="JFF323" s="14"/>
      <c r="JFG323" s="14"/>
      <c r="JFH323" s="14"/>
      <c r="JFI323" s="14"/>
      <c r="JFJ323" s="14"/>
      <c r="JFK323" s="14"/>
      <c r="JFL323" s="14"/>
      <c r="JFM323" s="14"/>
      <c r="JFN323" s="14"/>
      <c r="JFO323" s="14"/>
      <c r="JFP323" s="14"/>
      <c r="JFQ323" s="14"/>
      <c r="JFR323" s="14"/>
      <c r="JFS323" s="14"/>
      <c r="JFT323" s="14"/>
      <c r="JFU323" s="14"/>
      <c r="JFV323" s="14"/>
      <c r="JFW323" s="14"/>
      <c r="JFX323" s="14"/>
      <c r="JFY323" s="14"/>
      <c r="JFZ323" s="14"/>
      <c r="JGA323" s="14"/>
      <c r="JGB323" s="14"/>
      <c r="JGC323" s="14"/>
      <c r="JGD323" s="14"/>
      <c r="JGE323" s="14"/>
      <c r="JGF323" s="14"/>
      <c r="JGG323" s="14"/>
      <c r="JGH323" s="14"/>
      <c r="JGI323" s="14"/>
      <c r="JGJ323" s="14"/>
      <c r="JGK323" s="14"/>
      <c r="JGL323" s="14"/>
      <c r="JGM323" s="14"/>
      <c r="JGN323" s="14"/>
      <c r="JGO323" s="14"/>
      <c r="JGP323" s="14"/>
      <c r="JGQ323" s="14"/>
      <c r="JGR323" s="14"/>
      <c r="JGS323" s="14"/>
      <c r="JGT323" s="14"/>
      <c r="JGU323" s="14"/>
      <c r="JGV323" s="14"/>
      <c r="JGW323" s="14"/>
      <c r="JGX323" s="14"/>
      <c r="JGY323" s="14"/>
      <c r="JGZ323" s="14"/>
      <c r="JHA323" s="14"/>
      <c r="JHB323" s="14"/>
      <c r="JHC323" s="14"/>
      <c r="JHD323" s="14"/>
      <c r="JHE323" s="14"/>
      <c r="JHF323" s="14"/>
      <c r="JHG323" s="14"/>
      <c r="JHH323" s="14"/>
      <c r="JHI323" s="14"/>
      <c r="JHJ323" s="14"/>
      <c r="JHK323" s="14"/>
      <c r="JHL323" s="14"/>
      <c r="JHM323" s="14"/>
      <c r="JHN323" s="14"/>
      <c r="JHO323" s="14"/>
      <c r="JHP323" s="14"/>
      <c r="JHQ323" s="14"/>
      <c r="JHR323" s="14"/>
      <c r="JHS323" s="14"/>
      <c r="JHT323" s="14"/>
      <c r="JHU323" s="14"/>
      <c r="JHV323" s="14"/>
      <c r="JHW323" s="14"/>
      <c r="JHX323" s="14"/>
      <c r="JHY323" s="14"/>
      <c r="JHZ323" s="14"/>
      <c r="JIA323" s="14"/>
      <c r="JIB323" s="14"/>
      <c r="JIC323" s="14"/>
      <c r="JID323" s="14"/>
      <c r="JIE323" s="14"/>
      <c r="JIF323" s="14"/>
      <c r="JIG323" s="14"/>
      <c r="JIH323" s="14"/>
      <c r="JII323" s="14"/>
      <c r="JIJ323" s="14"/>
      <c r="JIK323" s="14"/>
      <c r="JIL323" s="14"/>
      <c r="JIM323" s="14"/>
      <c r="JIN323" s="14"/>
      <c r="JIO323" s="14"/>
      <c r="JIP323" s="14"/>
      <c r="JIQ323" s="14"/>
      <c r="JIR323" s="14"/>
      <c r="JIS323" s="14"/>
      <c r="JIT323" s="14"/>
      <c r="JIU323" s="14"/>
      <c r="JIV323" s="14"/>
      <c r="JIW323" s="14"/>
      <c r="JIX323" s="14"/>
      <c r="JIY323" s="14"/>
      <c r="JIZ323" s="14"/>
      <c r="JJA323" s="14"/>
      <c r="JJB323" s="14"/>
      <c r="JJC323" s="14"/>
      <c r="JJD323" s="14"/>
      <c r="JJE323" s="14"/>
      <c r="JJF323" s="14"/>
      <c r="JJG323" s="14"/>
      <c r="JJH323" s="14"/>
      <c r="JJI323" s="14"/>
      <c r="JJJ323" s="14"/>
      <c r="JJK323" s="14"/>
      <c r="JJL323" s="14"/>
      <c r="JJM323" s="14"/>
      <c r="JJN323" s="14"/>
      <c r="JJO323" s="14"/>
      <c r="JJP323" s="14"/>
      <c r="JJQ323" s="14"/>
      <c r="JJR323" s="14"/>
      <c r="JJS323" s="14"/>
      <c r="JJT323" s="14"/>
      <c r="JJU323" s="14"/>
      <c r="JJV323" s="14"/>
      <c r="JJW323" s="14"/>
      <c r="JJX323" s="14"/>
      <c r="JJY323" s="14"/>
      <c r="JJZ323" s="14"/>
      <c r="JKA323" s="14"/>
      <c r="JKB323" s="14"/>
      <c r="JKC323" s="14"/>
      <c r="JKD323" s="14"/>
      <c r="JKE323" s="14"/>
      <c r="JKF323" s="14"/>
      <c r="JKG323" s="14"/>
      <c r="JKH323" s="14"/>
      <c r="JKI323" s="14"/>
      <c r="JKJ323" s="14"/>
      <c r="JKK323" s="14"/>
      <c r="JKL323" s="14"/>
      <c r="JKM323" s="14"/>
      <c r="JKN323" s="14"/>
      <c r="JKO323" s="14"/>
      <c r="JKP323" s="14"/>
      <c r="JKQ323" s="14"/>
      <c r="JKR323" s="14"/>
      <c r="JKS323" s="14"/>
      <c r="JKT323" s="14"/>
      <c r="JKU323" s="14"/>
      <c r="JKV323" s="14"/>
      <c r="JKW323" s="14"/>
      <c r="JKX323" s="14"/>
      <c r="JKY323" s="14"/>
      <c r="JKZ323" s="14"/>
      <c r="JLA323" s="14"/>
      <c r="JLB323" s="14"/>
      <c r="JLC323" s="14"/>
      <c r="JLD323" s="14"/>
      <c r="JLE323" s="14"/>
      <c r="JLF323" s="14"/>
      <c r="JLG323" s="14"/>
      <c r="JLH323" s="14"/>
      <c r="JLI323" s="14"/>
      <c r="JLJ323" s="14"/>
      <c r="JLK323" s="14"/>
      <c r="JLL323" s="14"/>
      <c r="JLM323" s="14"/>
      <c r="JLN323" s="14"/>
      <c r="JLO323" s="14"/>
      <c r="JLP323" s="14"/>
      <c r="JLQ323" s="14"/>
      <c r="JLR323" s="14"/>
      <c r="JLS323" s="14"/>
      <c r="JLT323" s="14"/>
      <c r="JLU323" s="14"/>
      <c r="JLV323" s="14"/>
      <c r="JLW323" s="14"/>
      <c r="JLX323" s="14"/>
      <c r="JLY323" s="14"/>
      <c r="JLZ323" s="14"/>
      <c r="JMA323" s="14"/>
      <c r="JMB323" s="14"/>
      <c r="JMC323" s="14"/>
      <c r="JMD323" s="14"/>
      <c r="JME323" s="14"/>
      <c r="JMF323" s="14"/>
      <c r="JMG323" s="14"/>
      <c r="JMH323" s="14"/>
      <c r="JMI323" s="14"/>
      <c r="JMJ323" s="14"/>
      <c r="JMK323" s="14"/>
      <c r="JML323" s="14"/>
      <c r="JMM323" s="14"/>
      <c r="JMN323" s="14"/>
      <c r="JMO323" s="14"/>
      <c r="JMP323" s="14"/>
      <c r="JMQ323" s="14"/>
      <c r="JMR323" s="14"/>
      <c r="JMS323" s="14"/>
      <c r="JMT323" s="14"/>
      <c r="JMU323" s="14"/>
      <c r="JMV323" s="14"/>
      <c r="JMW323" s="14"/>
      <c r="JMX323" s="14"/>
      <c r="JMY323" s="14"/>
      <c r="JMZ323" s="14"/>
      <c r="JNA323" s="14"/>
      <c r="JNB323" s="14"/>
      <c r="JNC323" s="14"/>
      <c r="JND323" s="14"/>
      <c r="JNE323" s="14"/>
      <c r="JNF323" s="14"/>
      <c r="JNG323" s="14"/>
      <c r="JNH323" s="14"/>
      <c r="JNI323" s="14"/>
      <c r="JNJ323" s="14"/>
      <c r="JNK323" s="14"/>
      <c r="JNL323" s="14"/>
      <c r="JNM323" s="14"/>
      <c r="JNN323" s="14"/>
      <c r="JNO323" s="14"/>
      <c r="JNP323" s="14"/>
      <c r="JNQ323" s="14"/>
      <c r="JNR323" s="14"/>
      <c r="JNS323" s="14"/>
      <c r="JNT323" s="14"/>
      <c r="JNU323" s="14"/>
      <c r="JNV323" s="14"/>
      <c r="JNW323" s="14"/>
      <c r="JNX323" s="14"/>
      <c r="JNY323" s="14"/>
      <c r="JNZ323" s="14"/>
      <c r="JOA323" s="14"/>
      <c r="JOB323" s="14"/>
      <c r="JOC323" s="14"/>
      <c r="JOD323" s="14"/>
      <c r="JOE323" s="14"/>
      <c r="JOF323" s="14"/>
      <c r="JOG323" s="14"/>
      <c r="JOH323" s="14"/>
      <c r="JOI323" s="14"/>
      <c r="JOJ323" s="14"/>
      <c r="JOK323" s="14"/>
      <c r="JOL323" s="14"/>
      <c r="JOM323" s="14"/>
      <c r="JON323" s="14"/>
      <c r="JOO323" s="14"/>
      <c r="JOP323" s="14"/>
      <c r="JOQ323" s="14"/>
      <c r="JOR323" s="14"/>
      <c r="JOS323" s="14"/>
      <c r="JOT323" s="14"/>
      <c r="JOU323" s="14"/>
      <c r="JOV323" s="14"/>
      <c r="JOW323" s="14"/>
      <c r="JOX323" s="14"/>
      <c r="JOY323" s="14"/>
      <c r="JOZ323" s="14"/>
      <c r="JPA323" s="14"/>
      <c r="JPB323" s="14"/>
      <c r="JPC323" s="14"/>
      <c r="JPD323" s="14"/>
      <c r="JPE323" s="14"/>
      <c r="JPF323" s="14"/>
      <c r="JPG323" s="14"/>
      <c r="JPH323" s="14"/>
      <c r="JPI323" s="14"/>
      <c r="JPJ323" s="14"/>
      <c r="JPK323" s="14"/>
      <c r="JPL323" s="14"/>
      <c r="JPM323" s="14"/>
      <c r="JPN323" s="14"/>
      <c r="JPO323" s="14"/>
      <c r="JPP323" s="14"/>
      <c r="JPQ323" s="14"/>
      <c r="JPR323" s="14"/>
      <c r="JPS323" s="14"/>
      <c r="JPT323" s="14"/>
      <c r="JPU323" s="14"/>
      <c r="JPV323" s="14"/>
      <c r="JPW323" s="14"/>
      <c r="JPX323" s="14"/>
      <c r="JPY323" s="14"/>
      <c r="JPZ323" s="14"/>
      <c r="JQA323" s="14"/>
      <c r="JQB323" s="14"/>
      <c r="JQC323" s="14"/>
      <c r="JQD323" s="14"/>
      <c r="JQE323" s="14"/>
      <c r="JQF323" s="14"/>
      <c r="JQG323" s="14"/>
      <c r="JQH323" s="14"/>
      <c r="JQI323" s="14"/>
      <c r="JQJ323" s="14"/>
      <c r="JQK323" s="14"/>
      <c r="JQL323" s="14"/>
      <c r="JQM323" s="14"/>
      <c r="JQN323" s="14"/>
      <c r="JQO323" s="14"/>
      <c r="JQP323" s="14"/>
      <c r="JQQ323" s="14"/>
      <c r="JQR323" s="14"/>
      <c r="JQS323" s="14"/>
      <c r="JQT323" s="14"/>
      <c r="JQU323" s="14"/>
      <c r="JQV323" s="14"/>
      <c r="JQW323" s="14"/>
      <c r="JQX323" s="14"/>
      <c r="JQY323" s="14"/>
      <c r="JQZ323" s="14"/>
      <c r="JRA323" s="14"/>
      <c r="JRB323" s="14"/>
      <c r="JRC323" s="14"/>
      <c r="JRD323" s="14"/>
      <c r="JRE323" s="14"/>
      <c r="JRF323" s="14"/>
      <c r="JRG323" s="14"/>
      <c r="JRH323" s="14"/>
      <c r="JRI323" s="14"/>
      <c r="JRJ323" s="14"/>
      <c r="JRK323" s="14"/>
      <c r="JRL323" s="14"/>
      <c r="JRM323" s="14"/>
      <c r="JRN323" s="14"/>
      <c r="JRO323" s="14"/>
      <c r="JRP323" s="14"/>
      <c r="JRQ323" s="14"/>
      <c r="JRR323" s="14"/>
      <c r="JRS323" s="14"/>
      <c r="JRT323" s="14"/>
      <c r="JRU323" s="14"/>
      <c r="JRV323" s="14"/>
      <c r="JRW323" s="14"/>
      <c r="JRX323" s="14"/>
      <c r="JRY323" s="14"/>
      <c r="JRZ323" s="14"/>
      <c r="JSA323" s="14"/>
      <c r="JSB323" s="14"/>
      <c r="JSC323" s="14"/>
      <c r="JSD323" s="14"/>
      <c r="JSE323" s="14"/>
      <c r="JSF323" s="14"/>
      <c r="JSG323" s="14"/>
      <c r="JSH323" s="14"/>
      <c r="JSI323" s="14"/>
      <c r="JSJ323" s="14"/>
      <c r="JSK323" s="14"/>
      <c r="JSL323" s="14"/>
      <c r="JSM323" s="14"/>
      <c r="JSN323" s="14"/>
      <c r="JSO323" s="14"/>
      <c r="JSP323" s="14"/>
      <c r="JSQ323" s="14"/>
      <c r="JSR323" s="14"/>
      <c r="JSS323" s="14"/>
      <c r="JST323" s="14"/>
      <c r="JSU323" s="14"/>
      <c r="JSV323" s="14"/>
      <c r="JSW323" s="14"/>
      <c r="JSX323" s="14"/>
      <c r="JSY323" s="14"/>
      <c r="JSZ323" s="14"/>
      <c r="JTA323" s="14"/>
      <c r="JTB323" s="14"/>
      <c r="JTC323" s="14"/>
      <c r="JTD323" s="14"/>
      <c r="JTE323" s="14"/>
      <c r="JTF323" s="14"/>
      <c r="JTG323" s="14"/>
      <c r="JTH323" s="14"/>
      <c r="JTI323" s="14"/>
      <c r="JTJ323" s="14"/>
      <c r="JTK323" s="14"/>
      <c r="JTL323" s="14"/>
      <c r="JTM323" s="14"/>
      <c r="JTN323" s="14"/>
      <c r="JTO323" s="14"/>
      <c r="JTP323" s="14"/>
      <c r="JTQ323" s="14"/>
      <c r="JTR323" s="14"/>
      <c r="JTS323" s="14"/>
      <c r="JTT323" s="14"/>
      <c r="JTU323" s="14"/>
      <c r="JTV323" s="14"/>
      <c r="JTW323" s="14"/>
      <c r="JTX323" s="14"/>
      <c r="JTY323" s="14"/>
      <c r="JTZ323" s="14"/>
      <c r="JUA323" s="14"/>
      <c r="JUB323" s="14"/>
      <c r="JUC323" s="14"/>
      <c r="JUD323" s="14"/>
      <c r="JUE323" s="14"/>
      <c r="JUF323" s="14"/>
      <c r="JUG323" s="14"/>
      <c r="JUH323" s="14"/>
      <c r="JUI323" s="14"/>
      <c r="JUJ323" s="14"/>
      <c r="JUK323" s="14"/>
      <c r="JUL323" s="14"/>
      <c r="JUM323" s="14"/>
      <c r="JUN323" s="14"/>
      <c r="JUO323" s="14"/>
      <c r="JUP323" s="14"/>
      <c r="JUQ323" s="14"/>
      <c r="JUR323" s="14"/>
      <c r="JUS323" s="14"/>
      <c r="JUT323" s="14"/>
      <c r="JUU323" s="14"/>
      <c r="JUV323" s="14"/>
      <c r="JUW323" s="14"/>
      <c r="JUX323" s="14"/>
      <c r="JUY323" s="14"/>
      <c r="JUZ323" s="14"/>
      <c r="JVA323" s="14"/>
      <c r="JVB323" s="14"/>
      <c r="JVC323" s="14"/>
      <c r="JVD323" s="14"/>
      <c r="JVE323" s="14"/>
      <c r="JVF323" s="14"/>
      <c r="JVG323" s="14"/>
      <c r="JVH323" s="14"/>
      <c r="JVI323" s="14"/>
      <c r="JVJ323" s="14"/>
      <c r="JVK323" s="14"/>
      <c r="JVL323" s="14"/>
      <c r="JVM323" s="14"/>
      <c r="JVN323" s="14"/>
      <c r="JVO323" s="14"/>
      <c r="JVP323" s="14"/>
      <c r="JVQ323" s="14"/>
      <c r="JVR323" s="14"/>
      <c r="JVS323" s="14"/>
      <c r="JVT323" s="14"/>
      <c r="JVU323" s="14"/>
      <c r="JVV323" s="14"/>
      <c r="JVW323" s="14"/>
      <c r="JVX323" s="14"/>
      <c r="JVY323" s="14"/>
      <c r="JVZ323" s="14"/>
      <c r="JWA323" s="14"/>
      <c r="JWB323" s="14"/>
      <c r="JWC323" s="14"/>
      <c r="JWD323" s="14"/>
      <c r="JWE323" s="14"/>
      <c r="JWF323" s="14"/>
      <c r="JWG323" s="14"/>
      <c r="JWH323" s="14"/>
      <c r="JWI323" s="14"/>
      <c r="JWJ323" s="14"/>
      <c r="JWK323" s="14"/>
      <c r="JWL323" s="14"/>
      <c r="JWM323" s="14"/>
      <c r="JWN323" s="14"/>
      <c r="JWO323" s="14"/>
      <c r="JWP323" s="14"/>
      <c r="JWQ323" s="14"/>
      <c r="JWR323" s="14"/>
      <c r="JWS323" s="14"/>
      <c r="JWT323" s="14"/>
      <c r="JWU323" s="14"/>
      <c r="JWV323" s="14"/>
      <c r="JWW323" s="14"/>
      <c r="JWX323" s="14"/>
      <c r="JWY323" s="14"/>
      <c r="JWZ323" s="14"/>
      <c r="JXA323" s="14"/>
      <c r="JXB323" s="14"/>
      <c r="JXC323" s="14"/>
      <c r="JXD323" s="14"/>
      <c r="JXE323" s="14"/>
      <c r="JXF323" s="14"/>
      <c r="JXG323" s="14"/>
      <c r="JXH323" s="14"/>
      <c r="JXI323" s="14"/>
      <c r="JXJ323" s="14"/>
      <c r="JXK323" s="14"/>
      <c r="JXL323" s="14"/>
      <c r="JXM323" s="14"/>
      <c r="JXN323" s="14"/>
      <c r="JXO323" s="14"/>
      <c r="JXP323" s="14"/>
      <c r="JXQ323" s="14"/>
      <c r="JXR323" s="14"/>
      <c r="JXS323" s="14"/>
      <c r="JXT323" s="14"/>
      <c r="JXU323" s="14"/>
      <c r="JXV323" s="14"/>
      <c r="JXW323" s="14"/>
      <c r="JXX323" s="14"/>
      <c r="JXY323" s="14"/>
      <c r="JXZ323" s="14"/>
      <c r="JYA323" s="14"/>
      <c r="JYB323" s="14"/>
      <c r="JYC323" s="14"/>
      <c r="JYD323" s="14"/>
      <c r="JYE323" s="14"/>
      <c r="JYF323" s="14"/>
      <c r="JYG323" s="14"/>
      <c r="JYH323" s="14"/>
      <c r="JYI323" s="14"/>
      <c r="JYJ323" s="14"/>
      <c r="JYK323" s="14"/>
      <c r="JYL323" s="14"/>
      <c r="JYM323" s="14"/>
      <c r="JYN323" s="14"/>
      <c r="JYO323" s="14"/>
      <c r="JYP323" s="14"/>
      <c r="JYQ323" s="14"/>
      <c r="JYR323" s="14"/>
      <c r="JYS323" s="14"/>
      <c r="JYT323" s="14"/>
      <c r="JYU323" s="14"/>
      <c r="JYV323" s="14"/>
      <c r="JYW323" s="14"/>
      <c r="JYX323" s="14"/>
      <c r="JYY323" s="14"/>
      <c r="JYZ323" s="14"/>
      <c r="JZA323" s="14"/>
      <c r="JZB323" s="14"/>
      <c r="JZC323" s="14"/>
      <c r="JZD323" s="14"/>
      <c r="JZE323" s="14"/>
      <c r="JZF323" s="14"/>
      <c r="JZG323" s="14"/>
      <c r="JZH323" s="14"/>
      <c r="JZI323" s="14"/>
      <c r="JZJ323" s="14"/>
      <c r="JZK323" s="14"/>
      <c r="JZL323" s="14"/>
      <c r="JZM323" s="14"/>
      <c r="JZN323" s="14"/>
      <c r="JZO323" s="14"/>
      <c r="JZP323" s="14"/>
      <c r="JZQ323" s="14"/>
      <c r="JZR323" s="14"/>
      <c r="JZS323" s="14"/>
      <c r="JZT323" s="14"/>
      <c r="JZU323" s="14"/>
      <c r="JZV323" s="14"/>
      <c r="JZW323" s="14"/>
      <c r="JZX323" s="14"/>
      <c r="JZY323" s="14"/>
      <c r="JZZ323" s="14"/>
      <c r="KAA323" s="14"/>
      <c r="KAB323" s="14"/>
      <c r="KAC323" s="14"/>
      <c r="KAD323" s="14"/>
      <c r="KAE323" s="14"/>
      <c r="KAF323" s="14"/>
      <c r="KAG323" s="14"/>
      <c r="KAH323" s="14"/>
      <c r="KAI323" s="14"/>
      <c r="KAJ323" s="14"/>
      <c r="KAK323" s="14"/>
      <c r="KAL323" s="14"/>
      <c r="KAM323" s="14"/>
      <c r="KAN323" s="14"/>
      <c r="KAO323" s="14"/>
      <c r="KAP323" s="14"/>
      <c r="KAQ323" s="14"/>
      <c r="KAR323" s="14"/>
      <c r="KAS323" s="14"/>
      <c r="KAT323" s="14"/>
      <c r="KAU323" s="14"/>
      <c r="KAV323" s="14"/>
      <c r="KAW323" s="14"/>
      <c r="KAX323" s="14"/>
      <c r="KAY323" s="14"/>
      <c r="KAZ323" s="14"/>
      <c r="KBA323" s="14"/>
      <c r="KBB323" s="14"/>
      <c r="KBC323" s="14"/>
      <c r="KBD323" s="14"/>
      <c r="KBE323" s="14"/>
      <c r="KBF323" s="14"/>
      <c r="KBG323" s="14"/>
      <c r="KBH323" s="14"/>
      <c r="KBI323" s="14"/>
      <c r="KBJ323" s="14"/>
      <c r="KBK323" s="14"/>
      <c r="KBL323" s="14"/>
      <c r="KBM323" s="14"/>
      <c r="KBN323" s="14"/>
      <c r="KBO323" s="14"/>
      <c r="KBP323" s="14"/>
      <c r="KBQ323" s="14"/>
      <c r="KBR323" s="14"/>
      <c r="KBS323" s="14"/>
      <c r="KBT323" s="14"/>
      <c r="KBU323" s="14"/>
      <c r="KBV323" s="14"/>
      <c r="KBW323" s="14"/>
      <c r="KBX323" s="14"/>
      <c r="KBY323" s="14"/>
      <c r="KBZ323" s="14"/>
      <c r="KCA323" s="14"/>
      <c r="KCB323" s="14"/>
      <c r="KCC323" s="14"/>
      <c r="KCD323" s="14"/>
      <c r="KCE323" s="14"/>
      <c r="KCF323" s="14"/>
      <c r="KCG323" s="14"/>
      <c r="KCH323" s="14"/>
      <c r="KCI323" s="14"/>
      <c r="KCJ323" s="14"/>
      <c r="KCK323" s="14"/>
      <c r="KCL323" s="14"/>
      <c r="KCM323" s="14"/>
      <c r="KCN323" s="14"/>
      <c r="KCO323" s="14"/>
      <c r="KCP323" s="14"/>
      <c r="KCQ323" s="14"/>
      <c r="KCR323" s="14"/>
      <c r="KCS323" s="14"/>
      <c r="KCT323" s="14"/>
      <c r="KCU323" s="14"/>
      <c r="KCV323" s="14"/>
      <c r="KCW323" s="14"/>
      <c r="KCX323" s="14"/>
      <c r="KCY323" s="14"/>
      <c r="KCZ323" s="14"/>
      <c r="KDA323" s="14"/>
      <c r="KDB323" s="14"/>
      <c r="KDC323" s="14"/>
      <c r="KDD323" s="14"/>
      <c r="KDE323" s="14"/>
      <c r="KDF323" s="14"/>
      <c r="KDG323" s="14"/>
      <c r="KDH323" s="14"/>
      <c r="KDI323" s="14"/>
      <c r="KDJ323" s="14"/>
      <c r="KDK323" s="14"/>
      <c r="KDL323" s="14"/>
      <c r="KDM323" s="14"/>
      <c r="KDN323" s="14"/>
      <c r="KDO323" s="14"/>
      <c r="KDP323" s="14"/>
      <c r="KDQ323" s="14"/>
      <c r="KDR323" s="14"/>
      <c r="KDS323" s="14"/>
      <c r="KDT323" s="14"/>
      <c r="KDU323" s="14"/>
      <c r="KDV323" s="14"/>
      <c r="KDW323" s="14"/>
      <c r="KDX323" s="14"/>
      <c r="KDY323" s="14"/>
      <c r="KDZ323" s="14"/>
      <c r="KEA323" s="14"/>
      <c r="KEB323" s="14"/>
      <c r="KEC323" s="14"/>
      <c r="KED323" s="14"/>
      <c r="KEE323" s="14"/>
      <c r="KEF323" s="14"/>
      <c r="KEG323" s="14"/>
      <c r="KEH323" s="14"/>
      <c r="KEI323" s="14"/>
      <c r="KEJ323" s="14"/>
      <c r="KEK323" s="14"/>
      <c r="KEL323" s="14"/>
      <c r="KEM323" s="14"/>
      <c r="KEN323" s="14"/>
      <c r="KEO323" s="14"/>
      <c r="KEP323" s="14"/>
      <c r="KEQ323" s="14"/>
      <c r="KER323" s="14"/>
      <c r="KES323" s="14"/>
      <c r="KET323" s="14"/>
      <c r="KEU323" s="14"/>
      <c r="KEV323" s="14"/>
      <c r="KEW323" s="14"/>
      <c r="KEX323" s="14"/>
      <c r="KEY323" s="14"/>
      <c r="KEZ323" s="14"/>
      <c r="KFA323" s="14"/>
      <c r="KFB323" s="14"/>
      <c r="KFC323" s="14"/>
      <c r="KFD323" s="14"/>
      <c r="KFE323" s="14"/>
      <c r="KFF323" s="14"/>
      <c r="KFG323" s="14"/>
      <c r="KFH323" s="14"/>
      <c r="KFI323" s="14"/>
      <c r="KFJ323" s="14"/>
      <c r="KFK323" s="14"/>
      <c r="KFL323" s="14"/>
      <c r="KFM323" s="14"/>
      <c r="KFN323" s="14"/>
      <c r="KFO323" s="14"/>
      <c r="KFP323" s="14"/>
      <c r="KFQ323" s="14"/>
      <c r="KFR323" s="14"/>
      <c r="KFS323" s="14"/>
      <c r="KFT323" s="14"/>
      <c r="KFU323" s="14"/>
      <c r="KFV323" s="14"/>
      <c r="KFW323" s="14"/>
      <c r="KFX323" s="14"/>
      <c r="KFY323" s="14"/>
      <c r="KFZ323" s="14"/>
      <c r="KGA323" s="14"/>
      <c r="KGB323" s="14"/>
      <c r="KGC323" s="14"/>
      <c r="KGD323" s="14"/>
      <c r="KGE323" s="14"/>
      <c r="KGF323" s="14"/>
      <c r="KGG323" s="14"/>
      <c r="KGH323" s="14"/>
      <c r="KGI323" s="14"/>
      <c r="KGJ323" s="14"/>
      <c r="KGK323" s="14"/>
      <c r="KGL323" s="14"/>
      <c r="KGM323" s="14"/>
      <c r="KGN323" s="14"/>
      <c r="KGO323" s="14"/>
      <c r="KGP323" s="14"/>
      <c r="KGQ323" s="14"/>
      <c r="KGR323" s="14"/>
      <c r="KGS323" s="14"/>
      <c r="KGT323" s="14"/>
      <c r="KGU323" s="14"/>
      <c r="KGV323" s="14"/>
      <c r="KGW323" s="14"/>
      <c r="KGX323" s="14"/>
      <c r="KGY323" s="14"/>
      <c r="KGZ323" s="14"/>
      <c r="KHA323" s="14"/>
      <c r="KHB323" s="14"/>
      <c r="KHC323" s="14"/>
      <c r="KHD323" s="14"/>
      <c r="KHE323" s="14"/>
      <c r="KHF323" s="14"/>
      <c r="KHG323" s="14"/>
      <c r="KHH323" s="14"/>
      <c r="KHI323" s="14"/>
      <c r="KHJ323" s="14"/>
      <c r="KHK323" s="14"/>
      <c r="KHL323" s="14"/>
      <c r="KHM323" s="14"/>
      <c r="KHN323" s="14"/>
      <c r="KHO323" s="14"/>
      <c r="KHP323" s="14"/>
      <c r="KHQ323" s="14"/>
      <c r="KHR323" s="14"/>
      <c r="KHS323" s="14"/>
      <c r="KHT323" s="14"/>
      <c r="KHU323" s="14"/>
      <c r="KHV323" s="14"/>
      <c r="KHW323" s="14"/>
      <c r="KHX323" s="14"/>
      <c r="KHY323" s="14"/>
      <c r="KHZ323" s="14"/>
      <c r="KIA323" s="14"/>
      <c r="KIB323" s="14"/>
      <c r="KIC323" s="14"/>
      <c r="KID323" s="14"/>
      <c r="KIE323" s="14"/>
      <c r="KIF323" s="14"/>
      <c r="KIG323" s="14"/>
      <c r="KIH323" s="14"/>
      <c r="KII323" s="14"/>
      <c r="KIJ323" s="14"/>
      <c r="KIK323" s="14"/>
      <c r="KIL323" s="14"/>
      <c r="KIM323" s="14"/>
      <c r="KIN323" s="14"/>
      <c r="KIO323" s="14"/>
      <c r="KIP323" s="14"/>
      <c r="KIQ323" s="14"/>
      <c r="KIR323" s="14"/>
      <c r="KIS323" s="14"/>
      <c r="KIT323" s="14"/>
      <c r="KIU323" s="14"/>
      <c r="KIV323" s="14"/>
      <c r="KIW323" s="14"/>
      <c r="KIX323" s="14"/>
      <c r="KIY323" s="14"/>
      <c r="KIZ323" s="14"/>
      <c r="KJA323" s="14"/>
      <c r="KJB323" s="14"/>
      <c r="KJC323" s="14"/>
      <c r="KJD323" s="14"/>
      <c r="KJE323" s="14"/>
      <c r="KJF323" s="14"/>
      <c r="KJG323" s="14"/>
      <c r="KJH323" s="14"/>
      <c r="KJI323" s="14"/>
      <c r="KJJ323" s="14"/>
      <c r="KJK323" s="14"/>
      <c r="KJL323" s="14"/>
      <c r="KJM323" s="14"/>
      <c r="KJN323" s="14"/>
      <c r="KJO323" s="14"/>
      <c r="KJP323" s="14"/>
      <c r="KJQ323" s="14"/>
      <c r="KJR323" s="14"/>
      <c r="KJS323" s="14"/>
      <c r="KJT323" s="14"/>
      <c r="KJU323" s="14"/>
      <c r="KJV323" s="14"/>
      <c r="KJW323" s="14"/>
      <c r="KJX323" s="14"/>
      <c r="KJY323" s="14"/>
      <c r="KJZ323" s="14"/>
      <c r="KKA323" s="14"/>
      <c r="KKB323" s="14"/>
      <c r="KKC323" s="14"/>
      <c r="KKD323" s="14"/>
      <c r="KKE323" s="14"/>
      <c r="KKF323" s="14"/>
      <c r="KKG323" s="14"/>
      <c r="KKH323" s="14"/>
      <c r="KKI323" s="14"/>
      <c r="KKJ323" s="14"/>
      <c r="KKK323" s="14"/>
      <c r="KKL323" s="14"/>
      <c r="KKM323" s="14"/>
      <c r="KKN323" s="14"/>
      <c r="KKO323" s="14"/>
      <c r="KKP323" s="14"/>
      <c r="KKQ323" s="14"/>
      <c r="KKR323" s="14"/>
      <c r="KKS323" s="14"/>
      <c r="KKT323" s="14"/>
      <c r="KKU323" s="14"/>
      <c r="KKV323" s="14"/>
      <c r="KKW323" s="14"/>
      <c r="KKX323" s="14"/>
      <c r="KKY323" s="14"/>
      <c r="KKZ323" s="14"/>
      <c r="KLA323" s="14"/>
      <c r="KLB323" s="14"/>
      <c r="KLC323" s="14"/>
      <c r="KLD323" s="14"/>
      <c r="KLE323" s="14"/>
      <c r="KLF323" s="14"/>
      <c r="KLG323" s="14"/>
      <c r="KLH323" s="14"/>
      <c r="KLI323" s="14"/>
      <c r="KLJ323" s="14"/>
      <c r="KLK323" s="14"/>
      <c r="KLL323" s="14"/>
      <c r="KLM323" s="14"/>
      <c r="KLN323" s="14"/>
      <c r="KLO323" s="14"/>
      <c r="KLP323" s="14"/>
      <c r="KLQ323" s="14"/>
      <c r="KLR323" s="14"/>
      <c r="KLS323" s="14"/>
      <c r="KLT323" s="14"/>
      <c r="KLU323" s="14"/>
      <c r="KLV323" s="14"/>
      <c r="KLW323" s="14"/>
      <c r="KLX323" s="14"/>
      <c r="KLY323" s="14"/>
      <c r="KLZ323" s="14"/>
      <c r="KMA323" s="14"/>
      <c r="KMB323" s="14"/>
      <c r="KMC323" s="14"/>
      <c r="KMD323" s="14"/>
      <c r="KME323" s="14"/>
      <c r="KMF323" s="14"/>
      <c r="KMG323" s="14"/>
      <c r="KMH323" s="14"/>
      <c r="KMI323" s="14"/>
      <c r="KMJ323" s="14"/>
      <c r="KMK323" s="14"/>
      <c r="KML323" s="14"/>
      <c r="KMM323" s="14"/>
      <c r="KMN323" s="14"/>
      <c r="KMO323" s="14"/>
      <c r="KMP323" s="14"/>
      <c r="KMQ323" s="14"/>
      <c r="KMR323" s="14"/>
      <c r="KMS323" s="14"/>
      <c r="KMT323" s="14"/>
      <c r="KMU323" s="14"/>
      <c r="KMV323" s="14"/>
      <c r="KMW323" s="14"/>
      <c r="KMX323" s="14"/>
      <c r="KMY323" s="14"/>
      <c r="KMZ323" s="14"/>
      <c r="KNA323" s="14"/>
      <c r="KNB323" s="14"/>
      <c r="KNC323" s="14"/>
      <c r="KND323" s="14"/>
      <c r="KNE323" s="14"/>
      <c r="KNF323" s="14"/>
      <c r="KNG323" s="14"/>
      <c r="KNH323" s="14"/>
      <c r="KNI323" s="14"/>
      <c r="KNJ323" s="14"/>
      <c r="KNK323" s="14"/>
      <c r="KNL323" s="14"/>
      <c r="KNM323" s="14"/>
      <c r="KNN323" s="14"/>
      <c r="KNO323" s="14"/>
      <c r="KNP323" s="14"/>
      <c r="KNQ323" s="14"/>
      <c r="KNR323" s="14"/>
      <c r="KNS323" s="14"/>
      <c r="KNT323" s="14"/>
      <c r="KNU323" s="14"/>
      <c r="KNV323" s="14"/>
      <c r="KNW323" s="14"/>
      <c r="KNX323" s="14"/>
      <c r="KNY323" s="14"/>
      <c r="KNZ323" s="14"/>
      <c r="KOA323" s="14"/>
      <c r="KOB323" s="14"/>
      <c r="KOC323" s="14"/>
      <c r="KOD323" s="14"/>
      <c r="KOE323" s="14"/>
      <c r="KOF323" s="14"/>
      <c r="KOG323" s="14"/>
      <c r="KOH323" s="14"/>
      <c r="KOI323" s="14"/>
      <c r="KOJ323" s="14"/>
      <c r="KOK323" s="14"/>
      <c r="KOL323" s="14"/>
      <c r="KOM323" s="14"/>
      <c r="KON323" s="14"/>
      <c r="KOO323" s="14"/>
      <c r="KOP323" s="14"/>
      <c r="KOQ323" s="14"/>
      <c r="KOR323" s="14"/>
      <c r="KOS323" s="14"/>
      <c r="KOT323" s="14"/>
      <c r="KOU323" s="14"/>
      <c r="KOV323" s="14"/>
      <c r="KOW323" s="14"/>
      <c r="KOX323" s="14"/>
      <c r="KOY323" s="14"/>
      <c r="KOZ323" s="14"/>
      <c r="KPA323" s="14"/>
      <c r="KPB323" s="14"/>
      <c r="KPC323" s="14"/>
      <c r="KPD323" s="14"/>
      <c r="KPE323" s="14"/>
      <c r="KPF323" s="14"/>
      <c r="KPG323" s="14"/>
      <c r="KPH323" s="14"/>
      <c r="KPI323" s="14"/>
      <c r="KPJ323" s="14"/>
      <c r="KPK323" s="14"/>
      <c r="KPL323" s="14"/>
      <c r="KPM323" s="14"/>
      <c r="KPN323" s="14"/>
      <c r="KPO323" s="14"/>
      <c r="KPP323" s="14"/>
      <c r="KPQ323" s="14"/>
      <c r="KPR323" s="14"/>
      <c r="KPS323" s="14"/>
      <c r="KPT323" s="14"/>
      <c r="KPU323" s="14"/>
      <c r="KPV323" s="14"/>
      <c r="KPW323" s="14"/>
      <c r="KPX323" s="14"/>
      <c r="KPY323" s="14"/>
      <c r="KPZ323" s="14"/>
      <c r="KQA323" s="14"/>
      <c r="KQB323" s="14"/>
      <c r="KQC323" s="14"/>
      <c r="KQD323" s="14"/>
      <c r="KQE323" s="14"/>
      <c r="KQF323" s="14"/>
      <c r="KQG323" s="14"/>
      <c r="KQH323" s="14"/>
      <c r="KQI323" s="14"/>
      <c r="KQJ323" s="14"/>
      <c r="KQK323" s="14"/>
      <c r="KQL323" s="14"/>
      <c r="KQM323" s="14"/>
      <c r="KQN323" s="14"/>
      <c r="KQO323" s="14"/>
      <c r="KQP323" s="14"/>
      <c r="KQQ323" s="14"/>
      <c r="KQR323" s="14"/>
      <c r="KQS323" s="14"/>
      <c r="KQT323" s="14"/>
      <c r="KQU323" s="14"/>
      <c r="KQV323" s="14"/>
      <c r="KQW323" s="14"/>
      <c r="KQX323" s="14"/>
      <c r="KQY323" s="14"/>
      <c r="KQZ323" s="14"/>
      <c r="KRA323" s="14"/>
      <c r="KRB323" s="14"/>
      <c r="KRC323" s="14"/>
      <c r="KRD323" s="14"/>
      <c r="KRE323" s="14"/>
      <c r="KRF323" s="14"/>
      <c r="KRG323" s="14"/>
      <c r="KRH323" s="14"/>
      <c r="KRI323" s="14"/>
      <c r="KRJ323" s="14"/>
      <c r="KRK323" s="14"/>
      <c r="KRL323" s="14"/>
      <c r="KRM323" s="14"/>
      <c r="KRN323" s="14"/>
      <c r="KRO323" s="14"/>
      <c r="KRP323" s="14"/>
      <c r="KRQ323" s="14"/>
      <c r="KRR323" s="14"/>
      <c r="KRS323" s="14"/>
      <c r="KRT323" s="14"/>
      <c r="KRU323" s="14"/>
      <c r="KRV323" s="14"/>
      <c r="KRW323" s="14"/>
      <c r="KRX323" s="14"/>
      <c r="KRY323" s="14"/>
      <c r="KRZ323" s="14"/>
      <c r="KSA323" s="14"/>
      <c r="KSB323" s="14"/>
      <c r="KSC323" s="14"/>
      <c r="KSD323" s="14"/>
      <c r="KSE323" s="14"/>
      <c r="KSF323" s="14"/>
      <c r="KSG323" s="14"/>
      <c r="KSH323" s="14"/>
      <c r="KSI323" s="14"/>
      <c r="KSJ323" s="14"/>
      <c r="KSK323" s="14"/>
      <c r="KSL323" s="14"/>
      <c r="KSM323" s="14"/>
      <c r="KSN323" s="14"/>
      <c r="KSO323" s="14"/>
      <c r="KSP323" s="14"/>
      <c r="KSQ323" s="14"/>
      <c r="KSR323" s="14"/>
      <c r="KSS323" s="14"/>
      <c r="KST323" s="14"/>
      <c r="KSU323" s="14"/>
      <c r="KSV323" s="14"/>
      <c r="KSW323" s="14"/>
      <c r="KSX323" s="14"/>
      <c r="KSY323" s="14"/>
      <c r="KSZ323" s="14"/>
      <c r="KTA323" s="14"/>
      <c r="KTB323" s="14"/>
      <c r="KTC323" s="14"/>
      <c r="KTD323" s="14"/>
      <c r="KTE323" s="14"/>
      <c r="KTF323" s="14"/>
      <c r="KTG323" s="14"/>
      <c r="KTH323" s="14"/>
      <c r="KTI323" s="14"/>
      <c r="KTJ323" s="14"/>
      <c r="KTK323" s="14"/>
      <c r="KTL323" s="14"/>
      <c r="KTM323" s="14"/>
      <c r="KTN323" s="14"/>
      <c r="KTO323" s="14"/>
      <c r="KTP323" s="14"/>
      <c r="KTQ323" s="14"/>
      <c r="KTR323" s="14"/>
      <c r="KTS323" s="14"/>
      <c r="KTT323" s="14"/>
      <c r="KTU323" s="14"/>
      <c r="KTV323" s="14"/>
      <c r="KTW323" s="14"/>
      <c r="KTX323" s="14"/>
      <c r="KTY323" s="14"/>
      <c r="KTZ323" s="14"/>
      <c r="KUA323" s="14"/>
      <c r="KUB323" s="14"/>
      <c r="KUC323" s="14"/>
      <c r="KUD323" s="14"/>
      <c r="KUE323" s="14"/>
      <c r="KUF323" s="14"/>
      <c r="KUG323" s="14"/>
      <c r="KUH323" s="14"/>
      <c r="KUI323" s="14"/>
      <c r="KUJ323" s="14"/>
      <c r="KUK323" s="14"/>
      <c r="KUL323" s="14"/>
      <c r="KUM323" s="14"/>
      <c r="KUN323" s="14"/>
      <c r="KUO323" s="14"/>
      <c r="KUP323" s="14"/>
      <c r="KUQ323" s="14"/>
      <c r="KUR323" s="14"/>
      <c r="KUS323" s="14"/>
      <c r="KUT323" s="14"/>
      <c r="KUU323" s="14"/>
      <c r="KUV323" s="14"/>
      <c r="KUW323" s="14"/>
      <c r="KUX323" s="14"/>
      <c r="KUY323" s="14"/>
      <c r="KUZ323" s="14"/>
      <c r="KVA323" s="14"/>
      <c r="KVB323" s="14"/>
      <c r="KVC323" s="14"/>
      <c r="KVD323" s="14"/>
      <c r="KVE323" s="14"/>
      <c r="KVF323" s="14"/>
      <c r="KVG323" s="14"/>
      <c r="KVH323" s="14"/>
      <c r="KVI323" s="14"/>
      <c r="KVJ323" s="14"/>
      <c r="KVK323" s="14"/>
      <c r="KVL323" s="14"/>
      <c r="KVM323" s="14"/>
      <c r="KVN323" s="14"/>
      <c r="KVO323" s="14"/>
      <c r="KVP323" s="14"/>
      <c r="KVQ323" s="14"/>
      <c r="KVR323" s="14"/>
      <c r="KVS323" s="14"/>
      <c r="KVT323" s="14"/>
      <c r="KVU323" s="14"/>
      <c r="KVV323" s="14"/>
      <c r="KVW323" s="14"/>
      <c r="KVX323" s="14"/>
      <c r="KVY323" s="14"/>
      <c r="KVZ323" s="14"/>
      <c r="KWA323" s="14"/>
      <c r="KWB323" s="14"/>
      <c r="KWC323" s="14"/>
      <c r="KWD323" s="14"/>
      <c r="KWE323" s="14"/>
      <c r="KWF323" s="14"/>
      <c r="KWG323" s="14"/>
      <c r="KWH323" s="14"/>
      <c r="KWI323" s="14"/>
      <c r="KWJ323" s="14"/>
      <c r="KWK323" s="14"/>
      <c r="KWL323" s="14"/>
      <c r="KWM323" s="14"/>
      <c r="KWN323" s="14"/>
      <c r="KWO323" s="14"/>
      <c r="KWP323" s="14"/>
      <c r="KWQ323" s="14"/>
      <c r="KWR323" s="14"/>
      <c r="KWS323" s="14"/>
      <c r="KWT323" s="14"/>
      <c r="KWU323" s="14"/>
      <c r="KWV323" s="14"/>
      <c r="KWW323" s="14"/>
      <c r="KWX323" s="14"/>
      <c r="KWY323" s="14"/>
      <c r="KWZ323" s="14"/>
      <c r="KXA323" s="14"/>
      <c r="KXB323" s="14"/>
      <c r="KXC323" s="14"/>
      <c r="KXD323" s="14"/>
      <c r="KXE323" s="14"/>
      <c r="KXF323" s="14"/>
      <c r="KXG323" s="14"/>
      <c r="KXH323" s="14"/>
      <c r="KXI323" s="14"/>
      <c r="KXJ323" s="14"/>
      <c r="KXK323" s="14"/>
      <c r="KXL323" s="14"/>
      <c r="KXM323" s="14"/>
      <c r="KXN323" s="14"/>
      <c r="KXO323" s="14"/>
      <c r="KXP323" s="14"/>
      <c r="KXQ323" s="14"/>
      <c r="KXR323" s="14"/>
      <c r="KXS323" s="14"/>
      <c r="KXT323" s="14"/>
      <c r="KXU323" s="14"/>
      <c r="KXV323" s="14"/>
      <c r="KXW323" s="14"/>
      <c r="KXX323" s="14"/>
      <c r="KXY323" s="14"/>
      <c r="KXZ323" s="14"/>
      <c r="KYA323" s="14"/>
      <c r="KYB323" s="14"/>
      <c r="KYC323" s="14"/>
      <c r="KYD323" s="14"/>
      <c r="KYE323" s="14"/>
      <c r="KYF323" s="14"/>
      <c r="KYG323" s="14"/>
      <c r="KYH323" s="14"/>
      <c r="KYI323" s="14"/>
      <c r="KYJ323" s="14"/>
      <c r="KYK323" s="14"/>
      <c r="KYL323" s="14"/>
      <c r="KYM323" s="14"/>
      <c r="KYN323" s="14"/>
      <c r="KYO323" s="14"/>
      <c r="KYP323" s="14"/>
      <c r="KYQ323" s="14"/>
      <c r="KYR323" s="14"/>
      <c r="KYS323" s="14"/>
      <c r="KYT323" s="14"/>
      <c r="KYU323" s="14"/>
      <c r="KYV323" s="14"/>
      <c r="KYW323" s="14"/>
      <c r="KYX323" s="14"/>
      <c r="KYY323" s="14"/>
      <c r="KYZ323" s="14"/>
      <c r="KZA323" s="14"/>
      <c r="KZB323" s="14"/>
      <c r="KZC323" s="14"/>
      <c r="KZD323" s="14"/>
      <c r="KZE323" s="14"/>
      <c r="KZF323" s="14"/>
      <c r="KZG323" s="14"/>
      <c r="KZH323" s="14"/>
      <c r="KZI323" s="14"/>
      <c r="KZJ323" s="14"/>
      <c r="KZK323" s="14"/>
      <c r="KZL323" s="14"/>
      <c r="KZM323" s="14"/>
      <c r="KZN323" s="14"/>
      <c r="KZO323" s="14"/>
      <c r="KZP323" s="14"/>
      <c r="KZQ323" s="14"/>
      <c r="KZR323" s="14"/>
      <c r="KZS323" s="14"/>
      <c r="KZT323" s="14"/>
      <c r="KZU323" s="14"/>
      <c r="KZV323" s="14"/>
      <c r="KZW323" s="14"/>
      <c r="KZX323" s="14"/>
      <c r="KZY323" s="14"/>
      <c r="KZZ323" s="14"/>
      <c r="LAA323" s="14"/>
      <c r="LAB323" s="14"/>
      <c r="LAC323" s="14"/>
      <c r="LAD323" s="14"/>
      <c r="LAE323" s="14"/>
      <c r="LAF323" s="14"/>
      <c r="LAG323" s="14"/>
      <c r="LAH323" s="14"/>
      <c r="LAI323" s="14"/>
      <c r="LAJ323" s="14"/>
      <c r="LAK323" s="14"/>
      <c r="LAL323" s="14"/>
      <c r="LAM323" s="14"/>
      <c r="LAN323" s="14"/>
      <c r="LAO323" s="14"/>
      <c r="LAP323" s="14"/>
      <c r="LAQ323" s="14"/>
      <c r="LAR323" s="14"/>
      <c r="LAS323" s="14"/>
      <c r="LAT323" s="14"/>
      <c r="LAU323" s="14"/>
      <c r="LAV323" s="14"/>
      <c r="LAW323" s="14"/>
      <c r="LAX323" s="14"/>
      <c r="LAY323" s="14"/>
      <c r="LAZ323" s="14"/>
      <c r="LBA323" s="14"/>
      <c r="LBB323" s="14"/>
      <c r="LBC323" s="14"/>
      <c r="LBD323" s="14"/>
      <c r="LBE323" s="14"/>
      <c r="LBF323" s="14"/>
      <c r="LBG323" s="14"/>
      <c r="LBH323" s="14"/>
      <c r="LBI323" s="14"/>
      <c r="LBJ323" s="14"/>
      <c r="LBK323" s="14"/>
      <c r="LBL323" s="14"/>
      <c r="LBM323" s="14"/>
      <c r="LBN323" s="14"/>
      <c r="LBO323" s="14"/>
      <c r="LBP323" s="14"/>
      <c r="LBQ323" s="14"/>
      <c r="LBR323" s="14"/>
      <c r="LBS323" s="14"/>
      <c r="LBT323" s="14"/>
      <c r="LBU323" s="14"/>
      <c r="LBV323" s="14"/>
      <c r="LBW323" s="14"/>
      <c r="LBX323" s="14"/>
      <c r="LBY323" s="14"/>
      <c r="LBZ323" s="14"/>
      <c r="LCA323" s="14"/>
      <c r="LCB323" s="14"/>
      <c r="LCC323" s="14"/>
      <c r="LCD323" s="14"/>
      <c r="LCE323" s="14"/>
      <c r="LCF323" s="14"/>
      <c r="LCG323" s="14"/>
      <c r="LCH323" s="14"/>
      <c r="LCI323" s="14"/>
      <c r="LCJ323" s="14"/>
      <c r="LCK323" s="14"/>
      <c r="LCL323" s="14"/>
      <c r="LCM323" s="14"/>
      <c r="LCN323" s="14"/>
      <c r="LCO323" s="14"/>
      <c r="LCP323" s="14"/>
      <c r="LCQ323" s="14"/>
      <c r="LCR323" s="14"/>
      <c r="LCS323" s="14"/>
      <c r="LCT323" s="14"/>
      <c r="LCU323" s="14"/>
      <c r="LCV323" s="14"/>
      <c r="LCW323" s="14"/>
      <c r="LCX323" s="14"/>
      <c r="LCY323" s="14"/>
      <c r="LCZ323" s="14"/>
      <c r="LDA323" s="14"/>
      <c r="LDB323" s="14"/>
      <c r="LDC323" s="14"/>
      <c r="LDD323" s="14"/>
      <c r="LDE323" s="14"/>
      <c r="LDF323" s="14"/>
      <c r="LDG323" s="14"/>
      <c r="LDH323" s="14"/>
      <c r="LDI323" s="14"/>
      <c r="LDJ323" s="14"/>
      <c r="LDK323" s="14"/>
      <c r="LDL323" s="14"/>
      <c r="LDM323" s="14"/>
      <c r="LDN323" s="14"/>
      <c r="LDO323" s="14"/>
      <c r="LDP323" s="14"/>
      <c r="LDQ323" s="14"/>
      <c r="LDR323" s="14"/>
      <c r="LDS323" s="14"/>
      <c r="LDT323" s="14"/>
      <c r="LDU323" s="14"/>
      <c r="LDV323" s="14"/>
      <c r="LDW323" s="14"/>
      <c r="LDX323" s="14"/>
      <c r="LDY323" s="14"/>
      <c r="LDZ323" s="14"/>
      <c r="LEA323" s="14"/>
      <c r="LEB323" s="14"/>
      <c r="LEC323" s="14"/>
      <c r="LED323" s="14"/>
      <c r="LEE323" s="14"/>
      <c r="LEF323" s="14"/>
      <c r="LEG323" s="14"/>
      <c r="LEH323" s="14"/>
      <c r="LEI323" s="14"/>
      <c r="LEJ323" s="14"/>
      <c r="LEK323" s="14"/>
      <c r="LEL323" s="14"/>
      <c r="LEM323" s="14"/>
      <c r="LEN323" s="14"/>
      <c r="LEO323" s="14"/>
      <c r="LEP323" s="14"/>
      <c r="LEQ323" s="14"/>
      <c r="LER323" s="14"/>
      <c r="LES323" s="14"/>
      <c r="LET323" s="14"/>
      <c r="LEU323" s="14"/>
      <c r="LEV323" s="14"/>
      <c r="LEW323" s="14"/>
      <c r="LEX323" s="14"/>
      <c r="LEY323" s="14"/>
      <c r="LEZ323" s="14"/>
      <c r="LFA323" s="14"/>
      <c r="LFB323" s="14"/>
      <c r="LFC323" s="14"/>
      <c r="LFD323" s="14"/>
      <c r="LFE323" s="14"/>
      <c r="LFF323" s="14"/>
      <c r="LFG323" s="14"/>
      <c r="LFH323" s="14"/>
      <c r="LFI323" s="14"/>
      <c r="LFJ323" s="14"/>
      <c r="LFK323" s="14"/>
      <c r="LFL323" s="14"/>
      <c r="LFM323" s="14"/>
      <c r="LFN323" s="14"/>
      <c r="LFO323" s="14"/>
      <c r="LFP323" s="14"/>
      <c r="LFQ323" s="14"/>
      <c r="LFR323" s="14"/>
      <c r="LFS323" s="14"/>
      <c r="LFT323" s="14"/>
      <c r="LFU323" s="14"/>
      <c r="LFV323" s="14"/>
      <c r="LFW323" s="14"/>
      <c r="LFX323" s="14"/>
      <c r="LFY323" s="14"/>
      <c r="LFZ323" s="14"/>
      <c r="LGA323" s="14"/>
      <c r="LGB323" s="14"/>
      <c r="LGC323" s="14"/>
      <c r="LGD323" s="14"/>
      <c r="LGE323" s="14"/>
      <c r="LGF323" s="14"/>
      <c r="LGG323" s="14"/>
      <c r="LGH323" s="14"/>
      <c r="LGI323" s="14"/>
      <c r="LGJ323" s="14"/>
      <c r="LGK323" s="14"/>
      <c r="LGL323" s="14"/>
      <c r="LGM323" s="14"/>
      <c r="LGN323" s="14"/>
      <c r="LGO323" s="14"/>
      <c r="LGP323" s="14"/>
      <c r="LGQ323" s="14"/>
      <c r="LGR323" s="14"/>
      <c r="LGS323" s="14"/>
      <c r="LGT323" s="14"/>
      <c r="LGU323" s="14"/>
      <c r="LGV323" s="14"/>
      <c r="LGW323" s="14"/>
      <c r="LGX323" s="14"/>
      <c r="LGY323" s="14"/>
      <c r="LGZ323" s="14"/>
      <c r="LHA323" s="14"/>
      <c r="LHB323" s="14"/>
      <c r="LHC323" s="14"/>
      <c r="LHD323" s="14"/>
      <c r="LHE323" s="14"/>
      <c r="LHF323" s="14"/>
      <c r="LHG323" s="14"/>
      <c r="LHH323" s="14"/>
      <c r="LHI323" s="14"/>
      <c r="LHJ323" s="14"/>
      <c r="LHK323" s="14"/>
      <c r="LHL323" s="14"/>
      <c r="LHM323" s="14"/>
      <c r="LHN323" s="14"/>
      <c r="LHO323" s="14"/>
      <c r="LHP323" s="14"/>
      <c r="LHQ323" s="14"/>
      <c r="LHR323" s="14"/>
      <c r="LHS323" s="14"/>
      <c r="LHT323" s="14"/>
      <c r="LHU323" s="14"/>
      <c r="LHV323" s="14"/>
      <c r="LHW323" s="14"/>
      <c r="LHX323" s="14"/>
      <c r="LHY323" s="14"/>
      <c r="LHZ323" s="14"/>
      <c r="LIA323" s="14"/>
      <c r="LIB323" s="14"/>
      <c r="LIC323" s="14"/>
      <c r="LID323" s="14"/>
      <c r="LIE323" s="14"/>
      <c r="LIF323" s="14"/>
      <c r="LIG323" s="14"/>
      <c r="LIH323" s="14"/>
      <c r="LII323" s="14"/>
      <c r="LIJ323" s="14"/>
      <c r="LIK323" s="14"/>
      <c r="LIL323" s="14"/>
      <c r="LIM323" s="14"/>
      <c r="LIN323" s="14"/>
      <c r="LIO323" s="14"/>
      <c r="LIP323" s="14"/>
      <c r="LIQ323" s="14"/>
      <c r="LIR323" s="14"/>
      <c r="LIS323" s="14"/>
      <c r="LIT323" s="14"/>
      <c r="LIU323" s="14"/>
      <c r="LIV323" s="14"/>
      <c r="LIW323" s="14"/>
      <c r="LIX323" s="14"/>
      <c r="LIY323" s="14"/>
      <c r="LIZ323" s="14"/>
      <c r="LJA323" s="14"/>
      <c r="LJB323" s="14"/>
      <c r="LJC323" s="14"/>
      <c r="LJD323" s="14"/>
      <c r="LJE323" s="14"/>
      <c r="LJF323" s="14"/>
      <c r="LJG323" s="14"/>
      <c r="LJH323" s="14"/>
      <c r="LJI323" s="14"/>
      <c r="LJJ323" s="14"/>
      <c r="LJK323" s="14"/>
      <c r="LJL323" s="14"/>
      <c r="LJM323" s="14"/>
      <c r="LJN323" s="14"/>
      <c r="LJO323" s="14"/>
      <c r="LJP323" s="14"/>
      <c r="LJQ323" s="14"/>
      <c r="LJR323" s="14"/>
      <c r="LJS323" s="14"/>
      <c r="LJT323" s="14"/>
      <c r="LJU323" s="14"/>
      <c r="LJV323" s="14"/>
      <c r="LJW323" s="14"/>
      <c r="LJX323" s="14"/>
      <c r="LJY323" s="14"/>
      <c r="LJZ323" s="14"/>
      <c r="LKA323" s="14"/>
      <c r="LKB323" s="14"/>
      <c r="LKC323" s="14"/>
      <c r="LKD323" s="14"/>
      <c r="LKE323" s="14"/>
      <c r="LKF323" s="14"/>
      <c r="LKG323" s="14"/>
      <c r="LKH323" s="14"/>
      <c r="LKI323" s="14"/>
      <c r="LKJ323" s="14"/>
      <c r="LKK323" s="14"/>
      <c r="LKL323" s="14"/>
      <c r="LKM323" s="14"/>
      <c r="LKN323" s="14"/>
      <c r="LKO323" s="14"/>
      <c r="LKP323" s="14"/>
      <c r="LKQ323" s="14"/>
      <c r="LKR323" s="14"/>
      <c r="LKS323" s="14"/>
      <c r="LKT323" s="14"/>
      <c r="LKU323" s="14"/>
      <c r="LKV323" s="14"/>
      <c r="LKW323" s="14"/>
      <c r="LKX323" s="14"/>
      <c r="LKY323" s="14"/>
      <c r="LKZ323" s="14"/>
      <c r="LLA323" s="14"/>
      <c r="LLB323" s="14"/>
      <c r="LLC323" s="14"/>
      <c r="LLD323" s="14"/>
      <c r="LLE323" s="14"/>
      <c r="LLF323" s="14"/>
      <c r="LLG323" s="14"/>
      <c r="LLH323" s="14"/>
      <c r="LLI323" s="14"/>
      <c r="LLJ323" s="14"/>
      <c r="LLK323" s="14"/>
      <c r="LLL323" s="14"/>
      <c r="LLM323" s="14"/>
      <c r="LLN323" s="14"/>
      <c r="LLO323" s="14"/>
      <c r="LLP323" s="14"/>
      <c r="LLQ323" s="14"/>
      <c r="LLR323" s="14"/>
      <c r="LLS323" s="14"/>
      <c r="LLT323" s="14"/>
      <c r="LLU323" s="14"/>
      <c r="LLV323" s="14"/>
      <c r="LLW323" s="14"/>
      <c r="LLX323" s="14"/>
      <c r="LLY323" s="14"/>
      <c r="LLZ323" s="14"/>
      <c r="LMA323" s="14"/>
      <c r="LMB323" s="14"/>
      <c r="LMC323" s="14"/>
      <c r="LMD323" s="14"/>
      <c r="LME323" s="14"/>
      <c r="LMF323" s="14"/>
      <c r="LMG323" s="14"/>
      <c r="LMH323" s="14"/>
      <c r="LMI323" s="14"/>
      <c r="LMJ323" s="14"/>
      <c r="LMK323" s="14"/>
      <c r="LML323" s="14"/>
      <c r="LMM323" s="14"/>
      <c r="LMN323" s="14"/>
      <c r="LMO323" s="14"/>
      <c r="LMP323" s="14"/>
      <c r="LMQ323" s="14"/>
      <c r="LMR323" s="14"/>
      <c r="LMS323" s="14"/>
      <c r="LMT323" s="14"/>
      <c r="LMU323" s="14"/>
      <c r="LMV323" s="14"/>
      <c r="LMW323" s="14"/>
      <c r="LMX323" s="14"/>
      <c r="LMY323" s="14"/>
      <c r="LMZ323" s="14"/>
      <c r="LNA323" s="14"/>
      <c r="LNB323" s="14"/>
      <c r="LNC323" s="14"/>
      <c r="LND323" s="14"/>
      <c r="LNE323" s="14"/>
      <c r="LNF323" s="14"/>
      <c r="LNG323" s="14"/>
      <c r="LNH323" s="14"/>
      <c r="LNI323" s="14"/>
      <c r="LNJ323" s="14"/>
      <c r="LNK323" s="14"/>
      <c r="LNL323" s="14"/>
      <c r="LNM323" s="14"/>
      <c r="LNN323" s="14"/>
      <c r="LNO323" s="14"/>
      <c r="LNP323" s="14"/>
      <c r="LNQ323" s="14"/>
      <c r="LNR323" s="14"/>
      <c r="LNS323" s="14"/>
      <c r="LNT323" s="14"/>
      <c r="LNU323" s="14"/>
      <c r="LNV323" s="14"/>
      <c r="LNW323" s="14"/>
      <c r="LNX323" s="14"/>
      <c r="LNY323" s="14"/>
      <c r="LNZ323" s="14"/>
      <c r="LOA323" s="14"/>
      <c r="LOB323" s="14"/>
      <c r="LOC323" s="14"/>
      <c r="LOD323" s="14"/>
      <c r="LOE323" s="14"/>
      <c r="LOF323" s="14"/>
      <c r="LOG323" s="14"/>
      <c r="LOH323" s="14"/>
      <c r="LOI323" s="14"/>
      <c r="LOJ323" s="14"/>
      <c r="LOK323" s="14"/>
      <c r="LOL323" s="14"/>
      <c r="LOM323" s="14"/>
      <c r="LON323" s="14"/>
      <c r="LOO323" s="14"/>
      <c r="LOP323" s="14"/>
      <c r="LOQ323" s="14"/>
      <c r="LOR323" s="14"/>
      <c r="LOS323" s="14"/>
      <c r="LOT323" s="14"/>
      <c r="LOU323" s="14"/>
      <c r="LOV323" s="14"/>
      <c r="LOW323" s="14"/>
      <c r="LOX323" s="14"/>
      <c r="LOY323" s="14"/>
      <c r="LOZ323" s="14"/>
      <c r="LPA323" s="14"/>
      <c r="LPB323" s="14"/>
      <c r="LPC323" s="14"/>
      <c r="LPD323" s="14"/>
      <c r="LPE323" s="14"/>
      <c r="LPF323" s="14"/>
      <c r="LPG323" s="14"/>
      <c r="LPH323" s="14"/>
      <c r="LPI323" s="14"/>
      <c r="LPJ323" s="14"/>
      <c r="LPK323" s="14"/>
      <c r="LPL323" s="14"/>
      <c r="LPM323" s="14"/>
      <c r="LPN323" s="14"/>
      <c r="LPO323" s="14"/>
      <c r="LPP323" s="14"/>
      <c r="LPQ323" s="14"/>
      <c r="LPR323" s="14"/>
      <c r="LPS323" s="14"/>
      <c r="LPT323" s="14"/>
      <c r="LPU323" s="14"/>
      <c r="LPV323" s="14"/>
      <c r="LPW323" s="14"/>
      <c r="LPX323" s="14"/>
      <c r="LPY323" s="14"/>
      <c r="LPZ323" s="14"/>
      <c r="LQA323" s="14"/>
      <c r="LQB323" s="14"/>
      <c r="LQC323" s="14"/>
      <c r="LQD323" s="14"/>
      <c r="LQE323" s="14"/>
      <c r="LQF323" s="14"/>
      <c r="LQG323" s="14"/>
      <c r="LQH323" s="14"/>
      <c r="LQI323" s="14"/>
      <c r="LQJ323" s="14"/>
      <c r="LQK323" s="14"/>
      <c r="LQL323" s="14"/>
      <c r="LQM323" s="14"/>
      <c r="LQN323" s="14"/>
      <c r="LQO323" s="14"/>
      <c r="LQP323" s="14"/>
      <c r="LQQ323" s="14"/>
      <c r="LQR323" s="14"/>
      <c r="LQS323" s="14"/>
      <c r="LQT323" s="14"/>
      <c r="LQU323" s="14"/>
      <c r="LQV323" s="14"/>
      <c r="LQW323" s="14"/>
      <c r="LQX323" s="14"/>
      <c r="LQY323" s="14"/>
      <c r="LQZ323" s="14"/>
      <c r="LRA323" s="14"/>
      <c r="LRB323" s="14"/>
      <c r="LRC323" s="14"/>
      <c r="LRD323" s="14"/>
      <c r="LRE323" s="14"/>
      <c r="LRF323" s="14"/>
      <c r="LRG323" s="14"/>
      <c r="LRH323" s="14"/>
      <c r="LRI323" s="14"/>
      <c r="LRJ323" s="14"/>
      <c r="LRK323" s="14"/>
      <c r="LRL323" s="14"/>
      <c r="LRM323" s="14"/>
      <c r="LRN323" s="14"/>
      <c r="LRO323" s="14"/>
      <c r="LRP323" s="14"/>
      <c r="LRQ323" s="14"/>
      <c r="LRR323" s="14"/>
      <c r="LRS323" s="14"/>
      <c r="LRT323" s="14"/>
      <c r="LRU323" s="14"/>
      <c r="LRV323" s="14"/>
      <c r="LRW323" s="14"/>
      <c r="LRX323" s="14"/>
      <c r="LRY323" s="14"/>
      <c r="LRZ323" s="14"/>
      <c r="LSA323" s="14"/>
      <c r="LSB323" s="14"/>
      <c r="LSC323" s="14"/>
      <c r="LSD323" s="14"/>
      <c r="LSE323" s="14"/>
      <c r="LSF323" s="14"/>
      <c r="LSG323" s="14"/>
      <c r="LSH323" s="14"/>
      <c r="LSI323" s="14"/>
      <c r="LSJ323" s="14"/>
      <c r="LSK323" s="14"/>
      <c r="LSL323" s="14"/>
      <c r="LSM323" s="14"/>
      <c r="LSN323" s="14"/>
      <c r="LSO323" s="14"/>
      <c r="LSP323" s="14"/>
      <c r="LSQ323" s="14"/>
      <c r="LSR323" s="14"/>
      <c r="LSS323" s="14"/>
      <c r="LST323" s="14"/>
      <c r="LSU323" s="14"/>
      <c r="LSV323" s="14"/>
      <c r="LSW323" s="14"/>
      <c r="LSX323" s="14"/>
      <c r="LSY323" s="14"/>
      <c r="LSZ323" s="14"/>
      <c r="LTA323" s="14"/>
      <c r="LTB323" s="14"/>
      <c r="LTC323" s="14"/>
      <c r="LTD323" s="14"/>
      <c r="LTE323" s="14"/>
      <c r="LTF323" s="14"/>
      <c r="LTG323" s="14"/>
      <c r="LTH323" s="14"/>
      <c r="LTI323" s="14"/>
      <c r="LTJ323" s="14"/>
      <c r="LTK323" s="14"/>
      <c r="LTL323" s="14"/>
      <c r="LTM323" s="14"/>
      <c r="LTN323" s="14"/>
      <c r="LTO323" s="14"/>
      <c r="LTP323" s="14"/>
      <c r="LTQ323" s="14"/>
      <c r="LTR323" s="14"/>
      <c r="LTS323" s="14"/>
      <c r="LTT323" s="14"/>
      <c r="LTU323" s="14"/>
      <c r="LTV323" s="14"/>
      <c r="LTW323" s="14"/>
      <c r="LTX323" s="14"/>
      <c r="LTY323" s="14"/>
      <c r="LTZ323" s="14"/>
      <c r="LUA323" s="14"/>
      <c r="LUB323" s="14"/>
      <c r="LUC323" s="14"/>
      <c r="LUD323" s="14"/>
      <c r="LUE323" s="14"/>
      <c r="LUF323" s="14"/>
      <c r="LUG323" s="14"/>
      <c r="LUH323" s="14"/>
      <c r="LUI323" s="14"/>
      <c r="LUJ323" s="14"/>
      <c r="LUK323" s="14"/>
      <c r="LUL323" s="14"/>
      <c r="LUM323" s="14"/>
      <c r="LUN323" s="14"/>
      <c r="LUO323" s="14"/>
      <c r="LUP323" s="14"/>
      <c r="LUQ323" s="14"/>
      <c r="LUR323" s="14"/>
      <c r="LUS323" s="14"/>
      <c r="LUT323" s="14"/>
      <c r="LUU323" s="14"/>
      <c r="LUV323" s="14"/>
      <c r="LUW323" s="14"/>
      <c r="LUX323" s="14"/>
      <c r="LUY323" s="14"/>
      <c r="LUZ323" s="14"/>
      <c r="LVA323" s="14"/>
      <c r="LVB323" s="14"/>
      <c r="LVC323" s="14"/>
      <c r="LVD323" s="14"/>
      <c r="LVE323" s="14"/>
      <c r="LVF323" s="14"/>
      <c r="LVG323" s="14"/>
      <c r="LVH323" s="14"/>
      <c r="LVI323" s="14"/>
      <c r="LVJ323" s="14"/>
      <c r="LVK323" s="14"/>
      <c r="LVL323" s="14"/>
      <c r="LVM323" s="14"/>
      <c r="LVN323" s="14"/>
      <c r="LVO323" s="14"/>
      <c r="LVP323" s="14"/>
      <c r="LVQ323" s="14"/>
      <c r="LVR323" s="14"/>
      <c r="LVS323" s="14"/>
      <c r="LVT323" s="14"/>
      <c r="LVU323" s="14"/>
      <c r="LVV323" s="14"/>
      <c r="LVW323" s="14"/>
      <c r="LVX323" s="14"/>
      <c r="LVY323" s="14"/>
      <c r="LVZ323" s="14"/>
      <c r="LWA323" s="14"/>
      <c r="LWB323" s="14"/>
      <c r="LWC323" s="14"/>
      <c r="LWD323" s="14"/>
      <c r="LWE323" s="14"/>
      <c r="LWF323" s="14"/>
      <c r="LWG323" s="14"/>
      <c r="LWH323" s="14"/>
      <c r="LWI323" s="14"/>
      <c r="LWJ323" s="14"/>
      <c r="LWK323" s="14"/>
      <c r="LWL323" s="14"/>
      <c r="LWM323" s="14"/>
      <c r="LWN323" s="14"/>
      <c r="LWO323" s="14"/>
      <c r="LWP323" s="14"/>
      <c r="LWQ323" s="14"/>
      <c r="LWR323" s="14"/>
      <c r="LWS323" s="14"/>
      <c r="LWT323" s="14"/>
      <c r="LWU323" s="14"/>
      <c r="LWV323" s="14"/>
      <c r="LWW323" s="14"/>
      <c r="LWX323" s="14"/>
      <c r="LWY323" s="14"/>
      <c r="LWZ323" s="14"/>
      <c r="LXA323" s="14"/>
      <c r="LXB323" s="14"/>
      <c r="LXC323" s="14"/>
      <c r="LXD323" s="14"/>
      <c r="LXE323" s="14"/>
      <c r="LXF323" s="14"/>
      <c r="LXG323" s="14"/>
      <c r="LXH323" s="14"/>
      <c r="LXI323" s="14"/>
      <c r="LXJ323" s="14"/>
      <c r="LXK323" s="14"/>
      <c r="LXL323" s="14"/>
      <c r="LXM323" s="14"/>
      <c r="LXN323" s="14"/>
      <c r="LXO323" s="14"/>
      <c r="LXP323" s="14"/>
      <c r="LXQ323" s="14"/>
      <c r="LXR323" s="14"/>
      <c r="LXS323" s="14"/>
      <c r="LXT323" s="14"/>
      <c r="LXU323" s="14"/>
      <c r="LXV323" s="14"/>
      <c r="LXW323" s="14"/>
      <c r="LXX323" s="14"/>
      <c r="LXY323" s="14"/>
      <c r="LXZ323" s="14"/>
      <c r="LYA323" s="14"/>
      <c r="LYB323" s="14"/>
      <c r="LYC323" s="14"/>
      <c r="LYD323" s="14"/>
      <c r="LYE323" s="14"/>
      <c r="LYF323" s="14"/>
      <c r="LYG323" s="14"/>
      <c r="LYH323" s="14"/>
      <c r="LYI323" s="14"/>
      <c r="LYJ323" s="14"/>
      <c r="LYK323" s="14"/>
      <c r="LYL323" s="14"/>
      <c r="LYM323" s="14"/>
      <c r="LYN323" s="14"/>
      <c r="LYO323" s="14"/>
      <c r="LYP323" s="14"/>
      <c r="LYQ323" s="14"/>
      <c r="LYR323" s="14"/>
      <c r="LYS323" s="14"/>
      <c r="LYT323" s="14"/>
      <c r="LYU323" s="14"/>
      <c r="LYV323" s="14"/>
      <c r="LYW323" s="14"/>
      <c r="LYX323" s="14"/>
      <c r="LYY323" s="14"/>
      <c r="LYZ323" s="14"/>
      <c r="LZA323" s="14"/>
      <c r="LZB323" s="14"/>
      <c r="LZC323" s="14"/>
      <c r="LZD323" s="14"/>
      <c r="LZE323" s="14"/>
      <c r="LZF323" s="14"/>
      <c r="LZG323" s="14"/>
      <c r="LZH323" s="14"/>
      <c r="LZI323" s="14"/>
      <c r="LZJ323" s="14"/>
      <c r="LZK323" s="14"/>
      <c r="LZL323" s="14"/>
      <c r="LZM323" s="14"/>
      <c r="LZN323" s="14"/>
      <c r="LZO323" s="14"/>
      <c r="LZP323" s="14"/>
      <c r="LZQ323" s="14"/>
      <c r="LZR323" s="14"/>
      <c r="LZS323" s="14"/>
      <c r="LZT323" s="14"/>
      <c r="LZU323" s="14"/>
      <c r="LZV323" s="14"/>
      <c r="LZW323" s="14"/>
      <c r="LZX323" s="14"/>
      <c r="LZY323" s="14"/>
      <c r="LZZ323" s="14"/>
      <c r="MAA323" s="14"/>
      <c r="MAB323" s="14"/>
      <c r="MAC323" s="14"/>
      <c r="MAD323" s="14"/>
      <c r="MAE323" s="14"/>
      <c r="MAF323" s="14"/>
      <c r="MAG323" s="14"/>
      <c r="MAH323" s="14"/>
      <c r="MAI323" s="14"/>
      <c r="MAJ323" s="14"/>
      <c r="MAK323" s="14"/>
      <c r="MAL323" s="14"/>
      <c r="MAM323" s="14"/>
      <c r="MAN323" s="14"/>
      <c r="MAO323" s="14"/>
      <c r="MAP323" s="14"/>
      <c r="MAQ323" s="14"/>
      <c r="MAR323" s="14"/>
      <c r="MAS323" s="14"/>
      <c r="MAT323" s="14"/>
      <c r="MAU323" s="14"/>
      <c r="MAV323" s="14"/>
      <c r="MAW323" s="14"/>
      <c r="MAX323" s="14"/>
      <c r="MAY323" s="14"/>
      <c r="MAZ323" s="14"/>
      <c r="MBA323" s="14"/>
      <c r="MBB323" s="14"/>
      <c r="MBC323" s="14"/>
      <c r="MBD323" s="14"/>
      <c r="MBE323" s="14"/>
      <c r="MBF323" s="14"/>
      <c r="MBG323" s="14"/>
      <c r="MBH323" s="14"/>
      <c r="MBI323" s="14"/>
      <c r="MBJ323" s="14"/>
      <c r="MBK323" s="14"/>
      <c r="MBL323" s="14"/>
      <c r="MBM323" s="14"/>
      <c r="MBN323" s="14"/>
      <c r="MBO323" s="14"/>
      <c r="MBP323" s="14"/>
      <c r="MBQ323" s="14"/>
      <c r="MBR323" s="14"/>
      <c r="MBS323" s="14"/>
      <c r="MBT323" s="14"/>
      <c r="MBU323" s="14"/>
      <c r="MBV323" s="14"/>
      <c r="MBW323" s="14"/>
      <c r="MBX323" s="14"/>
      <c r="MBY323" s="14"/>
      <c r="MBZ323" s="14"/>
      <c r="MCA323" s="14"/>
      <c r="MCB323" s="14"/>
      <c r="MCC323" s="14"/>
      <c r="MCD323" s="14"/>
      <c r="MCE323" s="14"/>
      <c r="MCF323" s="14"/>
      <c r="MCG323" s="14"/>
      <c r="MCH323" s="14"/>
      <c r="MCI323" s="14"/>
      <c r="MCJ323" s="14"/>
      <c r="MCK323" s="14"/>
      <c r="MCL323" s="14"/>
      <c r="MCM323" s="14"/>
      <c r="MCN323" s="14"/>
      <c r="MCO323" s="14"/>
      <c r="MCP323" s="14"/>
      <c r="MCQ323" s="14"/>
      <c r="MCR323" s="14"/>
      <c r="MCS323" s="14"/>
      <c r="MCT323" s="14"/>
      <c r="MCU323" s="14"/>
      <c r="MCV323" s="14"/>
      <c r="MCW323" s="14"/>
      <c r="MCX323" s="14"/>
      <c r="MCY323" s="14"/>
      <c r="MCZ323" s="14"/>
      <c r="MDA323" s="14"/>
      <c r="MDB323" s="14"/>
      <c r="MDC323" s="14"/>
      <c r="MDD323" s="14"/>
      <c r="MDE323" s="14"/>
      <c r="MDF323" s="14"/>
      <c r="MDG323" s="14"/>
      <c r="MDH323" s="14"/>
      <c r="MDI323" s="14"/>
      <c r="MDJ323" s="14"/>
      <c r="MDK323" s="14"/>
      <c r="MDL323" s="14"/>
      <c r="MDM323" s="14"/>
      <c r="MDN323" s="14"/>
      <c r="MDO323" s="14"/>
      <c r="MDP323" s="14"/>
      <c r="MDQ323" s="14"/>
      <c r="MDR323" s="14"/>
      <c r="MDS323" s="14"/>
      <c r="MDT323" s="14"/>
      <c r="MDU323" s="14"/>
      <c r="MDV323" s="14"/>
      <c r="MDW323" s="14"/>
      <c r="MDX323" s="14"/>
      <c r="MDY323" s="14"/>
      <c r="MDZ323" s="14"/>
      <c r="MEA323" s="14"/>
      <c r="MEB323" s="14"/>
      <c r="MEC323" s="14"/>
      <c r="MED323" s="14"/>
      <c r="MEE323" s="14"/>
      <c r="MEF323" s="14"/>
      <c r="MEG323" s="14"/>
      <c r="MEH323" s="14"/>
      <c r="MEI323" s="14"/>
      <c r="MEJ323" s="14"/>
      <c r="MEK323" s="14"/>
      <c r="MEL323" s="14"/>
      <c r="MEM323" s="14"/>
      <c r="MEN323" s="14"/>
      <c r="MEO323" s="14"/>
      <c r="MEP323" s="14"/>
      <c r="MEQ323" s="14"/>
      <c r="MER323" s="14"/>
      <c r="MES323" s="14"/>
      <c r="MET323" s="14"/>
      <c r="MEU323" s="14"/>
      <c r="MEV323" s="14"/>
      <c r="MEW323" s="14"/>
      <c r="MEX323" s="14"/>
      <c r="MEY323" s="14"/>
      <c r="MEZ323" s="14"/>
      <c r="MFA323" s="14"/>
      <c r="MFB323" s="14"/>
      <c r="MFC323" s="14"/>
      <c r="MFD323" s="14"/>
      <c r="MFE323" s="14"/>
      <c r="MFF323" s="14"/>
      <c r="MFG323" s="14"/>
      <c r="MFH323" s="14"/>
      <c r="MFI323" s="14"/>
      <c r="MFJ323" s="14"/>
      <c r="MFK323" s="14"/>
      <c r="MFL323" s="14"/>
      <c r="MFM323" s="14"/>
      <c r="MFN323" s="14"/>
      <c r="MFO323" s="14"/>
      <c r="MFP323" s="14"/>
      <c r="MFQ323" s="14"/>
      <c r="MFR323" s="14"/>
      <c r="MFS323" s="14"/>
      <c r="MFT323" s="14"/>
      <c r="MFU323" s="14"/>
      <c r="MFV323" s="14"/>
      <c r="MFW323" s="14"/>
      <c r="MFX323" s="14"/>
      <c r="MFY323" s="14"/>
      <c r="MFZ323" s="14"/>
      <c r="MGA323" s="14"/>
      <c r="MGB323" s="14"/>
      <c r="MGC323" s="14"/>
      <c r="MGD323" s="14"/>
      <c r="MGE323" s="14"/>
      <c r="MGF323" s="14"/>
      <c r="MGG323" s="14"/>
      <c r="MGH323" s="14"/>
      <c r="MGI323" s="14"/>
      <c r="MGJ323" s="14"/>
      <c r="MGK323" s="14"/>
      <c r="MGL323" s="14"/>
      <c r="MGM323" s="14"/>
      <c r="MGN323" s="14"/>
      <c r="MGO323" s="14"/>
      <c r="MGP323" s="14"/>
      <c r="MGQ323" s="14"/>
      <c r="MGR323" s="14"/>
      <c r="MGS323" s="14"/>
      <c r="MGT323" s="14"/>
      <c r="MGU323" s="14"/>
      <c r="MGV323" s="14"/>
      <c r="MGW323" s="14"/>
      <c r="MGX323" s="14"/>
      <c r="MGY323" s="14"/>
      <c r="MGZ323" s="14"/>
      <c r="MHA323" s="14"/>
      <c r="MHB323" s="14"/>
      <c r="MHC323" s="14"/>
      <c r="MHD323" s="14"/>
      <c r="MHE323" s="14"/>
      <c r="MHF323" s="14"/>
      <c r="MHG323" s="14"/>
      <c r="MHH323" s="14"/>
      <c r="MHI323" s="14"/>
      <c r="MHJ323" s="14"/>
      <c r="MHK323" s="14"/>
      <c r="MHL323" s="14"/>
      <c r="MHM323" s="14"/>
      <c r="MHN323" s="14"/>
      <c r="MHO323" s="14"/>
      <c r="MHP323" s="14"/>
      <c r="MHQ323" s="14"/>
      <c r="MHR323" s="14"/>
      <c r="MHS323" s="14"/>
      <c r="MHT323" s="14"/>
      <c r="MHU323" s="14"/>
      <c r="MHV323" s="14"/>
      <c r="MHW323" s="14"/>
      <c r="MHX323" s="14"/>
      <c r="MHY323" s="14"/>
      <c r="MHZ323" s="14"/>
      <c r="MIA323" s="14"/>
      <c r="MIB323" s="14"/>
      <c r="MIC323" s="14"/>
      <c r="MID323" s="14"/>
      <c r="MIE323" s="14"/>
      <c r="MIF323" s="14"/>
      <c r="MIG323" s="14"/>
      <c r="MIH323" s="14"/>
      <c r="MII323" s="14"/>
      <c r="MIJ323" s="14"/>
      <c r="MIK323" s="14"/>
      <c r="MIL323" s="14"/>
      <c r="MIM323" s="14"/>
      <c r="MIN323" s="14"/>
      <c r="MIO323" s="14"/>
      <c r="MIP323" s="14"/>
      <c r="MIQ323" s="14"/>
      <c r="MIR323" s="14"/>
      <c r="MIS323" s="14"/>
      <c r="MIT323" s="14"/>
      <c r="MIU323" s="14"/>
      <c r="MIV323" s="14"/>
      <c r="MIW323" s="14"/>
      <c r="MIX323" s="14"/>
      <c r="MIY323" s="14"/>
      <c r="MIZ323" s="14"/>
      <c r="MJA323" s="14"/>
      <c r="MJB323" s="14"/>
      <c r="MJC323" s="14"/>
      <c r="MJD323" s="14"/>
      <c r="MJE323" s="14"/>
      <c r="MJF323" s="14"/>
      <c r="MJG323" s="14"/>
      <c r="MJH323" s="14"/>
      <c r="MJI323" s="14"/>
      <c r="MJJ323" s="14"/>
      <c r="MJK323" s="14"/>
      <c r="MJL323" s="14"/>
      <c r="MJM323" s="14"/>
      <c r="MJN323" s="14"/>
      <c r="MJO323" s="14"/>
      <c r="MJP323" s="14"/>
      <c r="MJQ323" s="14"/>
      <c r="MJR323" s="14"/>
      <c r="MJS323" s="14"/>
      <c r="MJT323" s="14"/>
      <c r="MJU323" s="14"/>
      <c r="MJV323" s="14"/>
      <c r="MJW323" s="14"/>
      <c r="MJX323" s="14"/>
      <c r="MJY323" s="14"/>
      <c r="MJZ323" s="14"/>
      <c r="MKA323" s="14"/>
      <c r="MKB323" s="14"/>
      <c r="MKC323" s="14"/>
      <c r="MKD323" s="14"/>
      <c r="MKE323" s="14"/>
      <c r="MKF323" s="14"/>
      <c r="MKG323" s="14"/>
      <c r="MKH323" s="14"/>
      <c r="MKI323" s="14"/>
      <c r="MKJ323" s="14"/>
      <c r="MKK323" s="14"/>
      <c r="MKL323" s="14"/>
      <c r="MKM323" s="14"/>
      <c r="MKN323" s="14"/>
      <c r="MKO323" s="14"/>
      <c r="MKP323" s="14"/>
      <c r="MKQ323" s="14"/>
      <c r="MKR323" s="14"/>
      <c r="MKS323" s="14"/>
      <c r="MKT323" s="14"/>
      <c r="MKU323" s="14"/>
      <c r="MKV323" s="14"/>
      <c r="MKW323" s="14"/>
      <c r="MKX323" s="14"/>
      <c r="MKY323" s="14"/>
      <c r="MKZ323" s="14"/>
      <c r="MLA323" s="14"/>
      <c r="MLB323" s="14"/>
      <c r="MLC323" s="14"/>
      <c r="MLD323" s="14"/>
      <c r="MLE323" s="14"/>
      <c r="MLF323" s="14"/>
      <c r="MLG323" s="14"/>
      <c r="MLH323" s="14"/>
      <c r="MLI323" s="14"/>
      <c r="MLJ323" s="14"/>
      <c r="MLK323" s="14"/>
      <c r="MLL323" s="14"/>
      <c r="MLM323" s="14"/>
      <c r="MLN323" s="14"/>
      <c r="MLO323" s="14"/>
      <c r="MLP323" s="14"/>
      <c r="MLQ323" s="14"/>
      <c r="MLR323" s="14"/>
      <c r="MLS323" s="14"/>
      <c r="MLT323" s="14"/>
      <c r="MLU323" s="14"/>
      <c r="MLV323" s="14"/>
      <c r="MLW323" s="14"/>
      <c r="MLX323" s="14"/>
      <c r="MLY323" s="14"/>
      <c r="MLZ323" s="14"/>
      <c r="MMA323" s="14"/>
      <c r="MMB323" s="14"/>
      <c r="MMC323" s="14"/>
      <c r="MMD323" s="14"/>
      <c r="MME323" s="14"/>
      <c r="MMF323" s="14"/>
      <c r="MMG323" s="14"/>
      <c r="MMH323" s="14"/>
      <c r="MMI323" s="14"/>
      <c r="MMJ323" s="14"/>
      <c r="MMK323" s="14"/>
      <c r="MML323" s="14"/>
      <c r="MMM323" s="14"/>
      <c r="MMN323" s="14"/>
      <c r="MMO323" s="14"/>
      <c r="MMP323" s="14"/>
      <c r="MMQ323" s="14"/>
      <c r="MMR323" s="14"/>
      <c r="MMS323" s="14"/>
      <c r="MMT323" s="14"/>
      <c r="MMU323" s="14"/>
      <c r="MMV323" s="14"/>
      <c r="MMW323" s="14"/>
      <c r="MMX323" s="14"/>
      <c r="MMY323" s="14"/>
      <c r="MMZ323" s="14"/>
      <c r="MNA323" s="14"/>
      <c r="MNB323" s="14"/>
      <c r="MNC323" s="14"/>
      <c r="MND323" s="14"/>
      <c r="MNE323" s="14"/>
      <c r="MNF323" s="14"/>
      <c r="MNG323" s="14"/>
      <c r="MNH323" s="14"/>
      <c r="MNI323" s="14"/>
      <c r="MNJ323" s="14"/>
      <c r="MNK323" s="14"/>
      <c r="MNL323" s="14"/>
      <c r="MNM323" s="14"/>
      <c r="MNN323" s="14"/>
      <c r="MNO323" s="14"/>
      <c r="MNP323" s="14"/>
      <c r="MNQ323" s="14"/>
      <c r="MNR323" s="14"/>
      <c r="MNS323" s="14"/>
      <c r="MNT323" s="14"/>
      <c r="MNU323" s="14"/>
      <c r="MNV323" s="14"/>
      <c r="MNW323" s="14"/>
      <c r="MNX323" s="14"/>
      <c r="MNY323" s="14"/>
      <c r="MNZ323" s="14"/>
      <c r="MOA323" s="14"/>
      <c r="MOB323" s="14"/>
      <c r="MOC323" s="14"/>
      <c r="MOD323" s="14"/>
      <c r="MOE323" s="14"/>
      <c r="MOF323" s="14"/>
      <c r="MOG323" s="14"/>
      <c r="MOH323" s="14"/>
      <c r="MOI323" s="14"/>
      <c r="MOJ323" s="14"/>
      <c r="MOK323" s="14"/>
      <c r="MOL323" s="14"/>
      <c r="MOM323" s="14"/>
      <c r="MON323" s="14"/>
      <c r="MOO323" s="14"/>
      <c r="MOP323" s="14"/>
      <c r="MOQ323" s="14"/>
      <c r="MOR323" s="14"/>
      <c r="MOS323" s="14"/>
      <c r="MOT323" s="14"/>
      <c r="MOU323" s="14"/>
      <c r="MOV323" s="14"/>
      <c r="MOW323" s="14"/>
      <c r="MOX323" s="14"/>
      <c r="MOY323" s="14"/>
      <c r="MOZ323" s="14"/>
      <c r="MPA323" s="14"/>
      <c r="MPB323" s="14"/>
      <c r="MPC323" s="14"/>
      <c r="MPD323" s="14"/>
      <c r="MPE323" s="14"/>
      <c r="MPF323" s="14"/>
      <c r="MPG323" s="14"/>
      <c r="MPH323" s="14"/>
      <c r="MPI323" s="14"/>
      <c r="MPJ323" s="14"/>
      <c r="MPK323" s="14"/>
      <c r="MPL323" s="14"/>
      <c r="MPM323" s="14"/>
      <c r="MPN323" s="14"/>
      <c r="MPO323" s="14"/>
      <c r="MPP323" s="14"/>
      <c r="MPQ323" s="14"/>
      <c r="MPR323" s="14"/>
      <c r="MPS323" s="14"/>
      <c r="MPT323" s="14"/>
      <c r="MPU323" s="14"/>
      <c r="MPV323" s="14"/>
      <c r="MPW323" s="14"/>
      <c r="MPX323" s="14"/>
      <c r="MPY323" s="14"/>
      <c r="MPZ323" s="14"/>
      <c r="MQA323" s="14"/>
      <c r="MQB323" s="14"/>
      <c r="MQC323" s="14"/>
      <c r="MQD323" s="14"/>
      <c r="MQE323" s="14"/>
      <c r="MQF323" s="14"/>
      <c r="MQG323" s="14"/>
      <c r="MQH323" s="14"/>
      <c r="MQI323" s="14"/>
      <c r="MQJ323" s="14"/>
      <c r="MQK323" s="14"/>
      <c r="MQL323" s="14"/>
      <c r="MQM323" s="14"/>
      <c r="MQN323" s="14"/>
      <c r="MQO323" s="14"/>
      <c r="MQP323" s="14"/>
      <c r="MQQ323" s="14"/>
      <c r="MQR323" s="14"/>
      <c r="MQS323" s="14"/>
      <c r="MQT323" s="14"/>
      <c r="MQU323" s="14"/>
      <c r="MQV323" s="14"/>
      <c r="MQW323" s="14"/>
      <c r="MQX323" s="14"/>
      <c r="MQY323" s="14"/>
      <c r="MQZ323" s="14"/>
      <c r="MRA323" s="14"/>
      <c r="MRB323" s="14"/>
      <c r="MRC323" s="14"/>
      <c r="MRD323" s="14"/>
      <c r="MRE323" s="14"/>
      <c r="MRF323" s="14"/>
      <c r="MRG323" s="14"/>
      <c r="MRH323" s="14"/>
      <c r="MRI323" s="14"/>
      <c r="MRJ323" s="14"/>
      <c r="MRK323" s="14"/>
      <c r="MRL323" s="14"/>
      <c r="MRM323" s="14"/>
      <c r="MRN323" s="14"/>
      <c r="MRO323" s="14"/>
      <c r="MRP323" s="14"/>
      <c r="MRQ323" s="14"/>
      <c r="MRR323" s="14"/>
      <c r="MRS323" s="14"/>
      <c r="MRT323" s="14"/>
      <c r="MRU323" s="14"/>
      <c r="MRV323" s="14"/>
      <c r="MRW323" s="14"/>
      <c r="MRX323" s="14"/>
      <c r="MRY323" s="14"/>
      <c r="MRZ323" s="14"/>
      <c r="MSA323" s="14"/>
      <c r="MSB323" s="14"/>
      <c r="MSC323" s="14"/>
      <c r="MSD323" s="14"/>
      <c r="MSE323" s="14"/>
      <c r="MSF323" s="14"/>
      <c r="MSG323" s="14"/>
      <c r="MSH323" s="14"/>
      <c r="MSI323" s="14"/>
      <c r="MSJ323" s="14"/>
      <c r="MSK323" s="14"/>
      <c r="MSL323" s="14"/>
      <c r="MSM323" s="14"/>
      <c r="MSN323" s="14"/>
      <c r="MSO323" s="14"/>
      <c r="MSP323" s="14"/>
      <c r="MSQ323" s="14"/>
      <c r="MSR323" s="14"/>
      <c r="MSS323" s="14"/>
      <c r="MST323" s="14"/>
      <c r="MSU323" s="14"/>
      <c r="MSV323" s="14"/>
      <c r="MSW323" s="14"/>
      <c r="MSX323" s="14"/>
      <c r="MSY323" s="14"/>
      <c r="MSZ323" s="14"/>
      <c r="MTA323" s="14"/>
      <c r="MTB323" s="14"/>
      <c r="MTC323" s="14"/>
      <c r="MTD323" s="14"/>
      <c r="MTE323" s="14"/>
      <c r="MTF323" s="14"/>
      <c r="MTG323" s="14"/>
      <c r="MTH323" s="14"/>
      <c r="MTI323" s="14"/>
      <c r="MTJ323" s="14"/>
      <c r="MTK323" s="14"/>
      <c r="MTL323" s="14"/>
      <c r="MTM323" s="14"/>
      <c r="MTN323" s="14"/>
      <c r="MTO323" s="14"/>
      <c r="MTP323" s="14"/>
      <c r="MTQ323" s="14"/>
      <c r="MTR323" s="14"/>
      <c r="MTS323" s="14"/>
      <c r="MTT323" s="14"/>
      <c r="MTU323" s="14"/>
      <c r="MTV323" s="14"/>
      <c r="MTW323" s="14"/>
      <c r="MTX323" s="14"/>
      <c r="MTY323" s="14"/>
      <c r="MTZ323" s="14"/>
      <c r="MUA323" s="14"/>
      <c r="MUB323" s="14"/>
      <c r="MUC323" s="14"/>
      <c r="MUD323" s="14"/>
      <c r="MUE323" s="14"/>
      <c r="MUF323" s="14"/>
      <c r="MUG323" s="14"/>
      <c r="MUH323" s="14"/>
      <c r="MUI323" s="14"/>
      <c r="MUJ323" s="14"/>
      <c r="MUK323" s="14"/>
      <c r="MUL323" s="14"/>
      <c r="MUM323" s="14"/>
      <c r="MUN323" s="14"/>
      <c r="MUO323" s="14"/>
      <c r="MUP323" s="14"/>
      <c r="MUQ323" s="14"/>
      <c r="MUR323" s="14"/>
      <c r="MUS323" s="14"/>
      <c r="MUT323" s="14"/>
      <c r="MUU323" s="14"/>
      <c r="MUV323" s="14"/>
      <c r="MUW323" s="14"/>
      <c r="MUX323" s="14"/>
      <c r="MUY323" s="14"/>
      <c r="MUZ323" s="14"/>
      <c r="MVA323" s="14"/>
      <c r="MVB323" s="14"/>
      <c r="MVC323" s="14"/>
      <c r="MVD323" s="14"/>
      <c r="MVE323" s="14"/>
      <c r="MVF323" s="14"/>
      <c r="MVG323" s="14"/>
      <c r="MVH323" s="14"/>
      <c r="MVI323" s="14"/>
      <c r="MVJ323" s="14"/>
      <c r="MVK323" s="14"/>
      <c r="MVL323" s="14"/>
      <c r="MVM323" s="14"/>
      <c r="MVN323" s="14"/>
      <c r="MVO323" s="14"/>
      <c r="MVP323" s="14"/>
      <c r="MVQ323" s="14"/>
      <c r="MVR323" s="14"/>
      <c r="MVS323" s="14"/>
      <c r="MVT323" s="14"/>
      <c r="MVU323" s="14"/>
      <c r="MVV323" s="14"/>
      <c r="MVW323" s="14"/>
      <c r="MVX323" s="14"/>
      <c r="MVY323" s="14"/>
      <c r="MVZ323" s="14"/>
      <c r="MWA323" s="14"/>
      <c r="MWB323" s="14"/>
      <c r="MWC323" s="14"/>
      <c r="MWD323" s="14"/>
      <c r="MWE323" s="14"/>
      <c r="MWF323" s="14"/>
      <c r="MWG323" s="14"/>
      <c r="MWH323" s="14"/>
      <c r="MWI323" s="14"/>
      <c r="MWJ323" s="14"/>
      <c r="MWK323" s="14"/>
      <c r="MWL323" s="14"/>
      <c r="MWM323" s="14"/>
      <c r="MWN323" s="14"/>
      <c r="MWO323" s="14"/>
      <c r="MWP323" s="14"/>
      <c r="MWQ323" s="14"/>
      <c r="MWR323" s="14"/>
      <c r="MWS323" s="14"/>
      <c r="MWT323" s="14"/>
      <c r="MWU323" s="14"/>
      <c r="MWV323" s="14"/>
      <c r="MWW323" s="14"/>
      <c r="MWX323" s="14"/>
      <c r="MWY323" s="14"/>
      <c r="MWZ323" s="14"/>
      <c r="MXA323" s="14"/>
      <c r="MXB323" s="14"/>
      <c r="MXC323" s="14"/>
      <c r="MXD323" s="14"/>
      <c r="MXE323" s="14"/>
      <c r="MXF323" s="14"/>
      <c r="MXG323" s="14"/>
      <c r="MXH323" s="14"/>
      <c r="MXI323" s="14"/>
      <c r="MXJ323" s="14"/>
      <c r="MXK323" s="14"/>
      <c r="MXL323" s="14"/>
      <c r="MXM323" s="14"/>
      <c r="MXN323" s="14"/>
      <c r="MXO323" s="14"/>
      <c r="MXP323" s="14"/>
      <c r="MXQ323" s="14"/>
      <c r="MXR323" s="14"/>
      <c r="MXS323" s="14"/>
      <c r="MXT323" s="14"/>
      <c r="MXU323" s="14"/>
      <c r="MXV323" s="14"/>
      <c r="MXW323" s="14"/>
      <c r="MXX323" s="14"/>
      <c r="MXY323" s="14"/>
      <c r="MXZ323" s="14"/>
      <c r="MYA323" s="14"/>
      <c r="MYB323" s="14"/>
      <c r="MYC323" s="14"/>
      <c r="MYD323" s="14"/>
      <c r="MYE323" s="14"/>
      <c r="MYF323" s="14"/>
      <c r="MYG323" s="14"/>
      <c r="MYH323" s="14"/>
      <c r="MYI323" s="14"/>
      <c r="MYJ323" s="14"/>
      <c r="MYK323" s="14"/>
      <c r="MYL323" s="14"/>
      <c r="MYM323" s="14"/>
      <c r="MYN323" s="14"/>
      <c r="MYO323" s="14"/>
      <c r="MYP323" s="14"/>
      <c r="MYQ323" s="14"/>
      <c r="MYR323" s="14"/>
      <c r="MYS323" s="14"/>
      <c r="MYT323" s="14"/>
      <c r="MYU323" s="14"/>
      <c r="MYV323" s="14"/>
      <c r="MYW323" s="14"/>
      <c r="MYX323" s="14"/>
      <c r="MYY323" s="14"/>
      <c r="MYZ323" s="14"/>
      <c r="MZA323" s="14"/>
      <c r="MZB323" s="14"/>
      <c r="MZC323" s="14"/>
      <c r="MZD323" s="14"/>
      <c r="MZE323" s="14"/>
      <c r="MZF323" s="14"/>
      <c r="MZG323" s="14"/>
      <c r="MZH323" s="14"/>
      <c r="MZI323" s="14"/>
      <c r="MZJ323" s="14"/>
      <c r="MZK323" s="14"/>
      <c r="MZL323" s="14"/>
      <c r="MZM323" s="14"/>
      <c r="MZN323" s="14"/>
      <c r="MZO323" s="14"/>
      <c r="MZP323" s="14"/>
      <c r="MZQ323" s="14"/>
      <c r="MZR323" s="14"/>
      <c r="MZS323" s="14"/>
      <c r="MZT323" s="14"/>
      <c r="MZU323" s="14"/>
      <c r="MZV323" s="14"/>
      <c r="MZW323" s="14"/>
      <c r="MZX323" s="14"/>
      <c r="MZY323" s="14"/>
      <c r="MZZ323" s="14"/>
      <c r="NAA323" s="14"/>
      <c r="NAB323" s="14"/>
      <c r="NAC323" s="14"/>
      <c r="NAD323" s="14"/>
      <c r="NAE323" s="14"/>
      <c r="NAF323" s="14"/>
      <c r="NAG323" s="14"/>
      <c r="NAH323" s="14"/>
      <c r="NAI323" s="14"/>
      <c r="NAJ323" s="14"/>
      <c r="NAK323" s="14"/>
      <c r="NAL323" s="14"/>
      <c r="NAM323" s="14"/>
      <c r="NAN323" s="14"/>
      <c r="NAO323" s="14"/>
      <c r="NAP323" s="14"/>
      <c r="NAQ323" s="14"/>
      <c r="NAR323" s="14"/>
      <c r="NAS323" s="14"/>
      <c r="NAT323" s="14"/>
      <c r="NAU323" s="14"/>
      <c r="NAV323" s="14"/>
      <c r="NAW323" s="14"/>
      <c r="NAX323" s="14"/>
      <c r="NAY323" s="14"/>
      <c r="NAZ323" s="14"/>
      <c r="NBA323" s="14"/>
      <c r="NBB323" s="14"/>
      <c r="NBC323" s="14"/>
      <c r="NBD323" s="14"/>
      <c r="NBE323" s="14"/>
      <c r="NBF323" s="14"/>
      <c r="NBG323" s="14"/>
      <c r="NBH323" s="14"/>
      <c r="NBI323" s="14"/>
      <c r="NBJ323" s="14"/>
      <c r="NBK323" s="14"/>
      <c r="NBL323" s="14"/>
      <c r="NBM323" s="14"/>
      <c r="NBN323" s="14"/>
      <c r="NBO323" s="14"/>
      <c r="NBP323" s="14"/>
      <c r="NBQ323" s="14"/>
      <c r="NBR323" s="14"/>
      <c r="NBS323" s="14"/>
      <c r="NBT323" s="14"/>
      <c r="NBU323" s="14"/>
      <c r="NBV323" s="14"/>
      <c r="NBW323" s="14"/>
      <c r="NBX323" s="14"/>
      <c r="NBY323" s="14"/>
      <c r="NBZ323" s="14"/>
      <c r="NCA323" s="14"/>
      <c r="NCB323" s="14"/>
      <c r="NCC323" s="14"/>
      <c r="NCD323" s="14"/>
      <c r="NCE323" s="14"/>
      <c r="NCF323" s="14"/>
      <c r="NCG323" s="14"/>
      <c r="NCH323" s="14"/>
      <c r="NCI323" s="14"/>
      <c r="NCJ323" s="14"/>
      <c r="NCK323" s="14"/>
      <c r="NCL323" s="14"/>
      <c r="NCM323" s="14"/>
      <c r="NCN323" s="14"/>
      <c r="NCO323" s="14"/>
      <c r="NCP323" s="14"/>
      <c r="NCQ323" s="14"/>
      <c r="NCR323" s="14"/>
      <c r="NCS323" s="14"/>
      <c r="NCT323" s="14"/>
      <c r="NCU323" s="14"/>
      <c r="NCV323" s="14"/>
      <c r="NCW323" s="14"/>
      <c r="NCX323" s="14"/>
      <c r="NCY323" s="14"/>
      <c r="NCZ323" s="14"/>
      <c r="NDA323" s="14"/>
      <c r="NDB323" s="14"/>
      <c r="NDC323" s="14"/>
      <c r="NDD323" s="14"/>
      <c r="NDE323" s="14"/>
      <c r="NDF323" s="14"/>
      <c r="NDG323" s="14"/>
      <c r="NDH323" s="14"/>
      <c r="NDI323" s="14"/>
      <c r="NDJ323" s="14"/>
      <c r="NDK323" s="14"/>
      <c r="NDL323" s="14"/>
      <c r="NDM323" s="14"/>
      <c r="NDN323" s="14"/>
      <c r="NDO323" s="14"/>
      <c r="NDP323" s="14"/>
      <c r="NDQ323" s="14"/>
      <c r="NDR323" s="14"/>
      <c r="NDS323" s="14"/>
      <c r="NDT323" s="14"/>
      <c r="NDU323" s="14"/>
      <c r="NDV323" s="14"/>
      <c r="NDW323" s="14"/>
      <c r="NDX323" s="14"/>
      <c r="NDY323" s="14"/>
      <c r="NDZ323" s="14"/>
      <c r="NEA323" s="14"/>
      <c r="NEB323" s="14"/>
      <c r="NEC323" s="14"/>
      <c r="NED323" s="14"/>
      <c r="NEE323" s="14"/>
      <c r="NEF323" s="14"/>
      <c r="NEG323" s="14"/>
      <c r="NEH323" s="14"/>
      <c r="NEI323" s="14"/>
      <c r="NEJ323" s="14"/>
      <c r="NEK323" s="14"/>
      <c r="NEL323" s="14"/>
      <c r="NEM323" s="14"/>
      <c r="NEN323" s="14"/>
      <c r="NEO323" s="14"/>
      <c r="NEP323" s="14"/>
      <c r="NEQ323" s="14"/>
      <c r="NER323" s="14"/>
      <c r="NES323" s="14"/>
      <c r="NET323" s="14"/>
      <c r="NEU323" s="14"/>
      <c r="NEV323" s="14"/>
      <c r="NEW323" s="14"/>
      <c r="NEX323" s="14"/>
      <c r="NEY323" s="14"/>
      <c r="NEZ323" s="14"/>
      <c r="NFA323" s="14"/>
      <c r="NFB323" s="14"/>
      <c r="NFC323" s="14"/>
      <c r="NFD323" s="14"/>
      <c r="NFE323" s="14"/>
      <c r="NFF323" s="14"/>
      <c r="NFG323" s="14"/>
      <c r="NFH323" s="14"/>
      <c r="NFI323" s="14"/>
      <c r="NFJ323" s="14"/>
      <c r="NFK323" s="14"/>
      <c r="NFL323" s="14"/>
      <c r="NFM323" s="14"/>
      <c r="NFN323" s="14"/>
      <c r="NFO323" s="14"/>
      <c r="NFP323" s="14"/>
      <c r="NFQ323" s="14"/>
      <c r="NFR323" s="14"/>
      <c r="NFS323" s="14"/>
      <c r="NFT323" s="14"/>
      <c r="NFU323" s="14"/>
      <c r="NFV323" s="14"/>
      <c r="NFW323" s="14"/>
      <c r="NFX323" s="14"/>
      <c r="NFY323" s="14"/>
      <c r="NFZ323" s="14"/>
      <c r="NGA323" s="14"/>
      <c r="NGB323" s="14"/>
      <c r="NGC323" s="14"/>
      <c r="NGD323" s="14"/>
      <c r="NGE323" s="14"/>
      <c r="NGF323" s="14"/>
      <c r="NGG323" s="14"/>
      <c r="NGH323" s="14"/>
      <c r="NGI323" s="14"/>
      <c r="NGJ323" s="14"/>
      <c r="NGK323" s="14"/>
      <c r="NGL323" s="14"/>
      <c r="NGM323" s="14"/>
      <c r="NGN323" s="14"/>
      <c r="NGO323" s="14"/>
      <c r="NGP323" s="14"/>
      <c r="NGQ323" s="14"/>
      <c r="NGR323" s="14"/>
      <c r="NGS323" s="14"/>
      <c r="NGT323" s="14"/>
      <c r="NGU323" s="14"/>
      <c r="NGV323" s="14"/>
      <c r="NGW323" s="14"/>
      <c r="NGX323" s="14"/>
      <c r="NGY323" s="14"/>
      <c r="NGZ323" s="14"/>
      <c r="NHA323" s="14"/>
      <c r="NHB323" s="14"/>
      <c r="NHC323" s="14"/>
      <c r="NHD323" s="14"/>
      <c r="NHE323" s="14"/>
      <c r="NHF323" s="14"/>
      <c r="NHG323" s="14"/>
      <c r="NHH323" s="14"/>
      <c r="NHI323" s="14"/>
      <c r="NHJ323" s="14"/>
      <c r="NHK323" s="14"/>
      <c r="NHL323" s="14"/>
      <c r="NHM323" s="14"/>
      <c r="NHN323" s="14"/>
      <c r="NHO323" s="14"/>
      <c r="NHP323" s="14"/>
      <c r="NHQ323" s="14"/>
      <c r="NHR323" s="14"/>
      <c r="NHS323" s="14"/>
      <c r="NHT323" s="14"/>
      <c r="NHU323" s="14"/>
      <c r="NHV323" s="14"/>
      <c r="NHW323" s="14"/>
      <c r="NHX323" s="14"/>
      <c r="NHY323" s="14"/>
      <c r="NHZ323" s="14"/>
      <c r="NIA323" s="14"/>
      <c r="NIB323" s="14"/>
      <c r="NIC323" s="14"/>
      <c r="NID323" s="14"/>
      <c r="NIE323" s="14"/>
      <c r="NIF323" s="14"/>
      <c r="NIG323" s="14"/>
      <c r="NIH323" s="14"/>
      <c r="NII323" s="14"/>
      <c r="NIJ323" s="14"/>
      <c r="NIK323" s="14"/>
      <c r="NIL323" s="14"/>
      <c r="NIM323" s="14"/>
      <c r="NIN323" s="14"/>
      <c r="NIO323" s="14"/>
      <c r="NIP323" s="14"/>
      <c r="NIQ323" s="14"/>
      <c r="NIR323" s="14"/>
      <c r="NIS323" s="14"/>
      <c r="NIT323" s="14"/>
      <c r="NIU323" s="14"/>
      <c r="NIV323" s="14"/>
      <c r="NIW323" s="14"/>
      <c r="NIX323" s="14"/>
      <c r="NIY323" s="14"/>
      <c r="NIZ323" s="14"/>
      <c r="NJA323" s="14"/>
      <c r="NJB323" s="14"/>
      <c r="NJC323" s="14"/>
      <c r="NJD323" s="14"/>
      <c r="NJE323" s="14"/>
      <c r="NJF323" s="14"/>
      <c r="NJG323" s="14"/>
      <c r="NJH323" s="14"/>
      <c r="NJI323" s="14"/>
      <c r="NJJ323" s="14"/>
      <c r="NJK323" s="14"/>
      <c r="NJL323" s="14"/>
      <c r="NJM323" s="14"/>
      <c r="NJN323" s="14"/>
      <c r="NJO323" s="14"/>
      <c r="NJP323" s="14"/>
      <c r="NJQ323" s="14"/>
      <c r="NJR323" s="14"/>
      <c r="NJS323" s="14"/>
      <c r="NJT323" s="14"/>
      <c r="NJU323" s="14"/>
      <c r="NJV323" s="14"/>
      <c r="NJW323" s="14"/>
      <c r="NJX323" s="14"/>
      <c r="NJY323" s="14"/>
      <c r="NJZ323" s="14"/>
      <c r="NKA323" s="14"/>
      <c r="NKB323" s="14"/>
      <c r="NKC323" s="14"/>
      <c r="NKD323" s="14"/>
      <c r="NKE323" s="14"/>
      <c r="NKF323" s="14"/>
      <c r="NKG323" s="14"/>
      <c r="NKH323" s="14"/>
      <c r="NKI323" s="14"/>
      <c r="NKJ323" s="14"/>
      <c r="NKK323" s="14"/>
      <c r="NKL323" s="14"/>
      <c r="NKM323" s="14"/>
      <c r="NKN323" s="14"/>
      <c r="NKO323" s="14"/>
      <c r="NKP323" s="14"/>
      <c r="NKQ323" s="14"/>
      <c r="NKR323" s="14"/>
      <c r="NKS323" s="14"/>
      <c r="NKT323" s="14"/>
      <c r="NKU323" s="14"/>
      <c r="NKV323" s="14"/>
      <c r="NKW323" s="14"/>
      <c r="NKX323" s="14"/>
      <c r="NKY323" s="14"/>
      <c r="NKZ323" s="14"/>
      <c r="NLA323" s="14"/>
      <c r="NLB323" s="14"/>
      <c r="NLC323" s="14"/>
      <c r="NLD323" s="14"/>
      <c r="NLE323" s="14"/>
      <c r="NLF323" s="14"/>
      <c r="NLG323" s="14"/>
      <c r="NLH323" s="14"/>
      <c r="NLI323" s="14"/>
      <c r="NLJ323" s="14"/>
      <c r="NLK323" s="14"/>
      <c r="NLL323" s="14"/>
      <c r="NLM323" s="14"/>
      <c r="NLN323" s="14"/>
      <c r="NLO323" s="14"/>
      <c r="NLP323" s="14"/>
      <c r="NLQ323" s="14"/>
      <c r="NLR323" s="14"/>
      <c r="NLS323" s="14"/>
      <c r="NLT323" s="14"/>
      <c r="NLU323" s="14"/>
      <c r="NLV323" s="14"/>
      <c r="NLW323" s="14"/>
      <c r="NLX323" s="14"/>
      <c r="NLY323" s="14"/>
      <c r="NLZ323" s="14"/>
      <c r="NMA323" s="14"/>
      <c r="NMB323" s="14"/>
      <c r="NMC323" s="14"/>
      <c r="NMD323" s="14"/>
      <c r="NME323" s="14"/>
      <c r="NMF323" s="14"/>
      <c r="NMG323" s="14"/>
      <c r="NMH323" s="14"/>
      <c r="NMI323" s="14"/>
      <c r="NMJ323" s="14"/>
      <c r="NMK323" s="14"/>
      <c r="NML323" s="14"/>
      <c r="NMM323" s="14"/>
      <c r="NMN323" s="14"/>
      <c r="NMO323" s="14"/>
      <c r="NMP323" s="14"/>
      <c r="NMQ323" s="14"/>
      <c r="NMR323" s="14"/>
      <c r="NMS323" s="14"/>
      <c r="NMT323" s="14"/>
      <c r="NMU323" s="14"/>
      <c r="NMV323" s="14"/>
      <c r="NMW323" s="14"/>
      <c r="NMX323" s="14"/>
      <c r="NMY323" s="14"/>
      <c r="NMZ323" s="14"/>
      <c r="NNA323" s="14"/>
      <c r="NNB323" s="14"/>
      <c r="NNC323" s="14"/>
      <c r="NND323" s="14"/>
      <c r="NNE323" s="14"/>
      <c r="NNF323" s="14"/>
      <c r="NNG323" s="14"/>
      <c r="NNH323" s="14"/>
      <c r="NNI323" s="14"/>
      <c r="NNJ323" s="14"/>
      <c r="NNK323" s="14"/>
      <c r="NNL323" s="14"/>
      <c r="NNM323" s="14"/>
      <c r="NNN323" s="14"/>
      <c r="NNO323" s="14"/>
      <c r="NNP323" s="14"/>
      <c r="NNQ323" s="14"/>
      <c r="NNR323" s="14"/>
      <c r="NNS323" s="14"/>
      <c r="NNT323" s="14"/>
      <c r="NNU323" s="14"/>
      <c r="NNV323" s="14"/>
      <c r="NNW323" s="14"/>
      <c r="NNX323" s="14"/>
      <c r="NNY323" s="14"/>
      <c r="NNZ323" s="14"/>
      <c r="NOA323" s="14"/>
      <c r="NOB323" s="14"/>
      <c r="NOC323" s="14"/>
      <c r="NOD323" s="14"/>
      <c r="NOE323" s="14"/>
      <c r="NOF323" s="14"/>
      <c r="NOG323" s="14"/>
      <c r="NOH323" s="14"/>
      <c r="NOI323" s="14"/>
      <c r="NOJ323" s="14"/>
      <c r="NOK323" s="14"/>
      <c r="NOL323" s="14"/>
      <c r="NOM323" s="14"/>
      <c r="NON323" s="14"/>
      <c r="NOO323" s="14"/>
      <c r="NOP323" s="14"/>
      <c r="NOQ323" s="14"/>
      <c r="NOR323" s="14"/>
      <c r="NOS323" s="14"/>
      <c r="NOT323" s="14"/>
      <c r="NOU323" s="14"/>
      <c r="NOV323" s="14"/>
      <c r="NOW323" s="14"/>
      <c r="NOX323" s="14"/>
      <c r="NOY323" s="14"/>
      <c r="NOZ323" s="14"/>
      <c r="NPA323" s="14"/>
      <c r="NPB323" s="14"/>
      <c r="NPC323" s="14"/>
      <c r="NPD323" s="14"/>
      <c r="NPE323" s="14"/>
      <c r="NPF323" s="14"/>
      <c r="NPG323" s="14"/>
      <c r="NPH323" s="14"/>
      <c r="NPI323" s="14"/>
      <c r="NPJ323" s="14"/>
      <c r="NPK323" s="14"/>
      <c r="NPL323" s="14"/>
      <c r="NPM323" s="14"/>
      <c r="NPN323" s="14"/>
      <c r="NPO323" s="14"/>
      <c r="NPP323" s="14"/>
      <c r="NPQ323" s="14"/>
      <c r="NPR323" s="14"/>
      <c r="NPS323" s="14"/>
      <c r="NPT323" s="14"/>
      <c r="NPU323" s="14"/>
      <c r="NPV323" s="14"/>
      <c r="NPW323" s="14"/>
      <c r="NPX323" s="14"/>
      <c r="NPY323" s="14"/>
      <c r="NPZ323" s="14"/>
      <c r="NQA323" s="14"/>
      <c r="NQB323" s="14"/>
      <c r="NQC323" s="14"/>
      <c r="NQD323" s="14"/>
      <c r="NQE323" s="14"/>
      <c r="NQF323" s="14"/>
      <c r="NQG323" s="14"/>
      <c r="NQH323" s="14"/>
      <c r="NQI323" s="14"/>
      <c r="NQJ323" s="14"/>
      <c r="NQK323" s="14"/>
      <c r="NQL323" s="14"/>
      <c r="NQM323" s="14"/>
      <c r="NQN323" s="14"/>
      <c r="NQO323" s="14"/>
      <c r="NQP323" s="14"/>
      <c r="NQQ323" s="14"/>
      <c r="NQR323" s="14"/>
      <c r="NQS323" s="14"/>
      <c r="NQT323" s="14"/>
      <c r="NQU323" s="14"/>
      <c r="NQV323" s="14"/>
      <c r="NQW323" s="14"/>
      <c r="NQX323" s="14"/>
      <c r="NQY323" s="14"/>
      <c r="NQZ323" s="14"/>
      <c r="NRA323" s="14"/>
      <c r="NRB323" s="14"/>
      <c r="NRC323" s="14"/>
      <c r="NRD323" s="14"/>
      <c r="NRE323" s="14"/>
      <c r="NRF323" s="14"/>
      <c r="NRG323" s="14"/>
      <c r="NRH323" s="14"/>
      <c r="NRI323" s="14"/>
      <c r="NRJ323" s="14"/>
      <c r="NRK323" s="14"/>
      <c r="NRL323" s="14"/>
      <c r="NRM323" s="14"/>
      <c r="NRN323" s="14"/>
      <c r="NRO323" s="14"/>
      <c r="NRP323" s="14"/>
      <c r="NRQ323" s="14"/>
      <c r="NRR323" s="14"/>
      <c r="NRS323" s="14"/>
      <c r="NRT323" s="14"/>
      <c r="NRU323" s="14"/>
      <c r="NRV323" s="14"/>
      <c r="NRW323" s="14"/>
      <c r="NRX323" s="14"/>
      <c r="NRY323" s="14"/>
      <c r="NRZ323" s="14"/>
      <c r="NSA323" s="14"/>
      <c r="NSB323" s="14"/>
      <c r="NSC323" s="14"/>
      <c r="NSD323" s="14"/>
      <c r="NSE323" s="14"/>
      <c r="NSF323" s="14"/>
      <c r="NSG323" s="14"/>
      <c r="NSH323" s="14"/>
      <c r="NSI323" s="14"/>
      <c r="NSJ323" s="14"/>
      <c r="NSK323" s="14"/>
      <c r="NSL323" s="14"/>
      <c r="NSM323" s="14"/>
      <c r="NSN323" s="14"/>
      <c r="NSO323" s="14"/>
      <c r="NSP323" s="14"/>
      <c r="NSQ323" s="14"/>
      <c r="NSR323" s="14"/>
      <c r="NSS323" s="14"/>
      <c r="NST323" s="14"/>
      <c r="NSU323" s="14"/>
      <c r="NSV323" s="14"/>
      <c r="NSW323" s="14"/>
      <c r="NSX323" s="14"/>
      <c r="NSY323" s="14"/>
      <c r="NSZ323" s="14"/>
      <c r="NTA323" s="14"/>
      <c r="NTB323" s="14"/>
      <c r="NTC323" s="14"/>
      <c r="NTD323" s="14"/>
      <c r="NTE323" s="14"/>
      <c r="NTF323" s="14"/>
      <c r="NTG323" s="14"/>
      <c r="NTH323" s="14"/>
      <c r="NTI323" s="14"/>
      <c r="NTJ323" s="14"/>
      <c r="NTK323" s="14"/>
      <c r="NTL323" s="14"/>
      <c r="NTM323" s="14"/>
      <c r="NTN323" s="14"/>
      <c r="NTO323" s="14"/>
      <c r="NTP323" s="14"/>
      <c r="NTQ323" s="14"/>
      <c r="NTR323" s="14"/>
      <c r="NTS323" s="14"/>
      <c r="NTT323" s="14"/>
      <c r="NTU323" s="14"/>
      <c r="NTV323" s="14"/>
      <c r="NTW323" s="14"/>
      <c r="NTX323" s="14"/>
      <c r="NTY323" s="14"/>
      <c r="NTZ323" s="14"/>
      <c r="NUA323" s="14"/>
      <c r="NUB323" s="14"/>
      <c r="NUC323" s="14"/>
      <c r="NUD323" s="14"/>
      <c r="NUE323" s="14"/>
      <c r="NUF323" s="14"/>
      <c r="NUG323" s="14"/>
      <c r="NUH323" s="14"/>
      <c r="NUI323" s="14"/>
      <c r="NUJ323" s="14"/>
      <c r="NUK323" s="14"/>
      <c r="NUL323" s="14"/>
      <c r="NUM323" s="14"/>
      <c r="NUN323" s="14"/>
      <c r="NUO323" s="14"/>
      <c r="NUP323" s="14"/>
      <c r="NUQ323" s="14"/>
      <c r="NUR323" s="14"/>
      <c r="NUS323" s="14"/>
      <c r="NUT323" s="14"/>
      <c r="NUU323" s="14"/>
      <c r="NUV323" s="14"/>
      <c r="NUW323" s="14"/>
      <c r="NUX323" s="14"/>
      <c r="NUY323" s="14"/>
      <c r="NUZ323" s="14"/>
      <c r="NVA323" s="14"/>
      <c r="NVB323" s="14"/>
      <c r="NVC323" s="14"/>
      <c r="NVD323" s="14"/>
      <c r="NVE323" s="14"/>
      <c r="NVF323" s="14"/>
      <c r="NVG323" s="14"/>
      <c r="NVH323" s="14"/>
      <c r="NVI323" s="14"/>
      <c r="NVJ323" s="14"/>
      <c r="NVK323" s="14"/>
      <c r="NVL323" s="14"/>
      <c r="NVM323" s="14"/>
      <c r="NVN323" s="14"/>
      <c r="NVO323" s="14"/>
      <c r="NVP323" s="14"/>
      <c r="NVQ323" s="14"/>
      <c r="NVR323" s="14"/>
      <c r="NVS323" s="14"/>
      <c r="NVT323" s="14"/>
      <c r="NVU323" s="14"/>
      <c r="NVV323" s="14"/>
      <c r="NVW323" s="14"/>
      <c r="NVX323" s="14"/>
      <c r="NVY323" s="14"/>
      <c r="NVZ323" s="14"/>
      <c r="NWA323" s="14"/>
      <c r="NWB323" s="14"/>
      <c r="NWC323" s="14"/>
      <c r="NWD323" s="14"/>
      <c r="NWE323" s="14"/>
      <c r="NWF323" s="14"/>
      <c r="NWG323" s="14"/>
      <c r="NWH323" s="14"/>
      <c r="NWI323" s="14"/>
      <c r="NWJ323" s="14"/>
      <c r="NWK323" s="14"/>
      <c r="NWL323" s="14"/>
      <c r="NWM323" s="14"/>
      <c r="NWN323" s="14"/>
      <c r="NWO323" s="14"/>
      <c r="NWP323" s="14"/>
      <c r="NWQ323" s="14"/>
      <c r="NWR323" s="14"/>
      <c r="NWS323" s="14"/>
      <c r="NWT323" s="14"/>
      <c r="NWU323" s="14"/>
      <c r="NWV323" s="14"/>
      <c r="NWW323" s="14"/>
      <c r="NWX323" s="14"/>
      <c r="NWY323" s="14"/>
      <c r="NWZ323" s="14"/>
      <c r="NXA323" s="14"/>
      <c r="NXB323" s="14"/>
      <c r="NXC323" s="14"/>
      <c r="NXD323" s="14"/>
      <c r="NXE323" s="14"/>
      <c r="NXF323" s="14"/>
      <c r="NXG323" s="14"/>
      <c r="NXH323" s="14"/>
      <c r="NXI323" s="14"/>
      <c r="NXJ323" s="14"/>
      <c r="NXK323" s="14"/>
      <c r="NXL323" s="14"/>
      <c r="NXM323" s="14"/>
      <c r="NXN323" s="14"/>
      <c r="NXO323" s="14"/>
      <c r="NXP323" s="14"/>
      <c r="NXQ323" s="14"/>
      <c r="NXR323" s="14"/>
      <c r="NXS323" s="14"/>
      <c r="NXT323" s="14"/>
      <c r="NXU323" s="14"/>
      <c r="NXV323" s="14"/>
      <c r="NXW323" s="14"/>
      <c r="NXX323" s="14"/>
      <c r="NXY323" s="14"/>
      <c r="NXZ323" s="14"/>
      <c r="NYA323" s="14"/>
      <c r="NYB323" s="14"/>
      <c r="NYC323" s="14"/>
      <c r="NYD323" s="14"/>
      <c r="NYE323" s="14"/>
      <c r="NYF323" s="14"/>
      <c r="NYG323" s="14"/>
      <c r="NYH323" s="14"/>
      <c r="NYI323" s="14"/>
      <c r="NYJ323" s="14"/>
      <c r="NYK323" s="14"/>
      <c r="NYL323" s="14"/>
      <c r="NYM323" s="14"/>
      <c r="NYN323" s="14"/>
      <c r="NYO323" s="14"/>
      <c r="NYP323" s="14"/>
      <c r="NYQ323" s="14"/>
      <c r="NYR323" s="14"/>
      <c r="NYS323" s="14"/>
      <c r="NYT323" s="14"/>
      <c r="NYU323" s="14"/>
      <c r="NYV323" s="14"/>
      <c r="NYW323" s="14"/>
      <c r="NYX323" s="14"/>
      <c r="NYY323" s="14"/>
      <c r="NYZ323" s="14"/>
      <c r="NZA323" s="14"/>
      <c r="NZB323" s="14"/>
      <c r="NZC323" s="14"/>
      <c r="NZD323" s="14"/>
      <c r="NZE323" s="14"/>
      <c r="NZF323" s="14"/>
      <c r="NZG323" s="14"/>
      <c r="NZH323" s="14"/>
      <c r="NZI323" s="14"/>
      <c r="NZJ323" s="14"/>
      <c r="NZK323" s="14"/>
      <c r="NZL323" s="14"/>
      <c r="NZM323" s="14"/>
      <c r="NZN323" s="14"/>
      <c r="NZO323" s="14"/>
      <c r="NZP323" s="14"/>
      <c r="NZQ323" s="14"/>
      <c r="NZR323" s="14"/>
      <c r="NZS323" s="14"/>
      <c r="NZT323" s="14"/>
      <c r="NZU323" s="14"/>
      <c r="NZV323" s="14"/>
      <c r="NZW323" s="14"/>
      <c r="NZX323" s="14"/>
      <c r="NZY323" s="14"/>
      <c r="NZZ323" s="14"/>
      <c r="OAA323" s="14"/>
      <c r="OAB323" s="14"/>
      <c r="OAC323" s="14"/>
      <c r="OAD323" s="14"/>
      <c r="OAE323" s="14"/>
      <c r="OAF323" s="14"/>
      <c r="OAG323" s="14"/>
      <c r="OAH323" s="14"/>
      <c r="OAI323" s="14"/>
      <c r="OAJ323" s="14"/>
      <c r="OAK323" s="14"/>
      <c r="OAL323" s="14"/>
      <c r="OAM323" s="14"/>
      <c r="OAN323" s="14"/>
      <c r="OAO323" s="14"/>
      <c r="OAP323" s="14"/>
      <c r="OAQ323" s="14"/>
      <c r="OAR323" s="14"/>
      <c r="OAS323" s="14"/>
      <c r="OAT323" s="14"/>
      <c r="OAU323" s="14"/>
      <c r="OAV323" s="14"/>
      <c r="OAW323" s="14"/>
      <c r="OAX323" s="14"/>
      <c r="OAY323" s="14"/>
      <c r="OAZ323" s="14"/>
      <c r="OBA323" s="14"/>
      <c r="OBB323" s="14"/>
      <c r="OBC323" s="14"/>
      <c r="OBD323" s="14"/>
      <c r="OBE323" s="14"/>
      <c r="OBF323" s="14"/>
      <c r="OBG323" s="14"/>
      <c r="OBH323" s="14"/>
      <c r="OBI323" s="14"/>
      <c r="OBJ323" s="14"/>
      <c r="OBK323" s="14"/>
      <c r="OBL323" s="14"/>
      <c r="OBM323" s="14"/>
      <c r="OBN323" s="14"/>
      <c r="OBO323" s="14"/>
      <c r="OBP323" s="14"/>
      <c r="OBQ323" s="14"/>
      <c r="OBR323" s="14"/>
      <c r="OBS323" s="14"/>
      <c r="OBT323" s="14"/>
      <c r="OBU323" s="14"/>
      <c r="OBV323" s="14"/>
      <c r="OBW323" s="14"/>
      <c r="OBX323" s="14"/>
      <c r="OBY323" s="14"/>
      <c r="OBZ323" s="14"/>
      <c r="OCA323" s="14"/>
      <c r="OCB323" s="14"/>
      <c r="OCC323" s="14"/>
      <c r="OCD323" s="14"/>
      <c r="OCE323" s="14"/>
      <c r="OCF323" s="14"/>
      <c r="OCG323" s="14"/>
      <c r="OCH323" s="14"/>
      <c r="OCI323" s="14"/>
      <c r="OCJ323" s="14"/>
      <c r="OCK323" s="14"/>
      <c r="OCL323" s="14"/>
      <c r="OCM323" s="14"/>
      <c r="OCN323" s="14"/>
      <c r="OCO323" s="14"/>
      <c r="OCP323" s="14"/>
      <c r="OCQ323" s="14"/>
      <c r="OCR323" s="14"/>
      <c r="OCS323" s="14"/>
      <c r="OCT323" s="14"/>
      <c r="OCU323" s="14"/>
      <c r="OCV323" s="14"/>
      <c r="OCW323" s="14"/>
      <c r="OCX323" s="14"/>
      <c r="OCY323" s="14"/>
      <c r="OCZ323" s="14"/>
      <c r="ODA323" s="14"/>
      <c r="ODB323" s="14"/>
      <c r="ODC323" s="14"/>
      <c r="ODD323" s="14"/>
      <c r="ODE323" s="14"/>
      <c r="ODF323" s="14"/>
      <c r="ODG323" s="14"/>
      <c r="ODH323" s="14"/>
      <c r="ODI323" s="14"/>
      <c r="ODJ323" s="14"/>
      <c r="ODK323" s="14"/>
      <c r="ODL323" s="14"/>
      <c r="ODM323" s="14"/>
      <c r="ODN323" s="14"/>
      <c r="ODO323" s="14"/>
      <c r="ODP323" s="14"/>
      <c r="ODQ323" s="14"/>
      <c r="ODR323" s="14"/>
      <c r="ODS323" s="14"/>
      <c r="ODT323" s="14"/>
      <c r="ODU323" s="14"/>
      <c r="ODV323" s="14"/>
      <c r="ODW323" s="14"/>
      <c r="ODX323" s="14"/>
      <c r="ODY323" s="14"/>
      <c r="ODZ323" s="14"/>
      <c r="OEA323" s="14"/>
      <c r="OEB323" s="14"/>
      <c r="OEC323" s="14"/>
      <c r="OED323" s="14"/>
      <c r="OEE323" s="14"/>
      <c r="OEF323" s="14"/>
      <c r="OEG323" s="14"/>
      <c r="OEH323" s="14"/>
      <c r="OEI323" s="14"/>
      <c r="OEJ323" s="14"/>
      <c r="OEK323" s="14"/>
      <c r="OEL323" s="14"/>
      <c r="OEM323" s="14"/>
      <c r="OEN323" s="14"/>
      <c r="OEO323" s="14"/>
      <c r="OEP323" s="14"/>
      <c r="OEQ323" s="14"/>
      <c r="OER323" s="14"/>
      <c r="OES323" s="14"/>
      <c r="OET323" s="14"/>
      <c r="OEU323" s="14"/>
      <c r="OEV323" s="14"/>
      <c r="OEW323" s="14"/>
      <c r="OEX323" s="14"/>
      <c r="OEY323" s="14"/>
      <c r="OEZ323" s="14"/>
      <c r="OFA323" s="14"/>
      <c r="OFB323" s="14"/>
      <c r="OFC323" s="14"/>
      <c r="OFD323" s="14"/>
      <c r="OFE323" s="14"/>
      <c r="OFF323" s="14"/>
      <c r="OFG323" s="14"/>
      <c r="OFH323" s="14"/>
      <c r="OFI323" s="14"/>
      <c r="OFJ323" s="14"/>
      <c r="OFK323" s="14"/>
      <c r="OFL323" s="14"/>
      <c r="OFM323" s="14"/>
      <c r="OFN323" s="14"/>
      <c r="OFO323" s="14"/>
      <c r="OFP323" s="14"/>
      <c r="OFQ323" s="14"/>
      <c r="OFR323" s="14"/>
      <c r="OFS323" s="14"/>
      <c r="OFT323" s="14"/>
      <c r="OFU323" s="14"/>
      <c r="OFV323" s="14"/>
      <c r="OFW323" s="14"/>
      <c r="OFX323" s="14"/>
      <c r="OFY323" s="14"/>
      <c r="OFZ323" s="14"/>
      <c r="OGA323" s="14"/>
      <c r="OGB323" s="14"/>
      <c r="OGC323" s="14"/>
      <c r="OGD323" s="14"/>
      <c r="OGE323" s="14"/>
      <c r="OGF323" s="14"/>
      <c r="OGG323" s="14"/>
      <c r="OGH323" s="14"/>
      <c r="OGI323" s="14"/>
      <c r="OGJ323" s="14"/>
      <c r="OGK323" s="14"/>
      <c r="OGL323" s="14"/>
      <c r="OGM323" s="14"/>
      <c r="OGN323" s="14"/>
      <c r="OGO323" s="14"/>
      <c r="OGP323" s="14"/>
      <c r="OGQ323" s="14"/>
      <c r="OGR323" s="14"/>
      <c r="OGS323" s="14"/>
      <c r="OGT323" s="14"/>
      <c r="OGU323" s="14"/>
      <c r="OGV323" s="14"/>
      <c r="OGW323" s="14"/>
      <c r="OGX323" s="14"/>
      <c r="OGY323" s="14"/>
      <c r="OGZ323" s="14"/>
      <c r="OHA323" s="14"/>
      <c r="OHB323" s="14"/>
      <c r="OHC323" s="14"/>
      <c r="OHD323" s="14"/>
      <c r="OHE323" s="14"/>
      <c r="OHF323" s="14"/>
      <c r="OHG323" s="14"/>
      <c r="OHH323" s="14"/>
      <c r="OHI323" s="14"/>
      <c r="OHJ323" s="14"/>
      <c r="OHK323" s="14"/>
      <c r="OHL323" s="14"/>
      <c r="OHM323" s="14"/>
      <c r="OHN323" s="14"/>
      <c r="OHO323" s="14"/>
      <c r="OHP323" s="14"/>
      <c r="OHQ323" s="14"/>
      <c r="OHR323" s="14"/>
      <c r="OHS323" s="14"/>
      <c r="OHT323" s="14"/>
      <c r="OHU323" s="14"/>
      <c r="OHV323" s="14"/>
      <c r="OHW323" s="14"/>
      <c r="OHX323" s="14"/>
      <c r="OHY323" s="14"/>
      <c r="OHZ323" s="14"/>
      <c r="OIA323" s="14"/>
      <c r="OIB323" s="14"/>
      <c r="OIC323" s="14"/>
      <c r="OID323" s="14"/>
      <c r="OIE323" s="14"/>
      <c r="OIF323" s="14"/>
      <c r="OIG323" s="14"/>
      <c r="OIH323" s="14"/>
      <c r="OII323" s="14"/>
      <c r="OIJ323" s="14"/>
      <c r="OIK323" s="14"/>
      <c r="OIL323" s="14"/>
      <c r="OIM323" s="14"/>
      <c r="OIN323" s="14"/>
      <c r="OIO323" s="14"/>
      <c r="OIP323" s="14"/>
      <c r="OIQ323" s="14"/>
      <c r="OIR323" s="14"/>
      <c r="OIS323" s="14"/>
      <c r="OIT323" s="14"/>
      <c r="OIU323" s="14"/>
      <c r="OIV323" s="14"/>
      <c r="OIW323" s="14"/>
      <c r="OIX323" s="14"/>
      <c r="OIY323" s="14"/>
      <c r="OIZ323" s="14"/>
      <c r="OJA323" s="14"/>
      <c r="OJB323" s="14"/>
      <c r="OJC323" s="14"/>
      <c r="OJD323" s="14"/>
      <c r="OJE323" s="14"/>
      <c r="OJF323" s="14"/>
      <c r="OJG323" s="14"/>
      <c r="OJH323" s="14"/>
      <c r="OJI323" s="14"/>
      <c r="OJJ323" s="14"/>
      <c r="OJK323" s="14"/>
      <c r="OJL323" s="14"/>
      <c r="OJM323" s="14"/>
      <c r="OJN323" s="14"/>
      <c r="OJO323" s="14"/>
      <c r="OJP323" s="14"/>
      <c r="OJQ323" s="14"/>
      <c r="OJR323" s="14"/>
      <c r="OJS323" s="14"/>
      <c r="OJT323" s="14"/>
      <c r="OJU323" s="14"/>
      <c r="OJV323" s="14"/>
      <c r="OJW323" s="14"/>
      <c r="OJX323" s="14"/>
      <c r="OJY323" s="14"/>
      <c r="OJZ323" s="14"/>
      <c r="OKA323" s="14"/>
      <c r="OKB323" s="14"/>
      <c r="OKC323" s="14"/>
      <c r="OKD323" s="14"/>
      <c r="OKE323" s="14"/>
      <c r="OKF323" s="14"/>
      <c r="OKG323" s="14"/>
      <c r="OKH323" s="14"/>
      <c r="OKI323" s="14"/>
      <c r="OKJ323" s="14"/>
      <c r="OKK323" s="14"/>
      <c r="OKL323" s="14"/>
      <c r="OKM323" s="14"/>
      <c r="OKN323" s="14"/>
      <c r="OKO323" s="14"/>
      <c r="OKP323" s="14"/>
      <c r="OKQ323" s="14"/>
      <c r="OKR323" s="14"/>
      <c r="OKS323" s="14"/>
      <c r="OKT323" s="14"/>
      <c r="OKU323" s="14"/>
      <c r="OKV323" s="14"/>
      <c r="OKW323" s="14"/>
      <c r="OKX323" s="14"/>
      <c r="OKY323" s="14"/>
      <c r="OKZ323" s="14"/>
      <c r="OLA323" s="14"/>
      <c r="OLB323" s="14"/>
      <c r="OLC323" s="14"/>
      <c r="OLD323" s="14"/>
      <c r="OLE323" s="14"/>
      <c r="OLF323" s="14"/>
      <c r="OLG323" s="14"/>
      <c r="OLH323" s="14"/>
      <c r="OLI323" s="14"/>
      <c r="OLJ323" s="14"/>
      <c r="OLK323" s="14"/>
      <c r="OLL323" s="14"/>
      <c r="OLM323" s="14"/>
      <c r="OLN323" s="14"/>
      <c r="OLO323" s="14"/>
      <c r="OLP323" s="14"/>
      <c r="OLQ323" s="14"/>
      <c r="OLR323" s="14"/>
      <c r="OLS323" s="14"/>
      <c r="OLT323" s="14"/>
      <c r="OLU323" s="14"/>
      <c r="OLV323" s="14"/>
      <c r="OLW323" s="14"/>
      <c r="OLX323" s="14"/>
      <c r="OLY323" s="14"/>
      <c r="OLZ323" s="14"/>
      <c r="OMA323" s="14"/>
      <c r="OMB323" s="14"/>
      <c r="OMC323" s="14"/>
      <c r="OMD323" s="14"/>
      <c r="OME323" s="14"/>
      <c r="OMF323" s="14"/>
      <c r="OMG323" s="14"/>
      <c r="OMH323" s="14"/>
      <c r="OMI323" s="14"/>
      <c r="OMJ323" s="14"/>
      <c r="OMK323" s="14"/>
      <c r="OML323" s="14"/>
      <c r="OMM323" s="14"/>
      <c r="OMN323" s="14"/>
      <c r="OMO323" s="14"/>
      <c r="OMP323" s="14"/>
      <c r="OMQ323" s="14"/>
      <c r="OMR323" s="14"/>
      <c r="OMS323" s="14"/>
      <c r="OMT323" s="14"/>
      <c r="OMU323" s="14"/>
      <c r="OMV323" s="14"/>
      <c r="OMW323" s="14"/>
      <c r="OMX323" s="14"/>
      <c r="OMY323" s="14"/>
      <c r="OMZ323" s="14"/>
      <c r="ONA323" s="14"/>
      <c r="ONB323" s="14"/>
      <c r="ONC323" s="14"/>
      <c r="OND323" s="14"/>
      <c r="ONE323" s="14"/>
      <c r="ONF323" s="14"/>
      <c r="ONG323" s="14"/>
      <c r="ONH323" s="14"/>
      <c r="ONI323" s="14"/>
      <c r="ONJ323" s="14"/>
      <c r="ONK323" s="14"/>
      <c r="ONL323" s="14"/>
      <c r="ONM323" s="14"/>
      <c r="ONN323" s="14"/>
      <c r="ONO323" s="14"/>
      <c r="ONP323" s="14"/>
      <c r="ONQ323" s="14"/>
      <c r="ONR323" s="14"/>
      <c r="ONS323" s="14"/>
      <c r="ONT323" s="14"/>
      <c r="ONU323" s="14"/>
      <c r="ONV323" s="14"/>
      <c r="ONW323" s="14"/>
      <c r="ONX323" s="14"/>
      <c r="ONY323" s="14"/>
      <c r="ONZ323" s="14"/>
      <c r="OOA323" s="14"/>
      <c r="OOB323" s="14"/>
      <c r="OOC323" s="14"/>
      <c r="OOD323" s="14"/>
      <c r="OOE323" s="14"/>
      <c r="OOF323" s="14"/>
      <c r="OOG323" s="14"/>
      <c r="OOH323" s="14"/>
      <c r="OOI323" s="14"/>
      <c r="OOJ323" s="14"/>
      <c r="OOK323" s="14"/>
      <c r="OOL323" s="14"/>
      <c r="OOM323" s="14"/>
      <c r="OON323" s="14"/>
      <c r="OOO323" s="14"/>
      <c r="OOP323" s="14"/>
      <c r="OOQ323" s="14"/>
      <c r="OOR323" s="14"/>
      <c r="OOS323" s="14"/>
      <c r="OOT323" s="14"/>
      <c r="OOU323" s="14"/>
      <c r="OOV323" s="14"/>
      <c r="OOW323" s="14"/>
      <c r="OOX323" s="14"/>
      <c r="OOY323" s="14"/>
      <c r="OOZ323" s="14"/>
      <c r="OPA323" s="14"/>
      <c r="OPB323" s="14"/>
      <c r="OPC323" s="14"/>
      <c r="OPD323" s="14"/>
      <c r="OPE323" s="14"/>
      <c r="OPF323" s="14"/>
      <c r="OPG323" s="14"/>
      <c r="OPH323" s="14"/>
      <c r="OPI323" s="14"/>
      <c r="OPJ323" s="14"/>
      <c r="OPK323" s="14"/>
      <c r="OPL323" s="14"/>
      <c r="OPM323" s="14"/>
      <c r="OPN323" s="14"/>
      <c r="OPO323" s="14"/>
      <c r="OPP323" s="14"/>
      <c r="OPQ323" s="14"/>
      <c r="OPR323" s="14"/>
      <c r="OPS323" s="14"/>
      <c r="OPT323" s="14"/>
      <c r="OPU323" s="14"/>
      <c r="OPV323" s="14"/>
      <c r="OPW323" s="14"/>
      <c r="OPX323" s="14"/>
      <c r="OPY323" s="14"/>
      <c r="OPZ323" s="14"/>
      <c r="OQA323" s="14"/>
      <c r="OQB323" s="14"/>
      <c r="OQC323" s="14"/>
      <c r="OQD323" s="14"/>
      <c r="OQE323" s="14"/>
      <c r="OQF323" s="14"/>
      <c r="OQG323" s="14"/>
      <c r="OQH323" s="14"/>
      <c r="OQI323" s="14"/>
      <c r="OQJ323" s="14"/>
      <c r="OQK323" s="14"/>
      <c r="OQL323" s="14"/>
      <c r="OQM323" s="14"/>
      <c r="OQN323" s="14"/>
      <c r="OQO323" s="14"/>
      <c r="OQP323" s="14"/>
      <c r="OQQ323" s="14"/>
      <c r="OQR323" s="14"/>
      <c r="OQS323" s="14"/>
      <c r="OQT323" s="14"/>
      <c r="OQU323" s="14"/>
      <c r="OQV323" s="14"/>
      <c r="OQW323" s="14"/>
      <c r="OQX323" s="14"/>
      <c r="OQY323" s="14"/>
      <c r="OQZ323" s="14"/>
      <c r="ORA323" s="14"/>
      <c r="ORB323" s="14"/>
      <c r="ORC323" s="14"/>
      <c r="ORD323" s="14"/>
      <c r="ORE323" s="14"/>
      <c r="ORF323" s="14"/>
      <c r="ORG323" s="14"/>
      <c r="ORH323" s="14"/>
      <c r="ORI323" s="14"/>
      <c r="ORJ323" s="14"/>
      <c r="ORK323" s="14"/>
      <c r="ORL323" s="14"/>
      <c r="ORM323" s="14"/>
      <c r="ORN323" s="14"/>
      <c r="ORO323" s="14"/>
      <c r="ORP323" s="14"/>
      <c r="ORQ323" s="14"/>
      <c r="ORR323" s="14"/>
      <c r="ORS323" s="14"/>
      <c r="ORT323" s="14"/>
      <c r="ORU323" s="14"/>
      <c r="ORV323" s="14"/>
      <c r="ORW323" s="14"/>
      <c r="ORX323" s="14"/>
      <c r="ORY323" s="14"/>
      <c r="ORZ323" s="14"/>
      <c r="OSA323" s="14"/>
      <c r="OSB323" s="14"/>
      <c r="OSC323" s="14"/>
      <c r="OSD323" s="14"/>
      <c r="OSE323" s="14"/>
      <c r="OSF323" s="14"/>
      <c r="OSG323" s="14"/>
      <c r="OSH323" s="14"/>
      <c r="OSI323" s="14"/>
      <c r="OSJ323" s="14"/>
      <c r="OSK323" s="14"/>
      <c r="OSL323" s="14"/>
      <c r="OSM323" s="14"/>
      <c r="OSN323" s="14"/>
      <c r="OSO323" s="14"/>
      <c r="OSP323" s="14"/>
      <c r="OSQ323" s="14"/>
      <c r="OSR323" s="14"/>
      <c r="OSS323" s="14"/>
      <c r="OST323" s="14"/>
      <c r="OSU323" s="14"/>
      <c r="OSV323" s="14"/>
      <c r="OSW323" s="14"/>
      <c r="OSX323" s="14"/>
      <c r="OSY323" s="14"/>
      <c r="OSZ323" s="14"/>
      <c r="OTA323" s="14"/>
      <c r="OTB323" s="14"/>
      <c r="OTC323" s="14"/>
      <c r="OTD323" s="14"/>
      <c r="OTE323" s="14"/>
      <c r="OTF323" s="14"/>
      <c r="OTG323" s="14"/>
      <c r="OTH323" s="14"/>
      <c r="OTI323" s="14"/>
      <c r="OTJ323" s="14"/>
      <c r="OTK323" s="14"/>
      <c r="OTL323" s="14"/>
      <c r="OTM323" s="14"/>
      <c r="OTN323" s="14"/>
      <c r="OTO323" s="14"/>
      <c r="OTP323" s="14"/>
      <c r="OTQ323" s="14"/>
      <c r="OTR323" s="14"/>
      <c r="OTS323" s="14"/>
      <c r="OTT323" s="14"/>
      <c r="OTU323" s="14"/>
      <c r="OTV323" s="14"/>
      <c r="OTW323" s="14"/>
      <c r="OTX323" s="14"/>
      <c r="OTY323" s="14"/>
      <c r="OTZ323" s="14"/>
      <c r="OUA323" s="14"/>
      <c r="OUB323" s="14"/>
      <c r="OUC323" s="14"/>
      <c r="OUD323" s="14"/>
      <c r="OUE323" s="14"/>
      <c r="OUF323" s="14"/>
      <c r="OUG323" s="14"/>
      <c r="OUH323" s="14"/>
      <c r="OUI323" s="14"/>
      <c r="OUJ323" s="14"/>
      <c r="OUK323" s="14"/>
      <c r="OUL323" s="14"/>
      <c r="OUM323" s="14"/>
      <c r="OUN323" s="14"/>
      <c r="OUO323" s="14"/>
      <c r="OUP323" s="14"/>
      <c r="OUQ323" s="14"/>
      <c r="OUR323" s="14"/>
      <c r="OUS323" s="14"/>
      <c r="OUT323" s="14"/>
      <c r="OUU323" s="14"/>
      <c r="OUV323" s="14"/>
      <c r="OUW323" s="14"/>
      <c r="OUX323" s="14"/>
      <c r="OUY323" s="14"/>
      <c r="OUZ323" s="14"/>
      <c r="OVA323" s="14"/>
      <c r="OVB323" s="14"/>
      <c r="OVC323" s="14"/>
      <c r="OVD323" s="14"/>
      <c r="OVE323" s="14"/>
      <c r="OVF323" s="14"/>
      <c r="OVG323" s="14"/>
      <c r="OVH323" s="14"/>
      <c r="OVI323" s="14"/>
      <c r="OVJ323" s="14"/>
      <c r="OVK323" s="14"/>
      <c r="OVL323" s="14"/>
      <c r="OVM323" s="14"/>
      <c r="OVN323" s="14"/>
      <c r="OVO323" s="14"/>
      <c r="OVP323" s="14"/>
      <c r="OVQ323" s="14"/>
      <c r="OVR323" s="14"/>
      <c r="OVS323" s="14"/>
      <c r="OVT323" s="14"/>
      <c r="OVU323" s="14"/>
      <c r="OVV323" s="14"/>
      <c r="OVW323" s="14"/>
      <c r="OVX323" s="14"/>
      <c r="OVY323" s="14"/>
      <c r="OVZ323" s="14"/>
      <c r="OWA323" s="14"/>
      <c r="OWB323" s="14"/>
      <c r="OWC323" s="14"/>
      <c r="OWD323" s="14"/>
      <c r="OWE323" s="14"/>
      <c r="OWF323" s="14"/>
      <c r="OWG323" s="14"/>
      <c r="OWH323" s="14"/>
      <c r="OWI323" s="14"/>
      <c r="OWJ323" s="14"/>
      <c r="OWK323" s="14"/>
      <c r="OWL323" s="14"/>
      <c r="OWM323" s="14"/>
      <c r="OWN323" s="14"/>
      <c r="OWO323" s="14"/>
      <c r="OWP323" s="14"/>
      <c r="OWQ323" s="14"/>
      <c r="OWR323" s="14"/>
      <c r="OWS323" s="14"/>
      <c r="OWT323" s="14"/>
      <c r="OWU323" s="14"/>
      <c r="OWV323" s="14"/>
      <c r="OWW323" s="14"/>
      <c r="OWX323" s="14"/>
      <c r="OWY323" s="14"/>
      <c r="OWZ323" s="14"/>
      <c r="OXA323" s="14"/>
      <c r="OXB323" s="14"/>
      <c r="OXC323" s="14"/>
      <c r="OXD323" s="14"/>
      <c r="OXE323" s="14"/>
      <c r="OXF323" s="14"/>
      <c r="OXG323" s="14"/>
      <c r="OXH323" s="14"/>
      <c r="OXI323" s="14"/>
      <c r="OXJ323" s="14"/>
      <c r="OXK323" s="14"/>
      <c r="OXL323" s="14"/>
      <c r="OXM323" s="14"/>
      <c r="OXN323" s="14"/>
      <c r="OXO323" s="14"/>
      <c r="OXP323" s="14"/>
      <c r="OXQ323" s="14"/>
      <c r="OXR323" s="14"/>
      <c r="OXS323" s="14"/>
      <c r="OXT323" s="14"/>
      <c r="OXU323" s="14"/>
      <c r="OXV323" s="14"/>
      <c r="OXW323" s="14"/>
      <c r="OXX323" s="14"/>
      <c r="OXY323" s="14"/>
      <c r="OXZ323" s="14"/>
      <c r="OYA323" s="14"/>
      <c r="OYB323" s="14"/>
      <c r="OYC323" s="14"/>
      <c r="OYD323" s="14"/>
      <c r="OYE323" s="14"/>
      <c r="OYF323" s="14"/>
      <c r="OYG323" s="14"/>
      <c r="OYH323" s="14"/>
      <c r="OYI323" s="14"/>
      <c r="OYJ323" s="14"/>
      <c r="OYK323" s="14"/>
      <c r="OYL323" s="14"/>
      <c r="OYM323" s="14"/>
      <c r="OYN323" s="14"/>
      <c r="OYO323" s="14"/>
      <c r="OYP323" s="14"/>
      <c r="OYQ323" s="14"/>
      <c r="OYR323" s="14"/>
      <c r="OYS323" s="14"/>
      <c r="OYT323" s="14"/>
      <c r="OYU323" s="14"/>
      <c r="OYV323" s="14"/>
      <c r="OYW323" s="14"/>
      <c r="OYX323" s="14"/>
      <c r="OYY323" s="14"/>
      <c r="OYZ323" s="14"/>
      <c r="OZA323" s="14"/>
      <c r="OZB323" s="14"/>
      <c r="OZC323" s="14"/>
      <c r="OZD323" s="14"/>
      <c r="OZE323" s="14"/>
      <c r="OZF323" s="14"/>
      <c r="OZG323" s="14"/>
      <c r="OZH323" s="14"/>
      <c r="OZI323" s="14"/>
      <c r="OZJ323" s="14"/>
      <c r="OZK323" s="14"/>
      <c r="OZL323" s="14"/>
      <c r="OZM323" s="14"/>
      <c r="OZN323" s="14"/>
      <c r="OZO323" s="14"/>
      <c r="OZP323" s="14"/>
      <c r="OZQ323" s="14"/>
      <c r="OZR323" s="14"/>
      <c r="OZS323" s="14"/>
      <c r="OZT323" s="14"/>
      <c r="OZU323" s="14"/>
      <c r="OZV323" s="14"/>
      <c r="OZW323" s="14"/>
      <c r="OZX323" s="14"/>
      <c r="OZY323" s="14"/>
      <c r="OZZ323" s="14"/>
      <c r="PAA323" s="14"/>
      <c r="PAB323" s="14"/>
      <c r="PAC323" s="14"/>
      <c r="PAD323" s="14"/>
      <c r="PAE323" s="14"/>
      <c r="PAF323" s="14"/>
      <c r="PAG323" s="14"/>
      <c r="PAH323" s="14"/>
      <c r="PAI323" s="14"/>
      <c r="PAJ323" s="14"/>
      <c r="PAK323" s="14"/>
      <c r="PAL323" s="14"/>
      <c r="PAM323" s="14"/>
      <c r="PAN323" s="14"/>
      <c r="PAO323" s="14"/>
      <c r="PAP323" s="14"/>
      <c r="PAQ323" s="14"/>
      <c r="PAR323" s="14"/>
      <c r="PAS323" s="14"/>
      <c r="PAT323" s="14"/>
      <c r="PAU323" s="14"/>
      <c r="PAV323" s="14"/>
      <c r="PAW323" s="14"/>
      <c r="PAX323" s="14"/>
      <c r="PAY323" s="14"/>
      <c r="PAZ323" s="14"/>
      <c r="PBA323" s="14"/>
      <c r="PBB323" s="14"/>
      <c r="PBC323" s="14"/>
      <c r="PBD323" s="14"/>
      <c r="PBE323" s="14"/>
      <c r="PBF323" s="14"/>
      <c r="PBG323" s="14"/>
      <c r="PBH323" s="14"/>
      <c r="PBI323" s="14"/>
      <c r="PBJ323" s="14"/>
      <c r="PBK323" s="14"/>
      <c r="PBL323" s="14"/>
      <c r="PBM323" s="14"/>
      <c r="PBN323" s="14"/>
      <c r="PBO323" s="14"/>
      <c r="PBP323" s="14"/>
      <c r="PBQ323" s="14"/>
      <c r="PBR323" s="14"/>
      <c r="PBS323" s="14"/>
      <c r="PBT323" s="14"/>
      <c r="PBU323" s="14"/>
      <c r="PBV323" s="14"/>
      <c r="PBW323" s="14"/>
      <c r="PBX323" s="14"/>
      <c r="PBY323" s="14"/>
      <c r="PBZ323" s="14"/>
      <c r="PCA323" s="14"/>
      <c r="PCB323" s="14"/>
      <c r="PCC323" s="14"/>
      <c r="PCD323" s="14"/>
      <c r="PCE323" s="14"/>
      <c r="PCF323" s="14"/>
      <c r="PCG323" s="14"/>
      <c r="PCH323" s="14"/>
      <c r="PCI323" s="14"/>
      <c r="PCJ323" s="14"/>
      <c r="PCK323" s="14"/>
      <c r="PCL323" s="14"/>
      <c r="PCM323" s="14"/>
      <c r="PCN323" s="14"/>
      <c r="PCO323" s="14"/>
      <c r="PCP323" s="14"/>
      <c r="PCQ323" s="14"/>
      <c r="PCR323" s="14"/>
      <c r="PCS323" s="14"/>
      <c r="PCT323" s="14"/>
      <c r="PCU323" s="14"/>
      <c r="PCV323" s="14"/>
      <c r="PCW323" s="14"/>
      <c r="PCX323" s="14"/>
      <c r="PCY323" s="14"/>
      <c r="PCZ323" s="14"/>
      <c r="PDA323" s="14"/>
      <c r="PDB323" s="14"/>
      <c r="PDC323" s="14"/>
      <c r="PDD323" s="14"/>
      <c r="PDE323" s="14"/>
      <c r="PDF323" s="14"/>
      <c r="PDG323" s="14"/>
      <c r="PDH323" s="14"/>
      <c r="PDI323" s="14"/>
      <c r="PDJ323" s="14"/>
      <c r="PDK323" s="14"/>
      <c r="PDL323" s="14"/>
      <c r="PDM323" s="14"/>
      <c r="PDN323" s="14"/>
      <c r="PDO323" s="14"/>
      <c r="PDP323" s="14"/>
      <c r="PDQ323" s="14"/>
      <c r="PDR323" s="14"/>
      <c r="PDS323" s="14"/>
      <c r="PDT323" s="14"/>
      <c r="PDU323" s="14"/>
      <c r="PDV323" s="14"/>
      <c r="PDW323" s="14"/>
      <c r="PDX323" s="14"/>
      <c r="PDY323" s="14"/>
      <c r="PDZ323" s="14"/>
      <c r="PEA323" s="14"/>
      <c r="PEB323" s="14"/>
      <c r="PEC323" s="14"/>
      <c r="PED323" s="14"/>
      <c r="PEE323" s="14"/>
      <c r="PEF323" s="14"/>
      <c r="PEG323" s="14"/>
      <c r="PEH323" s="14"/>
      <c r="PEI323" s="14"/>
      <c r="PEJ323" s="14"/>
      <c r="PEK323" s="14"/>
      <c r="PEL323" s="14"/>
      <c r="PEM323" s="14"/>
      <c r="PEN323" s="14"/>
      <c r="PEO323" s="14"/>
      <c r="PEP323" s="14"/>
      <c r="PEQ323" s="14"/>
      <c r="PER323" s="14"/>
      <c r="PES323" s="14"/>
      <c r="PET323" s="14"/>
      <c r="PEU323" s="14"/>
      <c r="PEV323" s="14"/>
      <c r="PEW323" s="14"/>
      <c r="PEX323" s="14"/>
      <c r="PEY323" s="14"/>
      <c r="PEZ323" s="14"/>
      <c r="PFA323" s="14"/>
      <c r="PFB323" s="14"/>
      <c r="PFC323" s="14"/>
      <c r="PFD323" s="14"/>
      <c r="PFE323" s="14"/>
      <c r="PFF323" s="14"/>
      <c r="PFG323" s="14"/>
      <c r="PFH323" s="14"/>
      <c r="PFI323" s="14"/>
      <c r="PFJ323" s="14"/>
      <c r="PFK323" s="14"/>
      <c r="PFL323" s="14"/>
      <c r="PFM323" s="14"/>
      <c r="PFN323" s="14"/>
      <c r="PFO323" s="14"/>
      <c r="PFP323" s="14"/>
      <c r="PFQ323" s="14"/>
      <c r="PFR323" s="14"/>
      <c r="PFS323" s="14"/>
      <c r="PFT323" s="14"/>
      <c r="PFU323" s="14"/>
      <c r="PFV323" s="14"/>
      <c r="PFW323" s="14"/>
      <c r="PFX323" s="14"/>
      <c r="PFY323" s="14"/>
      <c r="PFZ323" s="14"/>
      <c r="PGA323" s="14"/>
      <c r="PGB323" s="14"/>
      <c r="PGC323" s="14"/>
      <c r="PGD323" s="14"/>
      <c r="PGE323" s="14"/>
      <c r="PGF323" s="14"/>
      <c r="PGG323" s="14"/>
      <c r="PGH323" s="14"/>
      <c r="PGI323" s="14"/>
      <c r="PGJ323" s="14"/>
      <c r="PGK323" s="14"/>
      <c r="PGL323" s="14"/>
      <c r="PGM323" s="14"/>
      <c r="PGN323" s="14"/>
      <c r="PGO323" s="14"/>
      <c r="PGP323" s="14"/>
      <c r="PGQ323" s="14"/>
      <c r="PGR323" s="14"/>
      <c r="PGS323" s="14"/>
      <c r="PGT323" s="14"/>
      <c r="PGU323" s="14"/>
      <c r="PGV323" s="14"/>
      <c r="PGW323" s="14"/>
      <c r="PGX323" s="14"/>
      <c r="PGY323" s="14"/>
      <c r="PGZ323" s="14"/>
      <c r="PHA323" s="14"/>
      <c r="PHB323" s="14"/>
      <c r="PHC323" s="14"/>
      <c r="PHD323" s="14"/>
      <c r="PHE323" s="14"/>
      <c r="PHF323" s="14"/>
      <c r="PHG323" s="14"/>
      <c r="PHH323" s="14"/>
      <c r="PHI323" s="14"/>
      <c r="PHJ323" s="14"/>
      <c r="PHK323" s="14"/>
      <c r="PHL323" s="14"/>
      <c r="PHM323" s="14"/>
      <c r="PHN323" s="14"/>
      <c r="PHO323" s="14"/>
      <c r="PHP323" s="14"/>
      <c r="PHQ323" s="14"/>
      <c r="PHR323" s="14"/>
      <c r="PHS323" s="14"/>
      <c r="PHT323" s="14"/>
      <c r="PHU323" s="14"/>
      <c r="PHV323" s="14"/>
      <c r="PHW323" s="14"/>
      <c r="PHX323" s="14"/>
      <c r="PHY323" s="14"/>
      <c r="PHZ323" s="14"/>
      <c r="PIA323" s="14"/>
      <c r="PIB323" s="14"/>
      <c r="PIC323" s="14"/>
      <c r="PID323" s="14"/>
      <c r="PIE323" s="14"/>
      <c r="PIF323" s="14"/>
      <c r="PIG323" s="14"/>
      <c r="PIH323" s="14"/>
      <c r="PII323" s="14"/>
      <c r="PIJ323" s="14"/>
      <c r="PIK323" s="14"/>
      <c r="PIL323" s="14"/>
      <c r="PIM323" s="14"/>
      <c r="PIN323" s="14"/>
      <c r="PIO323" s="14"/>
      <c r="PIP323" s="14"/>
      <c r="PIQ323" s="14"/>
      <c r="PIR323" s="14"/>
      <c r="PIS323" s="14"/>
      <c r="PIT323" s="14"/>
      <c r="PIU323" s="14"/>
      <c r="PIV323" s="14"/>
      <c r="PIW323" s="14"/>
      <c r="PIX323" s="14"/>
      <c r="PIY323" s="14"/>
      <c r="PIZ323" s="14"/>
      <c r="PJA323" s="14"/>
      <c r="PJB323" s="14"/>
      <c r="PJC323" s="14"/>
      <c r="PJD323" s="14"/>
      <c r="PJE323" s="14"/>
      <c r="PJF323" s="14"/>
      <c r="PJG323" s="14"/>
      <c r="PJH323" s="14"/>
      <c r="PJI323" s="14"/>
      <c r="PJJ323" s="14"/>
      <c r="PJK323" s="14"/>
      <c r="PJL323" s="14"/>
      <c r="PJM323" s="14"/>
      <c r="PJN323" s="14"/>
      <c r="PJO323" s="14"/>
      <c r="PJP323" s="14"/>
      <c r="PJQ323" s="14"/>
      <c r="PJR323" s="14"/>
      <c r="PJS323" s="14"/>
      <c r="PJT323" s="14"/>
      <c r="PJU323" s="14"/>
      <c r="PJV323" s="14"/>
      <c r="PJW323" s="14"/>
      <c r="PJX323" s="14"/>
      <c r="PJY323" s="14"/>
      <c r="PJZ323" s="14"/>
      <c r="PKA323" s="14"/>
      <c r="PKB323" s="14"/>
      <c r="PKC323" s="14"/>
      <c r="PKD323" s="14"/>
      <c r="PKE323" s="14"/>
      <c r="PKF323" s="14"/>
      <c r="PKG323" s="14"/>
      <c r="PKH323" s="14"/>
      <c r="PKI323" s="14"/>
      <c r="PKJ323" s="14"/>
      <c r="PKK323" s="14"/>
      <c r="PKL323" s="14"/>
      <c r="PKM323" s="14"/>
      <c r="PKN323" s="14"/>
      <c r="PKO323" s="14"/>
      <c r="PKP323" s="14"/>
      <c r="PKQ323" s="14"/>
      <c r="PKR323" s="14"/>
      <c r="PKS323" s="14"/>
      <c r="PKT323" s="14"/>
      <c r="PKU323" s="14"/>
      <c r="PKV323" s="14"/>
      <c r="PKW323" s="14"/>
      <c r="PKX323" s="14"/>
      <c r="PKY323" s="14"/>
      <c r="PKZ323" s="14"/>
      <c r="PLA323" s="14"/>
      <c r="PLB323" s="14"/>
      <c r="PLC323" s="14"/>
      <c r="PLD323" s="14"/>
      <c r="PLE323" s="14"/>
      <c r="PLF323" s="14"/>
      <c r="PLG323" s="14"/>
      <c r="PLH323" s="14"/>
      <c r="PLI323" s="14"/>
      <c r="PLJ323" s="14"/>
      <c r="PLK323" s="14"/>
      <c r="PLL323" s="14"/>
      <c r="PLM323" s="14"/>
      <c r="PLN323" s="14"/>
      <c r="PLO323" s="14"/>
      <c r="PLP323" s="14"/>
      <c r="PLQ323" s="14"/>
      <c r="PLR323" s="14"/>
      <c r="PLS323" s="14"/>
      <c r="PLT323" s="14"/>
      <c r="PLU323" s="14"/>
      <c r="PLV323" s="14"/>
      <c r="PLW323" s="14"/>
      <c r="PLX323" s="14"/>
      <c r="PLY323" s="14"/>
      <c r="PLZ323" s="14"/>
      <c r="PMA323" s="14"/>
      <c r="PMB323" s="14"/>
      <c r="PMC323" s="14"/>
      <c r="PMD323" s="14"/>
      <c r="PME323" s="14"/>
      <c r="PMF323" s="14"/>
      <c r="PMG323" s="14"/>
      <c r="PMH323" s="14"/>
      <c r="PMI323" s="14"/>
      <c r="PMJ323" s="14"/>
      <c r="PMK323" s="14"/>
      <c r="PML323" s="14"/>
      <c r="PMM323" s="14"/>
      <c r="PMN323" s="14"/>
      <c r="PMO323" s="14"/>
      <c r="PMP323" s="14"/>
      <c r="PMQ323" s="14"/>
      <c r="PMR323" s="14"/>
      <c r="PMS323" s="14"/>
      <c r="PMT323" s="14"/>
      <c r="PMU323" s="14"/>
      <c r="PMV323" s="14"/>
      <c r="PMW323" s="14"/>
      <c r="PMX323" s="14"/>
      <c r="PMY323" s="14"/>
      <c r="PMZ323" s="14"/>
      <c r="PNA323" s="14"/>
      <c r="PNB323" s="14"/>
      <c r="PNC323" s="14"/>
      <c r="PND323" s="14"/>
      <c r="PNE323" s="14"/>
      <c r="PNF323" s="14"/>
      <c r="PNG323" s="14"/>
      <c r="PNH323" s="14"/>
      <c r="PNI323" s="14"/>
      <c r="PNJ323" s="14"/>
      <c r="PNK323" s="14"/>
      <c r="PNL323" s="14"/>
      <c r="PNM323" s="14"/>
      <c r="PNN323" s="14"/>
      <c r="PNO323" s="14"/>
      <c r="PNP323" s="14"/>
      <c r="PNQ323" s="14"/>
      <c r="PNR323" s="14"/>
      <c r="PNS323" s="14"/>
      <c r="PNT323" s="14"/>
      <c r="PNU323" s="14"/>
      <c r="PNV323" s="14"/>
      <c r="PNW323" s="14"/>
      <c r="PNX323" s="14"/>
      <c r="PNY323" s="14"/>
      <c r="PNZ323" s="14"/>
      <c r="POA323" s="14"/>
      <c r="POB323" s="14"/>
      <c r="POC323" s="14"/>
      <c r="POD323" s="14"/>
      <c r="POE323" s="14"/>
      <c r="POF323" s="14"/>
      <c r="POG323" s="14"/>
      <c r="POH323" s="14"/>
      <c r="POI323" s="14"/>
      <c r="POJ323" s="14"/>
      <c r="POK323" s="14"/>
      <c r="POL323" s="14"/>
      <c r="POM323" s="14"/>
      <c r="PON323" s="14"/>
      <c r="POO323" s="14"/>
      <c r="POP323" s="14"/>
      <c r="POQ323" s="14"/>
      <c r="POR323" s="14"/>
      <c r="POS323" s="14"/>
      <c r="POT323" s="14"/>
      <c r="POU323" s="14"/>
      <c r="POV323" s="14"/>
      <c r="POW323" s="14"/>
      <c r="POX323" s="14"/>
      <c r="POY323" s="14"/>
      <c r="POZ323" s="14"/>
      <c r="PPA323" s="14"/>
      <c r="PPB323" s="14"/>
      <c r="PPC323" s="14"/>
      <c r="PPD323" s="14"/>
      <c r="PPE323" s="14"/>
      <c r="PPF323" s="14"/>
      <c r="PPG323" s="14"/>
      <c r="PPH323" s="14"/>
      <c r="PPI323" s="14"/>
      <c r="PPJ323" s="14"/>
      <c r="PPK323" s="14"/>
      <c r="PPL323" s="14"/>
      <c r="PPM323" s="14"/>
      <c r="PPN323" s="14"/>
      <c r="PPO323" s="14"/>
      <c r="PPP323" s="14"/>
      <c r="PPQ323" s="14"/>
      <c r="PPR323" s="14"/>
      <c r="PPS323" s="14"/>
      <c r="PPT323" s="14"/>
      <c r="PPU323" s="14"/>
      <c r="PPV323" s="14"/>
      <c r="PPW323" s="14"/>
      <c r="PPX323" s="14"/>
      <c r="PPY323" s="14"/>
      <c r="PPZ323" s="14"/>
      <c r="PQA323" s="14"/>
      <c r="PQB323" s="14"/>
      <c r="PQC323" s="14"/>
      <c r="PQD323" s="14"/>
      <c r="PQE323" s="14"/>
      <c r="PQF323" s="14"/>
      <c r="PQG323" s="14"/>
      <c r="PQH323" s="14"/>
      <c r="PQI323" s="14"/>
      <c r="PQJ323" s="14"/>
      <c r="PQK323" s="14"/>
      <c r="PQL323" s="14"/>
      <c r="PQM323" s="14"/>
      <c r="PQN323" s="14"/>
      <c r="PQO323" s="14"/>
      <c r="PQP323" s="14"/>
      <c r="PQQ323" s="14"/>
      <c r="PQR323" s="14"/>
      <c r="PQS323" s="14"/>
      <c r="PQT323" s="14"/>
      <c r="PQU323" s="14"/>
      <c r="PQV323" s="14"/>
      <c r="PQW323" s="14"/>
      <c r="PQX323" s="14"/>
      <c r="PQY323" s="14"/>
      <c r="PQZ323" s="14"/>
      <c r="PRA323" s="14"/>
      <c r="PRB323" s="14"/>
      <c r="PRC323" s="14"/>
      <c r="PRD323" s="14"/>
      <c r="PRE323" s="14"/>
      <c r="PRF323" s="14"/>
      <c r="PRG323" s="14"/>
      <c r="PRH323" s="14"/>
      <c r="PRI323" s="14"/>
      <c r="PRJ323" s="14"/>
      <c r="PRK323" s="14"/>
      <c r="PRL323" s="14"/>
      <c r="PRM323" s="14"/>
      <c r="PRN323" s="14"/>
      <c r="PRO323" s="14"/>
      <c r="PRP323" s="14"/>
      <c r="PRQ323" s="14"/>
      <c r="PRR323" s="14"/>
      <c r="PRS323" s="14"/>
      <c r="PRT323" s="14"/>
      <c r="PRU323" s="14"/>
      <c r="PRV323" s="14"/>
      <c r="PRW323" s="14"/>
      <c r="PRX323" s="14"/>
      <c r="PRY323" s="14"/>
      <c r="PRZ323" s="14"/>
      <c r="PSA323" s="14"/>
      <c r="PSB323" s="14"/>
      <c r="PSC323" s="14"/>
      <c r="PSD323" s="14"/>
      <c r="PSE323" s="14"/>
      <c r="PSF323" s="14"/>
      <c r="PSG323" s="14"/>
      <c r="PSH323" s="14"/>
      <c r="PSI323" s="14"/>
      <c r="PSJ323" s="14"/>
      <c r="PSK323" s="14"/>
      <c r="PSL323" s="14"/>
      <c r="PSM323" s="14"/>
      <c r="PSN323" s="14"/>
      <c r="PSO323" s="14"/>
      <c r="PSP323" s="14"/>
      <c r="PSQ323" s="14"/>
      <c r="PSR323" s="14"/>
      <c r="PSS323" s="14"/>
      <c r="PST323" s="14"/>
      <c r="PSU323" s="14"/>
      <c r="PSV323" s="14"/>
      <c r="PSW323" s="14"/>
      <c r="PSX323" s="14"/>
      <c r="PSY323" s="14"/>
      <c r="PSZ323" s="14"/>
      <c r="PTA323" s="14"/>
      <c r="PTB323" s="14"/>
      <c r="PTC323" s="14"/>
      <c r="PTD323" s="14"/>
      <c r="PTE323" s="14"/>
      <c r="PTF323" s="14"/>
      <c r="PTG323" s="14"/>
      <c r="PTH323" s="14"/>
      <c r="PTI323" s="14"/>
      <c r="PTJ323" s="14"/>
      <c r="PTK323" s="14"/>
      <c r="PTL323" s="14"/>
      <c r="PTM323" s="14"/>
      <c r="PTN323" s="14"/>
      <c r="PTO323" s="14"/>
      <c r="PTP323" s="14"/>
      <c r="PTQ323" s="14"/>
      <c r="PTR323" s="14"/>
      <c r="PTS323" s="14"/>
      <c r="PTT323" s="14"/>
      <c r="PTU323" s="14"/>
      <c r="PTV323" s="14"/>
      <c r="PTW323" s="14"/>
      <c r="PTX323" s="14"/>
      <c r="PTY323" s="14"/>
      <c r="PTZ323" s="14"/>
      <c r="PUA323" s="14"/>
      <c r="PUB323" s="14"/>
      <c r="PUC323" s="14"/>
      <c r="PUD323" s="14"/>
      <c r="PUE323" s="14"/>
      <c r="PUF323" s="14"/>
      <c r="PUG323" s="14"/>
      <c r="PUH323" s="14"/>
      <c r="PUI323" s="14"/>
      <c r="PUJ323" s="14"/>
      <c r="PUK323" s="14"/>
      <c r="PUL323" s="14"/>
      <c r="PUM323" s="14"/>
      <c r="PUN323" s="14"/>
      <c r="PUO323" s="14"/>
      <c r="PUP323" s="14"/>
      <c r="PUQ323" s="14"/>
      <c r="PUR323" s="14"/>
      <c r="PUS323" s="14"/>
      <c r="PUT323" s="14"/>
      <c r="PUU323" s="14"/>
      <c r="PUV323" s="14"/>
      <c r="PUW323" s="14"/>
      <c r="PUX323" s="14"/>
      <c r="PUY323" s="14"/>
      <c r="PUZ323" s="14"/>
      <c r="PVA323" s="14"/>
      <c r="PVB323" s="14"/>
      <c r="PVC323" s="14"/>
      <c r="PVD323" s="14"/>
      <c r="PVE323" s="14"/>
      <c r="PVF323" s="14"/>
      <c r="PVG323" s="14"/>
      <c r="PVH323" s="14"/>
      <c r="PVI323" s="14"/>
      <c r="PVJ323" s="14"/>
      <c r="PVK323" s="14"/>
      <c r="PVL323" s="14"/>
      <c r="PVM323" s="14"/>
      <c r="PVN323" s="14"/>
      <c r="PVO323" s="14"/>
      <c r="PVP323" s="14"/>
      <c r="PVQ323" s="14"/>
      <c r="PVR323" s="14"/>
      <c r="PVS323" s="14"/>
      <c r="PVT323" s="14"/>
      <c r="PVU323" s="14"/>
      <c r="PVV323" s="14"/>
      <c r="PVW323" s="14"/>
      <c r="PVX323" s="14"/>
      <c r="PVY323" s="14"/>
      <c r="PVZ323" s="14"/>
      <c r="PWA323" s="14"/>
      <c r="PWB323" s="14"/>
      <c r="PWC323" s="14"/>
      <c r="PWD323" s="14"/>
      <c r="PWE323" s="14"/>
      <c r="PWF323" s="14"/>
      <c r="PWG323" s="14"/>
      <c r="PWH323" s="14"/>
      <c r="PWI323" s="14"/>
      <c r="PWJ323" s="14"/>
      <c r="PWK323" s="14"/>
      <c r="PWL323" s="14"/>
      <c r="PWM323" s="14"/>
      <c r="PWN323" s="14"/>
      <c r="PWO323" s="14"/>
      <c r="PWP323" s="14"/>
      <c r="PWQ323" s="14"/>
      <c r="PWR323" s="14"/>
      <c r="PWS323" s="14"/>
      <c r="PWT323" s="14"/>
      <c r="PWU323" s="14"/>
      <c r="PWV323" s="14"/>
      <c r="PWW323" s="14"/>
      <c r="PWX323" s="14"/>
      <c r="PWY323" s="14"/>
      <c r="PWZ323" s="14"/>
      <c r="PXA323" s="14"/>
      <c r="PXB323" s="14"/>
      <c r="PXC323" s="14"/>
      <c r="PXD323" s="14"/>
      <c r="PXE323" s="14"/>
      <c r="PXF323" s="14"/>
      <c r="PXG323" s="14"/>
      <c r="PXH323" s="14"/>
      <c r="PXI323" s="14"/>
      <c r="PXJ323" s="14"/>
      <c r="PXK323" s="14"/>
      <c r="PXL323" s="14"/>
      <c r="PXM323" s="14"/>
      <c r="PXN323" s="14"/>
      <c r="PXO323" s="14"/>
      <c r="PXP323" s="14"/>
      <c r="PXQ323" s="14"/>
      <c r="PXR323" s="14"/>
      <c r="PXS323" s="14"/>
      <c r="PXT323" s="14"/>
      <c r="PXU323" s="14"/>
      <c r="PXV323" s="14"/>
      <c r="PXW323" s="14"/>
      <c r="PXX323" s="14"/>
      <c r="PXY323" s="14"/>
      <c r="PXZ323" s="14"/>
      <c r="PYA323" s="14"/>
      <c r="PYB323" s="14"/>
      <c r="PYC323" s="14"/>
      <c r="PYD323" s="14"/>
      <c r="PYE323" s="14"/>
      <c r="PYF323" s="14"/>
      <c r="PYG323" s="14"/>
      <c r="PYH323" s="14"/>
      <c r="PYI323" s="14"/>
      <c r="PYJ323" s="14"/>
      <c r="PYK323" s="14"/>
      <c r="PYL323" s="14"/>
      <c r="PYM323" s="14"/>
      <c r="PYN323" s="14"/>
      <c r="PYO323" s="14"/>
      <c r="PYP323" s="14"/>
      <c r="PYQ323" s="14"/>
      <c r="PYR323" s="14"/>
      <c r="PYS323" s="14"/>
      <c r="PYT323" s="14"/>
      <c r="PYU323" s="14"/>
      <c r="PYV323" s="14"/>
      <c r="PYW323" s="14"/>
      <c r="PYX323" s="14"/>
      <c r="PYY323" s="14"/>
      <c r="PYZ323" s="14"/>
      <c r="PZA323" s="14"/>
      <c r="PZB323" s="14"/>
      <c r="PZC323" s="14"/>
      <c r="PZD323" s="14"/>
      <c r="PZE323" s="14"/>
      <c r="PZF323" s="14"/>
      <c r="PZG323" s="14"/>
      <c r="PZH323" s="14"/>
      <c r="PZI323" s="14"/>
      <c r="PZJ323" s="14"/>
      <c r="PZK323" s="14"/>
      <c r="PZL323" s="14"/>
      <c r="PZM323" s="14"/>
      <c r="PZN323" s="14"/>
      <c r="PZO323" s="14"/>
      <c r="PZP323" s="14"/>
      <c r="PZQ323" s="14"/>
      <c r="PZR323" s="14"/>
      <c r="PZS323" s="14"/>
      <c r="PZT323" s="14"/>
      <c r="PZU323" s="14"/>
      <c r="PZV323" s="14"/>
      <c r="PZW323" s="14"/>
      <c r="PZX323" s="14"/>
      <c r="PZY323" s="14"/>
      <c r="PZZ323" s="14"/>
      <c r="QAA323" s="14"/>
      <c r="QAB323" s="14"/>
      <c r="QAC323" s="14"/>
      <c r="QAD323" s="14"/>
      <c r="QAE323" s="14"/>
      <c r="QAF323" s="14"/>
      <c r="QAG323" s="14"/>
      <c r="QAH323" s="14"/>
      <c r="QAI323" s="14"/>
      <c r="QAJ323" s="14"/>
      <c r="QAK323" s="14"/>
      <c r="QAL323" s="14"/>
      <c r="QAM323" s="14"/>
      <c r="QAN323" s="14"/>
      <c r="QAO323" s="14"/>
      <c r="QAP323" s="14"/>
      <c r="QAQ323" s="14"/>
      <c r="QAR323" s="14"/>
      <c r="QAS323" s="14"/>
      <c r="QAT323" s="14"/>
      <c r="QAU323" s="14"/>
      <c r="QAV323" s="14"/>
      <c r="QAW323" s="14"/>
      <c r="QAX323" s="14"/>
      <c r="QAY323" s="14"/>
      <c r="QAZ323" s="14"/>
      <c r="QBA323" s="14"/>
      <c r="QBB323" s="14"/>
      <c r="QBC323" s="14"/>
      <c r="QBD323" s="14"/>
      <c r="QBE323" s="14"/>
      <c r="QBF323" s="14"/>
      <c r="QBG323" s="14"/>
      <c r="QBH323" s="14"/>
      <c r="QBI323" s="14"/>
      <c r="QBJ323" s="14"/>
      <c r="QBK323" s="14"/>
      <c r="QBL323" s="14"/>
      <c r="QBM323" s="14"/>
      <c r="QBN323" s="14"/>
      <c r="QBO323" s="14"/>
      <c r="QBP323" s="14"/>
      <c r="QBQ323" s="14"/>
      <c r="QBR323" s="14"/>
      <c r="QBS323" s="14"/>
      <c r="QBT323" s="14"/>
      <c r="QBU323" s="14"/>
      <c r="QBV323" s="14"/>
      <c r="QBW323" s="14"/>
      <c r="QBX323" s="14"/>
      <c r="QBY323" s="14"/>
      <c r="QBZ323" s="14"/>
      <c r="QCA323" s="14"/>
      <c r="QCB323" s="14"/>
      <c r="QCC323" s="14"/>
      <c r="QCD323" s="14"/>
      <c r="QCE323" s="14"/>
      <c r="QCF323" s="14"/>
      <c r="QCG323" s="14"/>
      <c r="QCH323" s="14"/>
      <c r="QCI323" s="14"/>
      <c r="QCJ323" s="14"/>
      <c r="QCK323" s="14"/>
      <c r="QCL323" s="14"/>
      <c r="QCM323" s="14"/>
      <c r="QCN323" s="14"/>
      <c r="QCO323" s="14"/>
      <c r="QCP323" s="14"/>
      <c r="QCQ323" s="14"/>
      <c r="QCR323" s="14"/>
      <c r="QCS323" s="14"/>
      <c r="QCT323" s="14"/>
      <c r="QCU323" s="14"/>
      <c r="QCV323" s="14"/>
      <c r="QCW323" s="14"/>
      <c r="QCX323" s="14"/>
      <c r="QCY323" s="14"/>
      <c r="QCZ323" s="14"/>
      <c r="QDA323" s="14"/>
      <c r="QDB323" s="14"/>
      <c r="QDC323" s="14"/>
      <c r="QDD323" s="14"/>
      <c r="QDE323" s="14"/>
      <c r="QDF323" s="14"/>
      <c r="QDG323" s="14"/>
      <c r="QDH323" s="14"/>
      <c r="QDI323" s="14"/>
      <c r="QDJ323" s="14"/>
      <c r="QDK323" s="14"/>
      <c r="QDL323" s="14"/>
      <c r="QDM323" s="14"/>
      <c r="QDN323" s="14"/>
      <c r="QDO323" s="14"/>
      <c r="QDP323" s="14"/>
      <c r="QDQ323" s="14"/>
      <c r="QDR323" s="14"/>
      <c r="QDS323" s="14"/>
      <c r="QDT323" s="14"/>
      <c r="QDU323" s="14"/>
      <c r="QDV323" s="14"/>
      <c r="QDW323" s="14"/>
      <c r="QDX323" s="14"/>
      <c r="QDY323" s="14"/>
      <c r="QDZ323" s="14"/>
      <c r="QEA323" s="14"/>
      <c r="QEB323" s="14"/>
      <c r="QEC323" s="14"/>
      <c r="QED323" s="14"/>
      <c r="QEE323" s="14"/>
      <c r="QEF323" s="14"/>
      <c r="QEG323" s="14"/>
      <c r="QEH323" s="14"/>
      <c r="QEI323" s="14"/>
      <c r="QEJ323" s="14"/>
      <c r="QEK323" s="14"/>
      <c r="QEL323" s="14"/>
      <c r="QEM323" s="14"/>
      <c r="QEN323" s="14"/>
      <c r="QEO323" s="14"/>
      <c r="QEP323" s="14"/>
      <c r="QEQ323" s="14"/>
      <c r="QER323" s="14"/>
      <c r="QES323" s="14"/>
      <c r="QET323" s="14"/>
      <c r="QEU323" s="14"/>
      <c r="QEV323" s="14"/>
      <c r="QEW323" s="14"/>
      <c r="QEX323" s="14"/>
      <c r="QEY323" s="14"/>
      <c r="QEZ323" s="14"/>
      <c r="QFA323" s="14"/>
      <c r="QFB323" s="14"/>
      <c r="QFC323" s="14"/>
      <c r="QFD323" s="14"/>
      <c r="QFE323" s="14"/>
      <c r="QFF323" s="14"/>
      <c r="QFG323" s="14"/>
      <c r="QFH323" s="14"/>
      <c r="QFI323" s="14"/>
      <c r="QFJ323" s="14"/>
      <c r="QFK323" s="14"/>
      <c r="QFL323" s="14"/>
      <c r="QFM323" s="14"/>
      <c r="QFN323" s="14"/>
      <c r="QFO323" s="14"/>
      <c r="QFP323" s="14"/>
      <c r="QFQ323" s="14"/>
      <c r="QFR323" s="14"/>
      <c r="QFS323" s="14"/>
      <c r="QFT323" s="14"/>
      <c r="QFU323" s="14"/>
      <c r="QFV323" s="14"/>
      <c r="QFW323" s="14"/>
      <c r="QFX323" s="14"/>
      <c r="QFY323" s="14"/>
      <c r="QFZ323" s="14"/>
      <c r="QGA323" s="14"/>
      <c r="QGB323" s="14"/>
      <c r="QGC323" s="14"/>
      <c r="QGD323" s="14"/>
      <c r="QGE323" s="14"/>
      <c r="QGF323" s="14"/>
      <c r="QGG323" s="14"/>
      <c r="QGH323" s="14"/>
      <c r="QGI323" s="14"/>
      <c r="QGJ323" s="14"/>
      <c r="QGK323" s="14"/>
      <c r="QGL323" s="14"/>
      <c r="QGM323" s="14"/>
      <c r="QGN323" s="14"/>
      <c r="QGO323" s="14"/>
      <c r="QGP323" s="14"/>
      <c r="QGQ323" s="14"/>
      <c r="QGR323" s="14"/>
      <c r="QGS323" s="14"/>
      <c r="QGT323" s="14"/>
      <c r="QGU323" s="14"/>
      <c r="QGV323" s="14"/>
      <c r="QGW323" s="14"/>
      <c r="QGX323" s="14"/>
      <c r="QGY323" s="14"/>
      <c r="QGZ323" s="14"/>
      <c r="QHA323" s="14"/>
      <c r="QHB323" s="14"/>
      <c r="QHC323" s="14"/>
      <c r="QHD323" s="14"/>
      <c r="QHE323" s="14"/>
      <c r="QHF323" s="14"/>
      <c r="QHG323" s="14"/>
      <c r="QHH323" s="14"/>
      <c r="QHI323" s="14"/>
      <c r="QHJ323" s="14"/>
      <c r="QHK323" s="14"/>
      <c r="QHL323" s="14"/>
      <c r="QHM323" s="14"/>
      <c r="QHN323" s="14"/>
      <c r="QHO323" s="14"/>
      <c r="QHP323" s="14"/>
      <c r="QHQ323" s="14"/>
      <c r="QHR323" s="14"/>
      <c r="QHS323" s="14"/>
      <c r="QHT323" s="14"/>
      <c r="QHU323" s="14"/>
      <c r="QHV323" s="14"/>
      <c r="QHW323" s="14"/>
      <c r="QHX323" s="14"/>
      <c r="QHY323" s="14"/>
      <c r="QHZ323" s="14"/>
      <c r="QIA323" s="14"/>
      <c r="QIB323" s="14"/>
      <c r="QIC323" s="14"/>
      <c r="QID323" s="14"/>
      <c r="QIE323" s="14"/>
      <c r="QIF323" s="14"/>
      <c r="QIG323" s="14"/>
      <c r="QIH323" s="14"/>
      <c r="QII323" s="14"/>
      <c r="QIJ323" s="14"/>
      <c r="QIK323" s="14"/>
      <c r="QIL323" s="14"/>
      <c r="QIM323" s="14"/>
      <c r="QIN323" s="14"/>
      <c r="QIO323" s="14"/>
      <c r="QIP323" s="14"/>
      <c r="QIQ323" s="14"/>
      <c r="QIR323" s="14"/>
      <c r="QIS323" s="14"/>
      <c r="QIT323" s="14"/>
      <c r="QIU323" s="14"/>
      <c r="QIV323" s="14"/>
      <c r="QIW323" s="14"/>
      <c r="QIX323" s="14"/>
      <c r="QIY323" s="14"/>
      <c r="QIZ323" s="14"/>
      <c r="QJA323" s="14"/>
      <c r="QJB323" s="14"/>
      <c r="QJC323" s="14"/>
      <c r="QJD323" s="14"/>
      <c r="QJE323" s="14"/>
      <c r="QJF323" s="14"/>
      <c r="QJG323" s="14"/>
      <c r="QJH323" s="14"/>
      <c r="QJI323" s="14"/>
      <c r="QJJ323" s="14"/>
      <c r="QJK323" s="14"/>
      <c r="QJL323" s="14"/>
      <c r="QJM323" s="14"/>
      <c r="QJN323" s="14"/>
      <c r="QJO323" s="14"/>
      <c r="QJP323" s="14"/>
      <c r="QJQ323" s="14"/>
      <c r="QJR323" s="14"/>
      <c r="QJS323" s="14"/>
      <c r="QJT323" s="14"/>
      <c r="QJU323" s="14"/>
      <c r="QJV323" s="14"/>
      <c r="QJW323" s="14"/>
      <c r="QJX323" s="14"/>
      <c r="QJY323" s="14"/>
      <c r="QJZ323" s="14"/>
      <c r="QKA323" s="14"/>
      <c r="QKB323" s="14"/>
      <c r="QKC323" s="14"/>
      <c r="QKD323" s="14"/>
      <c r="QKE323" s="14"/>
      <c r="QKF323" s="14"/>
      <c r="QKG323" s="14"/>
      <c r="QKH323" s="14"/>
      <c r="QKI323" s="14"/>
      <c r="QKJ323" s="14"/>
      <c r="QKK323" s="14"/>
      <c r="QKL323" s="14"/>
      <c r="QKM323" s="14"/>
      <c r="QKN323" s="14"/>
      <c r="QKO323" s="14"/>
      <c r="QKP323" s="14"/>
      <c r="QKQ323" s="14"/>
      <c r="QKR323" s="14"/>
      <c r="QKS323" s="14"/>
      <c r="QKT323" s="14"/>
      <c r="QKU323" s="14"/>
      <c r="QKV323" s="14"/>
      <c r="QKW323" s="14"/>
      <c r="QKX323" s="14"/>
      <c r="QKY323" s="14"/>
      <c r="QKZ323" s="14"/>
      <c r="QLA323" s="14"/>
      <c r="QLB323" s="14"/>
      <c r="QLC323" s="14"/>
      <c r="QLD323" s="14"/>
      <c r="QLE323" s="14"/>
      <c r="QLF323" s="14"/>
      <c r="QLG323" s="14"/>
      <c r="QLH323" s="14"/>
      <c r="QLI323" s="14"/>
      <c r="QLJ323" s="14"/>
      <c r="QLK323" s="14"/>
      <c r="QLL323" s="14"/>
      <c r="QLM323" s="14"/>
      <c r="QLN323" s="14"/>
      <c r="QLO323" s="14"/>
      <c r="QLP323" s="14"/>
      <c r="QLQ323" s="14"/>
      <c r="QLR323" s="14"/>
      <c r="QLS323" s="14"/>
      <c r="QLT323" s="14"/>
      <c r="QLU323" s="14"/>
      <c r="QLV323" s="14"/>
      <c r="QLW323" s="14"/>
      <c r="QLX323" s="14"/>
      <c r="QLY323" s="14"/>
      <c r="QLZ323" s="14"/>
      <c r="QMA323" s="14"/>
      <c r="QMB323" s="14"/>
      <c r="QMC323" s="14"/>
      <c r="QMD323" s="14"/>
      <c r="QME323" s="14"/>
      <c r="QMF323" s="14"/>
      <c r="QMG323" s="14"/>
      <c r="QMH323" s="14"/>
      <c r="QMI323" s="14"/>
      <c r="QMJ323" s="14"/>
      <c r="QMK323" s="14"/>
      <c r="QML323" s="14"/>
      <c r="QMM323" s="14"/>
      <c r="QMN323" s="14"/>
      <c r="QMO323" s="14"/>
      <c r="QMP323" s="14"/>
      <c r="QMQ323" s="14"/>
      <c r="QMR323" s="14"/>
      <c r="QMS323" s="14"/>
      <c r="QMT323" s="14"/>
      <c r="QMU323" s="14"/>
      <c r="QMV323" s="14"/>
      <c r="QMW323" s="14"/>
      <c r="QMX323" s="14"/>
      <c r="QMY323" s="14"/>
      <c r="QMZ323" s="14"/>
      <c r="QNA323" s="14"/>
      <c r="QNB323" s="14"/>
      <c r="QNC323" s="14"/>
      <c r="QND323" s="14"/>
      <c r="QNE323" s="14"/>
      <c r="QNF323" s="14"/>
      <c r="QNG323" s="14"/>
      <c r="QNH323" s="14"/>
      <c r="QNI323" s="14"/>
      <c r="QNJ323" s="14"/>
      <c r="QNK323" s="14"/>
      <c r="QNL323" s="14"/>
      <c r="QNM323" s="14"/>
      <c r="QNN323" s="14"/>
      <c r="QNO323" s="14"/>
      <c r="QNP323" s="14"/>
      <c r="QNQ323" s="14"/>
      <c r="QNR323" s="14"/>
      <c r="QNS323" s="14"/>
      <c r="QNT323" s="14"/>
      <c r="QNU323" s="14"/>
      <c r="QNV323" s="14"/>
      <c r="QNW323" s="14"/>
      <c r="QNX323" s="14"/>
      <c r="QNY323" s="14"/>
      <c r="QNZ323" s="14"/>
      <c r="QOA323" s="14"/>
      <c r="QOB323" s="14"/>
      <c r="QOC323" s="14"/>
      <c r="QOD323" s="14"/>
      <c r="QOE323" s="14"/>
      <c r="QOF323" s="14"/>
      <c r="QOG323" s="14"/>
      <c r="QOH323" s="14"/>
      <c r="QOI323" s="14"/>
      <c r="QOJ323" s="14"/>
      <c r="QOK323" s="14"/>
      <c r="QOL323" s="14"/>
      <c r="QOM323" s="14"/>
      <c r="QON323" s="14"/>
      <c r="QOO323" s="14"/>
      <c r="QOP323" s="14"/>
      <c r="QOQ323" s="14"/>
      <c r="QOR323" s="14"/>
      <c r="QOS323" s="14"/>
      <c r="QOT323" s="14"/>
      <c r="QOU323" s="14"/>
      <c r="QOV323" s="14"/>
      <c r="QOW323" s="14"/>
      <c r="QOX323" s="14"/>
      <c r="QOY323" s="14"/>
      <c r="QOZ323" s="14"/>
      <c r="QPA323" s="14"/>
      <c r="QPB323" s="14"/>
      <c r="QPC323" s="14"/>
      <c r="QPD323" s="14"/>
      <c r="QPE323" s="14"/>
      <c r="QPF323" s="14"/>
      <c r="QPG323" s="14"/>
      <c r="QPH323" s="14"/>
      <c r="QPI323" s="14"/>
      <c r="QPJ323" s="14"/>
      <c r="QPK323" s="14"/>
      <c r="QPL323" s="14"/>
      <c r="QPM323" s="14"/>
      <c r="QPN323" s="14"/>
      <c r="QPO323" s="14"/>
      <c r="QPP323" s="14"/>
      <c r="QPQ323" s="14"/>
      <c r="QPR323" s="14"/>
      <c r="QPS323" s="14"/>
      <c r="QPT323" s="14"/>
      <c r="QPU323" s="14"/>
      <c r="QPV323" s="14"/>
      <c r="QPW323" s="14"/>
      <c r="QPX323" s="14"/>
      <c r="QPY323" s="14"/>
      <c r="QPZ323" s="14"/>
      <c r="QQA323" s="14"/>
      <c r="QQB323" s="14"/>
      <c r="QQC323" s="14"/>
      <c r="QQD323" s="14"/>
      <c r="QQE323" s="14"/>
      <c r="QQF323" s="14"/>
      <c r="QQG323" s="14"/>
      <c r="QQH323" s="14"/>
      <c r="QQI323" s="14"/>
      <c r="QQJ323" s="14"/>
      <c r="QQK323" s="14"/>
      <c r="QQL323" s="14"/>
      <c r="QQM323" s="14"/>
      <c r="QQN323" s="14"/>
      <c r="QQO323" s="14"/>
      <c r="QQP323" s="14"/>
      <c r="QQQ323" s="14"/>
      <c r="QQR323" s="14"/>
      <c r="QQS323" s="14"/>
      <c r="QQT323" s="14"/>
      <c r="QQU323" s="14"/>
      <c r="QQV323" s="14"/>
      <c r="QQW323" s="14"/>
      <c r="QQX323" s="14"/>
      <c r="QQY323" s="14"/>
      <c r="QQZ323" s="14"/>
      <c r="QRA323" s="14"/>
      <c r="QRB323" s="14"/>
      <c r="QRC323" s="14"/>
      <c r="QRD323" s="14"/>
      <c r="QRE323" s="14"/>
      <c r="QRF323" s="14"/>
      <c r="QRG323" s="14"/>
      <c r="QRH323" s="14"/>
      <c r="QRI323" s="14"/>
      <c r="QRJ323" s="14"/>
      <c r="QRK323" s="14"/>
      <c r="QRL323" s="14"/>
      <c r="QRM323" s="14"/>
      <c r="QRN323" s="14"/>
      <c r="QRO323" s="14"/>
      <c r="QRP323" s="14"/>
      <c r="QRQ323" s="14"/>
      <c r="QRR323" s="14"/>
      <c r="QRS323" s="14"/>
      <c r="QRT323" s="14"/>
      <c r="QRU323" s="14"/>
      <c r="QRV323" s="14"/>
      <c r="QRW323" s="14"/>
      <c r="QRX323" s="14"/>
      <c r="QRY323" s="14"/>
      <c r="QRZ323" s="14"/>
      <c r="QSA323" s="14"/>
      <c r="QSB323" s="14"/>
      <c r="QSC323" s="14"/>
      <c r="QSD323" s="14"/>
      <c r="QSE323" s="14"/>
      <c r="QSF323" s="14"/>
      <c r="QSG323" s="14"/>
      <c r="QSH323" s="14"/>
      <c r="QSI323" s="14"/>
      <c r="QSJ323" s="14"/>
      <c r="QSK323" s="14"/>
      <c r="QSL323" s="14"/>
      <c r="QSM323" s="14"/>
      <c r="QSN323" s="14"/>
      <c r="QSO323" s="14"/>
      <c r="QSP323" s="14"/>
      <c r="QSQ323" s="14"/>
      <c r="QSR323" s="14"/>
      <c r="QSS323" s="14"/>
      <c r="QST323" s="14"/>
      <c r="QSU323" s="14"/>
      <c r="QSV323" s="14"/>
      <c r="QSW323" s="14"/>
      <c r="QSX323" s="14"/>
      <c r="QSY323" s="14"/>
      <c r="QSZ323" s="14"/>
      <c r="QTA323" s="14"/>
      <c r="QTB323" s="14"/>
      <c r="QTC323" s="14"/>
      <c r="QTD323" s="14"/>
      <c r="QTE323" s="14"/>
      <c r="QTF323" s="14"/>
      <c r="QTG323" s="14"/>
      <c r="QTH323" s="14"/>
      <c r="QTI323" s="14"/>
      <c r="QTJ323" s="14"/>
      <c r="QTK323" s="14"/>
      <c r="QTL323" s="14"/>
      <c r="QTM323" s="14"/>
      <c r="QTN323" s="14"/>
      <c r="QTO323" s="14"/>
      <c r="QTP323" s="14"/>
      <c r="QTQ323" s="14"/>
      <c r="QTR323" s="14"/>
      <c r="QTS323" s="14"/>
      <c r="QTT323" s="14"/>
      <c r="QTU323" s="14"/>
      <c r="QTV323" s="14"/>
      <c r="QTW323" s="14"/>
      <c r="QTX323" s="14"/>
      <c r="QTY323" s="14"/>
      <c r="QTZ323" s="14"/>
      <c r="QUA323" s="14"/>
      <c r="QUB323" s="14"/>
      <c r="QUC323" s="14"/>
      <c r="QUD323" s="14"/>
      <c r="QUE323" s="14"/>
      <c r="QUF323" s="14"/>
      <c r="QUG323" s="14"/>
      <c r="QUH323" s="14"/>
      <c r="QUI323" s="14"/>
      <c r="QUJ323" s="14"/>
      <c r="QUK323" s="14"/>
      <c r="QUL323" s="14"/>
      <c r="QUM323" s="14"/>
      <c r="QUN323" s="14"/>
      <c r="QUO323" s="14"/>
      <c r="QUP323" s="14"/>
      <c r="QUQ323" s="14"/>
      <c r="QUR323" s="14"/>
      <c r="QUS323" s="14"/>
      <c r="QUT323" s="14"/>
      <c r="QUU323" s="14"/>
      <c r="QUV323" s="14"/>
      <c r="QUW323" s="14"/>
      <c r="QUX323" s="14"/>
      <c r="QUY323" s="14"/>
      <c r="QUZ323" s="14"/>
      <c r="QVA323" s="14"/>
      <c r="QVB323" s="14"/>
      <c r="QVC323" s="14"/>
      <c r="QVD323" s="14"/>
      <c r="QVE323" s="14"/>
      <c r="QVF323" s="14"/>
      <c r="QVG323" s="14"/>
      <c r="QVH323" s="14"/>
      <c r="QVI323" s="14"/>
      <c r="QVJ323" s="14"/>
      <c r="QVK323" s="14"/>
      <c r="QVL323" s="14"/>
      <c r="QVM323" s="14"/>
      <c r="QVN323" s="14"/>
      <c r="QVO323" s="14"/>
      <c r="QVP323" s="14"/>
      <c r="QVQ323" s="14"/>
      <c r="QVR323" s="14"/>
      <c r="QVS323" s="14"/>
      <c r="QVT323" s="14"/>
      <c r="QVU323" s="14"/>
      <c r="QVV323" s="14"/>
      <c r="QVW323" s="14"/>
      <c r="QVX323" s="14"/>
      <c r="QVY323" s="14"/>
      <c r="QVZ323" s="14"/>
      <c r="QWA323" s="14"/>
      <c r="QWB323" s="14"/>
      <c r="QWC323" s="14"/>
      <c r="QWD323" s="14"/>
      <c r="QWE323" s="14"/>
      <c r="QWF323" s="14"/>
      <c r="QWG323" s="14"/>
      <c r="QWH323" s="14"/>
      <c r="QWI323" s="14"/>
      <c r="QWJ323" s="14"/>
      <c r="QWK323" s="14"/>
      <c r="QWL323" s="14"/>
      <c r="QWM323" s="14"/>
      <c r="QWN323" s="14"/>
      <c r="QWO323" s="14"/>
      <c r="QWP323" s="14"/>
      <c r="QWQ323" s="14"/>
      <c r="QWR323" s="14"/>
      <c r="QWS323" s="14"/>
      <c r="QWT323" s="14"/>
      <c r="QWU323" s="14"/>
      <c r="QWV323" s="14"/>
      <c r="QWW323" s="14"/>
      <c r="QWX323" s="14"/>
      <c r="QWY323" s="14"/>
      <c r="QWZ323" s="14"/>
      <c r="QXA323" s="14"/>
      <c r="QXB323" s="14"/>
      <c r="QXC323" s="14"/>
      <c r="QXD323" s="14"/>
      <c r="QXE323" s="14"/>
      <c r="QXF323" s="14"/>
      <c r="QXG323" s="14"/>
      <c r="QXH323" s="14"/>
      <c r="QXI323" s="14"/>
      <c r="QXJ323" s="14"/>
      <c r="QXK323" s="14"/>
      <c r="QXL323" s="14"/>
      <c r="QXM323" s="14"/>
      <c r="QXN323" s="14"/>
      <c r="QXO323" s="14"/>
      <c r="QXP323" s="14"/>
      <c r="QXQ323" s="14"/>
      <c r="QXR323" s="14"/>
      <c r="QXS323" s="14"/>
      <c r="QXT323" s="14"/>
      <c r="QXU323" s="14"/>
      <c r="QXV323" s="14"/>
      <c r="QXW323" s="14"/>
      <c r="QXX323" s="14"/>
      <c r="QXY323" s="14"/>
      <c r="QXZ323" s="14"/>
      <c r="QYA323" s="14"/>
      <c r="QYB323" s="14"/>
      <c r="QYC323" s="14"/>
      <c r="QYD323" s="14"/>
      <c r="QYE323" s="14"/>
      <c r="QYF323" s="14"/>
      <c r="QYG323" s="14"/>
      <c r="QYH323" s="14"/>
      <c r="QYI323" s="14"/>
      <c r="QYJ323" s="14"/>
      <c r="QYK323" s="14"/>
      <c r="QYL323" s="14"/>
      <c r="QYM323" s="14"/>
      <c r="QYN323" s="14"/>
      <c r="QYO323" s="14"/>
      <c r="QYP323" s="14"/>
      <c r="QYQ323" s="14"/>
      <c r="QYR323" s="14"/>
      <c r="QYS323" s="14"/>
      <c r="QYT323" s="14"/>
      <c r="QYU323" s="14"/>
      <c r="QYV323" s="14"/>
      <c r="QYW323" s="14"/>
      <c r="QYX323" s="14"/>
      <c r="QYY323" s="14"/>
      <c r="QYZ323" s="14"/>
      <c r="QZA323" s="14"/>
      <c r="QZB323" s="14"/>
      <c r="QZC323" s="14"/>
      <c r="QZD323" s="14"/>
      <c r="QZE323" s="14"/>
      <c r="QZF323" s="14"/>
      <c r="QZG323" s="14"/>
      <c r="QZH323" s="14"/>
      <c r="QZI323" s="14"/>
      <c r="QZJ323" s="14"/>
      <c r="QZK323" s="14"/>
      <c r="QZL323" s="14"/>
      <c r="QZM323" s="14"/>
      <c r="QZN323" s="14"/>
      <c r="QZO323" s="14"/>
      <c r="QZP323" s="14"/>
      <c r="QZQ323" s="14"/>
      <c r="QZR323" s="14"/>
      <c r="QZS323" s="14"/>
      <c r="QZT323" s="14"/>
      <c r="QZU323" s="14"/>
      <c r="QZV323" s="14"/>
      <c r="QZW323" s="14"/>
      <c r="QZX323" s="14"/>
      <c r="QZY323" s="14"/>
      <c r="QZZ323" s="14"/>
      <c r="RAA323" s="14"/>
      <c r="RAB323" s="14"/>
      <c r="RAC323" s="14"/>
      <c r="RAD323" s="14"/>
      <c r="RAE323" s="14"/>
      <c r="RAF323" s="14"/>
      <c r="RAG323" s="14"/>
      <c r="RAH323" s="14"/>
      <c r="RAI323" s="14"/>
      <c r="RAJ323" s="14"/>
      <c r="RAK323" s="14"/>
      <c r="RAL323" s="14"/>
      <c r="RAM323" s="14"/>
      <c r="RAN323" s="14"/>
      <c r="RAO323" s="14"/>
      <c r="RAP323" s="14"/>
      <c r="RAQ323" s="14"/>
      <c r="RAR323" s="14"/>
      <c r="RAS323" s="14"/>
      <c r="RAT323" s="14"/>
      <c r="RAU323" s="14"/>
      <c r="RAV323" s="14"/>
      <c r="RAW323" s="14"/>
      <c r="RAX323" s="14"/>
      <c r="RAY323" s="14"/>
      <c r="RAZ323" s="14"/>
      <c r="RBA323" s="14"/>
      <c r="RBB323" s="14"/>
      <c r="RBC323" s="14"/>
      <c r="RBD323" s="14"/>
      <c r="RBE323" s="14"/>
      <c r="RBF323" s="14"/>
      <c r="RBG323" s="14"/>
      <c r="RBH323" s="14"/>
      <c r="RBI323" s="14"/>
      <c r="RBJ323" s="14"/>
      <c r="RBK323" s="14"/>
      <c r="RBL323" s="14"/>
      <c r="RBM323" s="14"/>
      <c r="RBN323" s="14"/>
      <c r="RBO323" s="14"/>
      <c r="RBP323" s="14"/>
      <c r="RBQ323" s="14"/>
      <c r="RBR323" s="14"/>
      <c r="RBS323" s="14"/>
      <c r="RBT323" s="14"/>
      <c r="RBU323" s="14"/>
      <c r="RBV323" s="14"/>
      <c r="RBW323" s="14"/>
      <c r="RBX323" s="14"/>
      <c r="RBY323" s="14"/>
      <c r="RBZ323" s="14"/>
      <c r="RCA323" s="14"/>
      <c r="RCB323" s="14"/>
      <c r="RCC323" s="14"/>
      <c r="RCD323" s="14"/>
      <c r="RCE323" s="14"/>
      <c r="RCF323" s="14"/>
      <c r="RCG323" s="14"/>
      <c r="RCH323" s="14"/>
      <c r="RCI323" s="14"/>
      <c r="RCJ323" s="14"/>
      <c r="RCK323" s="14"/>
      <c r="RCL323" s="14"/>
      <c r="RCM323" s="14"/>
      <c r="RCN323" s="14"/>
      <c r="RCO323" s="14"/>
      <c r="RCP323" s="14"/>
      <c r="RCQ323" s="14"/>
      <c r="RCR323" s="14"/>
      <c r="RCS323" s="14"/>
      <c r="RCT323" s="14"/>
      <c r="RCU323" s="14"/>
      <c r="RCV323" s="14"/>
      <c r="RCW323" s="14"/>
      <c r="RCX323" s="14"/>
      <c r="RCY323" s="14"/>
      <c r="RCZ323" s="14"/>
      <c r="RDA323" s="14"/>
      <c r="RDB323" s="14"/>
      <c r="RDC323" s="14"/>
      <c r="RDD323" s="14"/>
      <c r="RDE323" s="14"/>
      <c r="RDF323" s="14"/>
      <c r="RDG323" s="14"/>
      <c r="RDH323" s="14"/>
      <c r="RDI323" s="14"/>
      <c r="RDJ323" s="14"/>
      <c r="RDK323" s="14"/>
      <c r="RDL323" s="14"/>
      <c r="RDM323" s="14"/>
      <c r="RDN323" s="14"/>
      <c r="RDO323" s="14"/>
      <c r="RDP323" s="14"/>
      <c r="RDQ323" s="14"/>
      <c r="RDR323" s="14"/>
      <c r="RDS323" s="14"/>
      <c r="RDT323" s="14"/>
      <c r="RDU323" s="14"/>
      <c r="RDV323" s="14"/>
      <c r="RDW323" s="14"/>
      <c r="RDX323" s="14"/>
      <c r="RDY323" s="14"/>
      <c r="RDZ323" s="14"/>
      <c r="REA323" s="14"/>
      <c r="REB323" s="14"/>
      <c r="REC323" s="14"/>
      <c r="RED323" s="14"/>
      <c r="REE323" s="14"/>
      <c r="REF323" s="14"/>
      <c r="REG323" s="14"/>
      <c r="REH323" s="14"/>
      <c r="REI323" s="14"/>
      <c r="REJ323" s="14"/>
      <c r="REK323" s="14"/>
      <c r="REL323" s="14"/>
      <c r="REM323" s="14"/>
      <c r="REN323" s="14"/>
      <c r="REO323" s="14"/>
      <c r="REP323" s="14"/>
      <c r="REQ323" s="14"/>
      <c r="RER323" s="14"/>
      <c r="RES323" s="14"/>
      <c r="RET323" s="14"/>
      <c r="REU323" s="14"/>
      <c r="REV323" s="14"/>
      <c r="REW323" s="14"/>
      <c r="REX323" s="14"/>
      <c r="REY323" s="14"/>
      <c r="REZ323" s="14"/>
      <c r="RFA323" s="14"/>
      <c r="RFB323" s="14"/>
      <c r="RFC323" s="14"/>
      <c r="RFD323" s="14"/>
      <c r="RFE323" s="14"/>
      <c r="RFF323" s="14"/>
      <c r="RFG323" s="14"/>
      <c r="RFH323" s="14"/>
      <c r="RFI323" s="14"/>
      <c r="RFJ323" s="14"/>
      <c r="RFK323" s="14"/>
      <c r="RFL323" s="14"/>
      <c r="RFM323" s="14"/>
      <c r="RFN323" s="14"/>
      <c r="RFO323" s="14"/>
      <c r="RFP323" s="14"/>
      <c r="RFQ323" s="14"/>
      <c r="RFR323" s="14"/>
      <c r="RFS323" s="14"/>
      <c r="RFT323" s="14"/>
      <c r="RFU323" s="14"/>
      <c r="RFV323" s="14"/>
      <c r="RFW323" s="14"/>
      <c r="RFX323" s="14"/>
      <c r="RFY323" s="14"/>
      <c r="RFZ323" s="14"/>
      <c r="RGA323" s="14"/>
      <c r="RGB323" s="14"/>
      <c r="RGC323" s="14"/>
      <c r="RGD323" s="14"/>
      <c r="RGE323" s="14"/>
      <c r="RGF323" s="14"/>
      <c r="RGG323" s="14"/>
      <c r="RGH323" s="14"/>
      <c r="RGI323" s="14"/>
      <c r="RGJ323" s="14"/>
      <c r="RGK323" s="14"/>
      <c r="RGL323" s="14"/>
      <c r="RGM323" s="14"/>
      <c r="RGN323" s="14"/>
      <c r="RGO323" s="14"/>
      <c r="RGP323" s="14"/>
      <c r="RGQ323" s="14"/>
      <c r="RGR323" s="14"/>
      <c r="RGS323" s="14"/>
      <c r="RGT323" s="14"/>
      <c r="RGU323" s="14"/>
      <c r="RGV323" s="14"/>
      <c r="RGW323" s="14"/>
      <c r="RGX323" s="14"/>
      <c r="RGY323" s="14"/>
      <c r="RGZ323" s="14"/>
      <c r="RHA323" s="14"/>
      <c r="RHB323" s="14"/>
      <c r="RHC323" s="14"/>
      <c r="RHD323" s="14"/>
      <c r="RHE323" s="14"/>
      <c r="RHF323" s="14"/>
      <c r="RHG323" s="14"/>
      <c r="RHH323" s="14"/>
      <c r="RHI323" s="14"/>
      <c r="RHJ323" s="14"/>
      <c r="RHK323" s="14"/>
      <c r="RHL323" s="14"/>
      <c r="RHM323" s="14"/>
      <c r="RHN323" s="14"/>
      <c r="RHO323" s="14"/>
      <c r="RHP323" s="14"/>
      <c r="RHQ323" s="14"/>
      <c r="RHR323" s="14"/>
      <c r="RHS323" s="14"/>
      <c r="RHT323" s="14"/>
      <c r="RHU323" s="14"/>
      <c r="RHV323" s="14"/>
      <c r="RHW323" s="14"/>
      <c r="RHX323" s="14"/>
      <c r="RHY323" s="14"/>
      <c r="RHZ323" s="14"/>
      <c r="RIA323" s="14"/>
      <c r="RIB323" s="14"/>
      <c r="RIC323" s="14"/>
      <c r="RID323" s="14"/>
      <c r="RIE323" s="14"/>
      <c r="RIF323" s="14"/>
      <c r="RIG323" s="14"/>
      <c r="RIH323" s="14"/>
      <c r="RII323" s="14"/>
      <c r="RIJ323" s="14"/>
      <c r="RIK323" s="14"/>
      <c r="RIL323" s="14"/>
      <c r="RIM323" s="14"/>
      <c r="RIN323" s="14"/>
      <c r="RIO323" s="14"/>
      <c r="RIP323" s="14"/>
      <c r="RIQ323" s="14"/>
      <c r="RIR323" s="14"/>
      <c r="RIS323" s="14"/>
      <c r="RIT323" s="14"/>
      <c r="RIU323" s="14"/>
      <c r="RIV323" s="14"/>
      <c r="RIW323" s="14"/>
      <c r="RIX323" s="14"/>
      <c r="RIY323" s="14"/>
      <c r="RIZ323" s="14"/>
      <c r="RJA323" s="14"/>
      <c r="RJB323" s="14"/>
      <c r="RJC323" s="14"/>
      <c r="RJD323" s="14"/>
      <c r="RJE323" s="14"/>
      <c r="RJF323" s="14"/>
      <c r="RJG323" s="14"/>
      <c r="RJH323" s="14"/>
      <c r="RJI323" s="14"/>
      <c r="RJJ323" s="14"/>
      <c r="RJK323" s="14"/>
      <c r="RJL323" s="14"/>
      <c r="RJM323" s="14"/>
      <c r="RJN323" s="14"/>
      <c r="RJO323" s="14"/>
      <c r="RJP323" s="14"/>
      <c r="RJQ323" s="14"/>
      <c r="RJR323" s="14"/>
      <c r="RJS323" s="14"/>
      <c r="RJT323" s="14"/>
      <c r="RJU323" s="14"/>
      <c r="RJV323" s="14"/>
      <c r="RJW323" s="14"/>
      <c r="RJX323" s="14"/>
      <c r="RJY323" s="14"/>
      <c r="RJZ323" s="14"/>
      <c r="RKA323" s="14"/>
      <c r="RKB323" s="14"/>
      <c r="RKC323" s="14"/>
      <c r="RKD323" s="14"/>
      <c r="RKE323" s="14"/>
      <c r="RKF323" s="14"/>
      <c r="RKG323" s="14"/>
      <c r="RKH323" s="14"/>
      <c r="RKI323" s="14"/>
      <c r="RKJ323" s="14"/>
      <c r="RKK323" s="14"/>
      <c r="RKL323" s="14"/>
      <c r="RKM323" s="14"/>
      <c r="RKN323" s="14"/>
      <c r="RKO323" s="14"/>
      <c r="RKP323" s="14"/>
      <c r="RKQ323" s="14"/>
      <c r="RKR323" s="14"/>
      <c r="RKS323" s="14"/>
      <c r="RKT323" s="14"/>
      <c r="RKU323" s="14"/>
      <c r="RKV323" s="14"/>
      <c r="RKW323" s="14"/>
      <c r="RKX323" s="14"/>
      <c r="RKY323" s="14"/>
      <c r="RKZ323" s="14"/>
      <c r="RLA323" s="14"/>
      <c r="RLB323" s="14"/>
      <c r="RLC323" s="14"/>
      <c r="RLD323" s="14"/>
      <c r="RLE323" s="14"/>
      <c r="RLF323" s="14"/>
      <c r="RLG323" s="14"/>
      <c r="RLH323" s="14"/>
      <c r="RLI323" s="14"/>
      <c r="RLJ323" s="14"/>
      <c r="RLK323" s="14"/>
      <c r="RLL323" s="14"/>
      <c r="RLM323" s="14"/>
      <c r="RLN323" s="14"/>
      <c r="RLO323" s="14"/>
      <c r="RLP323" s="14"/>
      <c r="RLQ323" s="14"/>
      <c r="RLR323" s="14"/>
      <c r="RLS323" s="14"/>
      <c r="RLT323" s="14"/>
      <c r="RLU323" s="14"/>
      <c r="RLV323" s="14"/>
      <c r="RLW323" s="14"/>
      <c r="RLX323" s="14"/>
      <c r="RLY323" s="14"/>
      <c r="RLZ323" s="14"/>
      <c r="RMA323" s="14"/>
      <c r="RMB323" s="14"/>
      <c r="RMC323" s="14"/>
      <c r="RMD323" s="14"/>
      <c r="RME323" s="14"/>
      <c r="RMF323" s="14"/>
      <c r="RMG323" s="14"/>
      <c r="RMH323" s="14"/>
      <c r="RMI323" s="14"/>
      <c r="RMJ323" s="14"/>
      <c r="RMK323" s="14"/>
      <c r="RML323" s="14"/>
      <c r="RMM323" s="14"/>
      <c r="RMN323" s="14"/>
      <c r="RMO323" s="14"/>
      <c r="RMP323" s="14"/>
      <c r="RMQ323" s="14"/>
      <c r="RMR323" s="14"/>
      <c r="RMS323" s="14"/>
      <c r="RMT323" s="14"/>
      <c r="RMU323" s="14"/>
      <c r="RMV323" s="14"/>
      <c r="RMW323" s="14"/>
      <c r="RMX323" s="14"/>
      <c r="RMY323" s="14"/>
      <c r="RMZ323" s="14"/>
      <c r="RNA323" s="14"/>
      <c r="RNB323" s="14"/>
      <c r="RNC323" s="14"/>
      <c r="RND323" s="14"/>
      <c r="RNE323" s="14"/>
      <c r="RNF323" s="14"/>
      <c r="RNG323" s="14"/>
      <c r="RNH323" s="14"/>
      <c r="RNI323" s="14"/>
      <c r="RNJ323" s="14"/>
      <c r="RNK323" s="14"/>
      <c r="RNL323" s="14"/>
      <c r="RNM323" s="14"/>
      <c r="RNN323" s="14"/>
      <c r="RNO323" s="14"/>
      <c r="RNP323" s="14"/>
      <c r="RNQ323" s="14"/>
      <c r="RNR323" s="14"/>
      <c r="RNS323" s="14"/>
      <c r="RNT323" s="14"/>
      <c r="RNU323" s="14"/>
      <c r="RNV323" s="14"/>
      <c r="RNW323" s="14"/>
      <c r="RNX323" s="14"/>
      <c r="RNY323" s="14"/>
      <c r="RNZ323" s="14"/>
      <c r="ROA323" s="14"/>
      <c r="ROB323" s="14"/>
      <c r="ROC323" s="14"/>
      <c r="ROD323" s="14"/>
      <c r="ROE323" s="14"/>
      <c r="ROF323" s="14"/>
      <c r="ROG323" s="14"/>
      <c r="ROH323" s="14"/>
      <c r="ROI323" s="14"/>
      <c r="ROJ323" s="14"/>
      <c r="ROK323" s="14"/>
      <c r="ROL323" s="14"/>
      <c r="ROM323" s="14"/>
      <c r="RON323" s="14"/>
      <c r="ROO323" s="14"/>
      <c r="ROP323" s="14"/>
      <c r="ROQ323" s="14"/>
      <c r="ROR323" s="14"/>
      <c r="ROS323" s="14"/>
      <c r="ROT323" s="14"/>
      <c r="ROU323" s="14"/>
      <c r="ROV323" s="14"/>
      <c r="ROW323" s="14"/>
      <c r="ROX323" s="14"/>
      <c r="ROY323" s="14"/>
      <c r="ROZ323" s="14"/>
      <c r="RPA323" s="14"/>
      <c r="RPB323" s="14"/>
      <c r="RPC323" s="14"/>
      <c r="RPD323" s="14"/>
      <c r="RPE323" s="14"/>
      <c r="RPF323" s="14"/>
      <c r="RPG323" s="14"/>
      <c r="RPH323" s="14"/>
      <c r="RPI323" s="14"/>
      <c r="RPJ323" s="14"/>
      <c r="RPK323" s="14"/>
      <c r="RPL323" s="14"/>
      <c r="RPM323" s="14"/>
      <c r="RPN323" s="14"/>
      <c r="RPO323" s="14"/>
      <c r="RPP323" s="14"/>
      <c r="RPQ323" s="14"/>
      <c r="RPR323" s="14"/>
      <c r="RPS323" s="14"/>
      <c r="RPT323" s="14"/>
      <c r="RPU323" s="14"/>
      <c r="RPV323" s="14"/>
      <c r="RPW323" s="14"/>
      <c r="RPX323" s="14"/>
      <c r="RPY323" s="14"/>
      <c r="RPZ323" s="14"/>
      <c r="RQA323" s="14"/>
      <c r="RQB323" s="14"/>
      <c r="RQC323" s="14"/>
      <c r="RQD323" s="14"/>
      <c r="RQE323" s="14"/>
      <c r="RQF323" s="14"/>
      <c r="RQG323" s="14"/>
      <c r="RQH323" s="14"/>
      <c r="RQI323" s="14"/>
      <c r="RQJ323" s="14"/>
      <c r="RQK323" s="14"/>
      <c r="RQL323" s="14"/>
      <c r="RQM323" s="14"/>
      <c r="RQN323" s="14"/>
      <c r="RQO323" s="14"/>
      <c r="RQP323" s="14"/>
      <c r="RQQ323" s="14"/>
      <c r="RQR323" s="14"/>
      <c r="RQS323" s="14"/>
      <c r="RQT323" s="14"/>
      <c r="RQU323" s="14"/>
      <c r="RQV323" s="14"/>
      <c r="RQW323" s="14"/>
      <c r="RQX323" s="14"/>
      <c r="RQY323" s="14"/>
      <c r="RQZ323" s="14"/>
      <c r="RRA323" s="14"/>
      <c r="RRB323" s="14"/>
      <c r="RRC323" s="14"/>
      <c r="RRD323" s="14"/>
      <c r="RRE323" s="14"/>
      <c r="RRF323" s="14"/>
      <c r="RRG323" s="14"/>
      <c r="RRH323" s="14"/>
      <c r="RRI323" s="14"/>
      <c r="RRJ323" s="14"/>
      <c r="RRK323" s="14"/>
      <c r="RRL323" s="14"/>
      <c r="RRM323" s="14"/>
      <c r="RRN323" s="14"/>
      <c r="RRO323" s="14"/>
      <c r="RRP323" s="14"/>
      <c r="RRQ323" s="14"/>
      <c r="RRR323" s="14"/>
      <c r="RRS323" s="14"/>
      <c r="RRT323" s="14"/>
      <c r="RRU323" s="14"/>
      <c r="RRV323" s="14"/>
      <c r="RRW323" s="14"/>
      <c r="RRX323" s="14"/>
      <c r="RRY323" s="14"/>
      <c r="RRZ323" s="14"/>
      <c r="RSA323" s="14"/>
      <c r="RSB323" s="14"/>
      <c r="RSC323" s="14"/>
      <c r="RSD323" s="14"/>
      <c r="RSE323" s="14"/>
      <c r="RSF323" s="14"/>
      <c r="RSG323" s="14"/>
      <c r="RSH323" s="14"/>
      <c r="RSI323" s="14"/>
      <c r="RSJ323" s="14"/>
      <c r="RSK323" s="14"/>
      <c r="RSL323" s="14"/>
      <c r="RSM323" s="14"/>
      <c r="RSN323" s="14"/>
      <c r="RSO323" s="14"/>
      <c r="RSP323" s="14"/>
      <c r="RSQ323" s="14"/>
      <c r="RSR323" s="14"/>
      <c r="RSS323" s="14"/>
      <c r="RST323" s="14"/>
      <c r="RSU323" s="14"/>
      <c r="RSV323" s="14"/>
      <c r="RSW323" s="14"/>
      <c r="RSX323" s="14"/>
      <c r="RSY323" s="14"/>
      <c r="RSZ323" s="14"/>
      <c r="RTA323" s="14"/>
      <c r="RTB323" s="14"/>
      <c r="RTC323" s="14"/>
      <c r="RTD323" s="14"/>
      <c r="RTE323" s="14"/>
      <c r="RTF323" s="14"/>
      <c r="RTG323" s="14"/>
      <c r="RTH323" s="14"/>
      <c r="RTI323" s="14"/>
      <c r="RTJ323" s="14"/>
      <c r="RTK323" s="14"/>
      <c r="RTL323" s="14"/>
      <c r="RTM323" s="14"/>
      <c r="RTN323" s="14"/>
      <c r="RTO323" s="14"/>
      <c r="RTP323" s="14"/>
      <c r="RTQ323" s="14"/>
      <c r="RTR323" s="14"/>
      <c r="RTS323" s="14"/>
      <c r="RTT323" s="14"/>
      <c r="RTU323" s="14"/>
      <c r="RTV323" s="14"/>
      <c r="RTW323" s="14"/>
      <c r="RTX323" s="14"/>
      <c r="RTY323" s="14"/>
      <c r="RTZ323" s="14"/>
      <c r="RUA323" s="14"/>
      <c r="RUB323" s="14"/>
      <c r="RUC323" s="14"/>
      <c r="RUD323" s="14"/>
      <c r="RUE323" s="14"/>
      <c r="RUF323" s="14"/>
      <c r="RUG323" s="14"/>
      <c r="RUH323" s="14"/>
      <c r="RUI323" s="14"/>
      <c r="RUJ323" s="14"/>
      <c r="RUK323" s="14"/>
      <c r="RUL323" s="14"/>
      <c r="RUM323" s="14"/>
      <c r="RUN323" s="14"/>
      <c r="RUO323" s="14"/>
      <c r="RUP323" s="14"/>
      <c r="RUQ323" s="14"/>
      <c r="RUR323" s="14"/>
      <c r="RUS323" s="14"/>
      <c r="RUT323" s="14"/>
      <c r="RUU323" s="14"/>
      <c r="RUV323" s="14"/>
      <c r="RUW323" s="14"/>
      <c r="RUX323" s="14"/>
      <c r="RUY323" s="14"/>
      <c r="RUZ323" s="14"/>
      <c r="RVA323" s="14"/>
      <c r="RVB323" s="14"/>
      <c r="RVC323" s="14"/>
      <c r="RVD323" s="14"/>
      <c r="RVE323" s="14"/>
      <c r="RVF323" s="14"/>
      <c r="RVG323" s="14"/>
      <c r="RVH323" s="14"/>
      <c r="RVI323" s="14"/>
      <c r="RVJ323" s="14"/>
      <c r="RVK323" s="14"/>
      <c r="RVL323" s="14"/>
      <c r="RVM323" s="14"/>
      <c r="RVN323" s="14"/>
      <c r="RVO323" s="14"/>
      <c r="RVP323" s="14"/>
      <c r="RVQ323" s="14"/>
      <c r="RVR323" s="14"/>
      <c r="RVS323" s="14"/>
      <c r="RVT323" s="14"/>
      <c r="RVU323" s="14"/>
      <c r="RVV323" s="14"/>
      <c r="RVW323" s="14"/>
      <c r="RVX323" s="14"/>
      <c r="RVY323" s="14"/>
      <c r="RVZ323" s="14"/>
      <c r="RWA323" s="14"/>
      <c r="RWB323" s="14"/>
      <c r="RWC323" s="14"/>
      <c r="RWD323" s="14"/>
      <c r="RWE323" s="14"/>
      <c r="RWF323" s="14"/>
      <c r="RWG323" s="14"/>
      <c r="RWH323" s="14"/>
      <c r="RWI323" s="14"/>
      <c r="RWJ323" s="14"/>
      <c r="RWK323" s="14"/>
      <c r="RWL323" s="14"/>
      <c r="RWM323" s="14"/>
      <c r="RWN323" s="14"/>
      <c r="RWO323" s="14"/>
      <c r="RWP323" s="14"/>
      <c r="RWQ323" s="14"/>
      <c r="RWR323" s="14"/>
      <c r="RWS323" s="14"/>
      <c r="RWT323" s="14"/>
      <c r="RWU323" s="14"/>
      <c r="RWV323" s="14"/>
      <c r="RWW323" s="14"/>
      <c r="RWX323" s="14"/>
      <c r="RWY323" s="14"/>
      <c r="RWZ323" s="14"/>
      <c r="RXA323" s="14"/>
      <c r="RXB323" s="14"/>
      <c r="RXC323" s="14"/>
      <c r="RXD323" s="14"/>
      <c r="RXE323" s="14"/>
      <c r="RXF323" s="14"/>
      <c r="RXG323" s="14"/>
      <c r="RXH323" s="14"/>
      <c r="RXI323" s="14"/>
      <c r="RXJ323" s="14"/>
      <c r="RXK323" s="14"/>
      <c r="RXL323" s="14"/>
      <c r="RXM323" s="14"/>
      <c r="RXN323" s="14"/>
      <c r="RXO323" s="14"/>
      <c r="RXP323" s="14"/>
      <c r="RXQ323" s="14"/>
      <c r="RXR323" s="14"/>
      <c r="RXS323" s="14"/>
      <c r="RXT323" s="14"/>
      <c r="RXU323" s="14"/>
      <c r="RXV323" s="14"/>
      <c r="RXW323" s="14"/>
      <c r="RXX323" s="14"/>
      <c r="RXY323" s="14"/>
      <c r="RXZ323" s="14"/>
      <c r="RYA323" s="14"/>
      <c r="RYB323" s="14"/>
      <c r="RYC323" s="14"/>
      <c r="RYD323" s="14"/>
      <c r="RYE323" s="14"/>
      <c r="RYF323" s="14"/>
      <c r="RYG323" s="14"/>
      <c r="RYH323" s="14"/>
      <c r="RYI323" s="14"/>
      <c r="RYJ323" s="14"/>
      <c r="RYK323" s="14"/>
      <c r="RYL323" s="14"/>
      <c r="RYM323" s="14"/>
      <c r="RYN323" s="14"/>
      <c r="RYO323" s="14"/>
      <c r="RYP323" s="14"/>
      <c r="RYQ323" s="14"/>
      <c r="RYR323" s="14"/>
      <c r="RYS323" s="14"/>
      <c r="RYT323" s="14"/>
      <c r="RYU323" s="14"/>
      <c r="RYV323" s="14"/>
      <c r="RYW323" s="14"/>
      <c r="RYX323" s="14"/>
      <c r="RYY323" s="14"/>
      <c r="RYZ323" s="14"/>
      <c r="RZA323" s="14"/>
      <c r="RZB323" s="14"/>
      <c r="RZC323" s="14"/>
      <c r="RZD323" s="14"/>
      <c r="RZE323" s="14"/>
      <c r="RZF323" s="14"/>
      <c r="RZG323" s="14"/>
      <c r="RZH323" s="14"/>
      <c r="RZI323" s="14"/>
      <c r="RZJ323" s="14"/>
      <c r="RZK323" s="14"/>
      <c r="RZL323" s="14"/>
      <c r="RZM323" s="14"/>
      <c r="RZN323" s="14"/>
      <c r="RZO323" s="14"/>
      <c r="RZP323" s="14"/>
      <c r="RZQ323" s="14"/>
      <c r="RZR323" s="14"/>
      <c r="RZS323" s="14"/>
      <c r="RZT323" s="14"/>
      <c r="RZU323" s="14"/>
      <c r="RZV323" s="14"/>
      <c r="RZW323" s="14"/>
      <c r="RZX323" s="14"/>
      <c r="RZY323" s="14"/>
      <c r="RZZ323" s="14"/>
      <c r="SAA323" s="14"/>
      <c r="SAB323" s="14"/>
      <c r="SAC323" s="14"/>
      <c r="SAD323" s="14"/>
      <c r="SAE323" s="14"/>
      <c r="SAF323" s="14"/>
      <c r="SAG323" s="14"/>
      <c r="SAH323" s="14"/>
      <c r="SAI323" s="14"/>
      <c r="SAJ323" s="14"/>
      <c r="SAK323" s="14"/>
      <c r="SAL323" s="14"/>
      <c r="SAM323" s="14"/>
      <c r="SAN323" s="14"/>
      <c r="SAO323" s="14"/>
      <c r="SAP323" s="14"/>
      <c r="SAQ323" s="14"/>
      <c r="SAR323" s="14"/>
      <c r="SAS323" s="14"/>
      <c r="SAT323" s="14"/>
      <c r="SAU323" s="14"/>
      <c r="SAV323" s="14"/>
      <c r="SAW323" s="14"/>
      <c r="SAX323" s="14"/>
      <c r="SAY323" s="14"/>
      <c r="SAZ323" s="14"/>
      <c r="SBA323" s="14"/>
      <c r="SBB323" s="14"/>
      <c r="SBC323" s="14"/>
      <c r="SBD323" s="14"/>
      <c r="SBE323" s="14"/>
      <c r="SBF323" s="14"/>
      <c r="SBG323" s="14"/>
      <c r="SBH323" s="14"/>
      <c r="SBI323" s="14"/>
      <c r="SBJ323" s="14"/>
      <c r="SBK323" s="14"/>
      <c r="SBL323" s="14"/>
      <c r="SBM323" s="14"/>
      <c r="SBN323" s="14"/>
      <c r="SBO323" s="14"/>
      <c r="SBP323" s="14"/>
      <c r="SBQ323" s="14"/>
      <c r="SBR323" s="14"/>
      <c r="SBS323" s="14"/>
      <c r="SBT323" s="14"/>
      <c r="SBU323" s="14"/>
      <c r="SBV323" s="14"/>
      <c r="SBW323" s="14"/>
      <c r="SBX323" s="14"/>
      <c r="SBY323" s="14"/>
      <c r="SBZ323" s="14"/>
      <c r="SCA323" s="14"/>
      <c r="SCB323" s="14"/>
      <c r="SCC323" s="14"/>
      <c r="SCD323" s="14"/>
      <c r="SCE323" s="14"/>
      <c r="SCF323" s="14"/>
      <c r="SCG323" s="14"/>
      <c r="SCH323" s="14"/>
      <c r="SCI323" s="14"/>
      <c r="SCJ323" s="14"/>
      <c r="SCK323" s="14"/>
      <c r="SCL323" s="14"/>
      <c r="SCM323" s="14"/>
      <c r="SCN323" s="14"/>
      <c r="SCO323" s="14"/>
      <c r="SCP323" s="14"/>
      <c r="SCQ323" s="14"/>
      <c r="SCR323" s="14"/>
      <c r="SCS323" s="14"/>
      <c r="SCT323" s="14"/>
      <c r="SCU323" s="14"/>
      <c r="SCV323" s="14"/>
      <c r="SCW323" s="14"/>
      <c r="SCX323" s="14"/>
      <c r="SCY323" s="14"/>
      <c r="SCZ323" s="14"/>
      <c r="SDA323" s="14"/>
      <c r="SDB323" s="14"/>
      <c r="SDC323" s="14"/>
      <c r="SDD323" s="14"/>
      <c r="SDE323" s="14"/>
      <c r="SDF323" s="14"/>
      <c r="SDG323" s="14"/>
      <c r="SDH323" s="14"/>
      <c r="SDI323" s="14"/>
      <c r="SDJ323" s="14"/>
      <c r="SDK323" s="14"/>
      <c r="SDL323" s="14"/>
      <c r="SDM323" s="14"/>
      <c r="SDN323" s="14"/>
      <c r="SDO323" s="14"/>
      <c r="SDP323" s="14"/>
      <c r="SDQ323" s="14"/>
      <c r="SDR323" s="14"/>
      <c r="SDS323" s="14"/>
      <c r="SDT323" s="14"/>
      <c r="SDU323" s="14"/>
      <c r="SDV323" s="14"/>
      <c r="SDW323" s="14"/>
      <c r="SDX323" s="14"/>
      <c r="SDY323" s="14"/>
      <c r="SDZ323" s="14"/>
      <c r="SEA323" s="14"/>
      <c r="SEB323" s="14"/>
      <c r="SEC323" s="14"/>
      <c r="SED323" s="14"/>
      <c r="SEE323" s="14"/>
      <c r="SEF323" s="14"/>
      <c r="SEG323" s="14"/>
      <c r="SEH323" s="14"/>
      <c r="SEI323" s="14"/>
      <c r="SEJ323" s="14"/>
      <c r="SEK323" s="14"/>
      <c r="SEL323" s="14"/>
      <c r="SEM323" s="14"/>
      <c r="SEN323" s="14"/>
      <c r="SEO323" s="14"/>
      <c r="SEP323" s="14"/>
      <c r="SEQ323" s="14"/>
      <c r="SER323" s="14"/>
      <c r="SES323" s="14"/>
      <c r="SET323" s="14"/>
      <c r="SEU323" s="14"/>
      <c r="SEV323" s="14"/>
      <c r="SEW323" s="14"/>
      <c r="SEX323" s="14"/>
      <c r="SEY323" s="14"/>
      <c r="SEZ323" s="14"/>
      <c r="SFA323" s="14"/>
      <c r="SFB323" s="14"/>
      <c r="SFC323" s="14"/>
      <c r="SFD323" s="14"/>
      <c r="SFE323" s="14"/>
      <c r="SFF323" s="14"/>
      <c r="SFG323" s="14"/>
      <c r="SFH323" s="14"/>
      <c r="SFI323" s="14"/>
      <c r="SFJ323" s="14"/>
      <c r="SFK323" s="14"/>
      <c r="SFL323" s="14"/>
      <c r="SFM323" s="14"/>
      <c r="SFN323" s="14"/>
      <c r="SFO323" s="14"/>
      <c r="SFP323" s="14"/>
      <c r="SFQ323" s="14"/>
      <c r="SFR323" s="14"/>
      <c r="SFS323" s="14"/>
      <c r="SFT323" s="14"/>
      <c r="SFU323" s="14"/>
      <c r="SFV323" s="14"/>
      <c r="SFW323" s="14"/>
      <c r="SFX323" s="14"/>
      <c r="SFY323" s="14"/>
      <c r="SFZ323" s="14"/>
      <c r="SGA323" s="14"/>
      <c r="SGB323" s="14"/>
      <c r="SGC323" s="14"/>
      <c r="SGD323" s="14"/>
      <c r="SGE323" s="14"/>
      <c r="SGF323" s="14"/>
      <c r="SGG323" s="14"/>
      <c r="SGH323" s="14"/>
      <c r="SGI323" s="14"/>
      <c r="SGJ323" s="14"/>
      <c r="SGK323" s="14"/>
      <c r="SGL323" s="14"/>
      <c r="SGM323" s="14"/>
      <c r="SGN323" s="14"/>
      <c r="SGO323" s="14"/>
      <c r="SGP323" s="14"/>
      <c r="SGQ323" s="14"/>
      <c r="SGR323" s="14"/>
      <c r="SGS323" s="14"/>
      <c r="SGT323" s="14"/>
      <c r="SGU323" s="14"/>
      <c r="SGV323" s="14"/>
      <c r="SGW323" s="14"/>
      <c r="SGX323" s="14"/>
      <c r="SGY323" s="14"/>
      <c r="SGZ323" s="14"/>
      <c r="SHA323" s="14"/>
      <c r="SHB323" s="14"/>
      <c r="SHC323" s="14"/>
      <c r="SHD323" s="14"/>
      <c r="SHE323" s="14"/>
      <c r="SHF323" s="14"/>
      <c r="SHG323" s="14"/>
      <c r="SHH323" s="14"/>
      <c r="SHI323" s="14"/>
      <c r="SHJ323" s="14"/>
      <c r="SHK323" s="14"/>
      <c r="SHL323" s="14"/>
      <c r="SHM323" s="14"/>
      <c r="SHN323" s="14"/>
      <c r="SHO323" s="14"/>
      <c r="SHP323" s="14"/>
      <c r="SHQ323" s="14"/>
      <c r="SHR323" s="14"/>
      <c r="SHS323" s="14"/>
      <c r="SHT323" s="14"/>
      <c r="SHU323" s="14"/>
      <c r="SHV323" s="14"/>
      <c r="SHW323" s="14"/>
      <c r="SHX323" s="14"/>
      <c r="SHY323" s="14"/>
      <c r="SHZ323" s="14"/>
      <c r="SIA323" s="14"/>
      <c r="SIB323" s="14"/>
      <c r="SIC323" s="14"/>
      <c r="SID323" s="14"/>
      <c r="SIE323" s="14"/>
      <c r="SIF323" s="14"/>
      <c r="SIG323" s="14"/>
      <c r="SIH323" s="14"/>
      <c r="SII323" s="14"/>
      <c r="SIJ323" s="14"/>
      <c r="SIK323" s="14"/>
      <c r="SIL323" s="14"/>
      <c r="SIM323" s="14"/>
      <c r="SIN323" s="14"/>
      <c r="SIO323" s="14"/>
      <c r="SIP323" s="14"/>
      <c r="SIQ323" s="14"/>
      <c r="SIR323" s="14"/>
      <c r="SIS323" s="14"/>
      <c r="SIT323" s="14"/>
      <c r="SIU323" s="14"/>
      <c r="SIV323" s="14"/>
      <c r="SIW323" s="14"/>
      <c r="SIX323" s="14"/>
      <c r="SIY323" s="14"/>
      <c r="SIZ323" s="14"/>
      <c r="SJA323" s="14"/>
      <c r="SJB323" s="14"/>
      <c r="SJC323" s="14"/>
      <c r="SJD323" s="14"/>
      <c r="SJE323" s="14"/>
      <c r="SJF323" s="14"/>
      <c r="SJG323" s="14"/>
      <c r="SJH323" s="14"/>
      <c r="SJI323" s="14"/>
      <c r="SJJ323" s="14"/>
      <c r="SJK323" s="14"/>
      <c r="SJL323" s="14"/>
      <c r="SJM323" s="14"/>
      <c r="SJN323" s="14"/>
      <c r="SJO323" s="14"/>
      <c r="SJP323" s="14"/>
      <c r="SJQ323" s="14"/>
      <c r="SJR323" s="14"/>
      <c r="SJS323" s="14"/>
      <c r="SJT323" s="14"/>
      <c r="SJU323" s="14"/>
      <c r="SJV323" s="14"/>
      <c r="SJW323" s="14"/>
      <c r="SJX323" s="14"/>
      <c r="SJY323" s="14"/>
      <c r="SJZ323" s="14"/>
      <c r="SKA323" s="14"/>
      <c r="SKB323" s="14"/>
      <c r="SKC323" s="14"/>
      <c r="SKD323" s="14"/>
      <c r="SKE323" s="14"/>
      <c r="SKF323" s="14"/>
      <c r="SKG323" s="14"/>
      <c r="SKH323" s="14"/>
      <c r="SKI323" s="14"/>
      <c r="SKJ323" s="14"/>
      <c r="SKK323" s="14"/>
      <c r="SKL323" s="14"/>
      <c r="SKM323" s="14"/>
      <c r="SKN323" s="14"/>
      <c r="SKO323" s="14"/>
      <c r="SKP323" s="14"/>
      <c r="SKQ323" s="14"/>
      <c r="SKR323" s="14"/>
      <c r="SKS323" s="14"/>
      <c r="SKT323" s="14"/>
      <c r="SKU323" s="14"/>
      <c r="SKV323" s="14"/>
      <c r="SKW323" s="14"/>
      <c r="SKX323" s="14"/>
      <c r="SKY323" s="14"/>
      <c r="SKZ323" s="14"/>
      <c r="SLA323" s="14"/>
      <c r="SLB323" s="14"/>
      <c r="SLC323" s="14"/>
      <c r="SLD323" s="14"/>
      <c r="SLE323" s="14"/>
      <c r="SLF323" s="14"/>
      <c r="SLG323" s="14"/>
      <c r="SLH323" s="14"/>
      <c r="SLI323" s="14"/>
      <c r="SLJ323" s="14"/>
      <c r="SLK323" s="14"/>
      <c r="SLL323" s="14"/>
      <c r="SLM323" s="14"/>
      <c r="SLN323" s="14"/>
      <c r="SLO323" s="14"/>
      <c r="SLP323" s="14"/>
      <c r="SLQ323" s="14"/>
      <c r="SLR323" s="14"/>
      <c r="SLS323" s="14"/>
      <c r="SLT323" s="14"/>
      <c r="SLU323" s="14"/>
      <c r="SLV323" s="14"/>
      <c r="SLW323" s="14"/>
      <c r="SLX323" s="14"/>
      <c r="SLY323" s="14"/>
      <c r="SLZ323" s="14"/>
      <c r="SMA323" s="14"/>
      <c r="SMB323" s="14"/>
      <c r="SMC323" s="14"/>
      <c r="SMD323" s="14"/>
      <c r="SME323" s="14"/>
      <c r="SMF323" s="14"/>
      <c r="SMG323" s="14"/>
      <c r="SMH323" s="14"/>
      <c r="SMI323" s="14"/>
      <c r="SMJ323" s="14"/>
      <c r="SMK323" s="14"/>
      <c r="SML323" s="14"/>
      <c r="SMM323" s="14"/>
      <c r="SMN323" s="14"/>
      <c r="SMO323" s="14"/>
      <c r="SMP323" s="14"/>
      <c r="SMQ323" s="14"/>
      <c r="SMR323" s="14"/>
      <c r="SMS323" s="14"/>
      <c r="SMT323" s="14"/>
      <c r="SMU323" s="14"/>
      <c r="SMV323" s="14"/>
      <c r="SMW323" s="14"/>
      <c r="SMX323" s="14"/>
      <c r="SMY323" s="14"/>
      <c r="SMZ323" s="14"/>
      <c r="SNA323" s="14"/>
      <c r="SNB323" s="14"/>
      <c r="SNC323" s="14"/>
      <c r="SND323" s="14"/>
      <c r="SNE323" s="14"/>
      <c r="SNF323" s="14"/>
      <c r="SNG323" s="14"/>
      <c r="SNH323" s="14"/>
      <c r="SNI323" s="14"/>
      <c r="SNJ323" s="14"/>
      <c r="SNK323" s="14"/>
      <c r="SNL323" s="14"/>
      <c r="SNM323" s="14"/>
      <c r="SNN323" s="14"/>
      <c r="SNO323" s="14"/>
      <c r="SNP323" s="14"/>
      <c r="SNQ323" s="14"/>
      <c r="SNR323" s="14"/>
      <c r="SNS323" s="14"/>
      <c r="SNT323" s="14"/>
      <c r="SNU323" s="14"/>
      <c r="SNV323" s="14"/>
      <c r="SNW323" s="14"/>
      <c r="SNX323" s="14"/>
      <c r="SNY323" s="14"/>
      <c r="SNZ323" s="14"/>
      <c r="SOA323" s="14"/>
      <c r="SOB323" s="14"/>
      <c r="SOC323" s="14"/>
      <c r="SOD323" s="14"/>
      <c r="SOE323" s="14"/>
      <c r="SOF323" s="14"/>
      <c r="SOG323" s="14"/>
      <c r="SOH323" s="14"/>
      <c r="SOI323" s="14"/>
      <c r="SOJ323" s="14"/>
      <c r="SOK323" s="14"/>
      <c r="SOL323" s="14"/>
      <c r="SOM323" s="14"/>
      <c r="SON323" s="14"/>
      <c r="SOO323" s="14"/>
      <c r="SOP323" s="14"/>
      <c r="SOQ323" s="14"/>
      <c r="SOR323" s="14"/>
      <c r="SOS323" s="14"/>
      <c r="SOT323" s="14"/>
      <c r="SOU323" s="14"/>
      <c r="SOV323" s="14"/>
      <c r="SOW323" s="14"/>
      <c r="SOX323" s="14"/>
      <c r="SOY323" s="14"/>
      <c r="SOZ323" s="14"/>
      <c r="SPA323" s="14"/>
      <c r="SPB323" s="14"/>
      <c r="SPC323" s="14"/>
      <c r="SPD323" s="14"/>
      <c r="SPE323" s="14"/>
      <c r="SPF323" s="14"/>
      <c r="SPG323" s="14"/>
      <c r="SPH323" s="14"/>
      <c r="SPI323" s="14"/>
      <c r="SPJ323" s="14"/>
      <c r="SPK323" s="14"/>
      <c r="SPL323" s="14"/>
      <c r="SPM323" s="14"/>
      <c r="SPN323" s="14"/>
      <c r="SPO323" s="14"/>
      <c r="SPP323" s="14"/>
      <c r="SPQ323" s="14"/>
      <c r="SPR323" s="14"/>
      <c r="SPS323" s="14"/>
      <c r="SPT323" s="14"/>
      <c r="SPU323" s="14"/>
      <c r="SPV323" s="14"/>
      <c r="SPW323" s="14"/>
      <c r="SPX323" s="14"/>
      <c r="SPY323" s="14"/>
      <c r="SPZ323" s="14"/>
      <c r="SQA323" s="14"/>
      <c r="SQB323" s="14"/>
      <c r="SQC323" s="14"/>
      <c r="SQD323" s="14"/>
      <c r="SQE323" s="14"/>
      <c r="SQF323" s="14"/>
      <c r="SQG323" s="14"/>
      <c r="SQH323" s="14"/>
      <c r="SQI323" s="14"/>
      <c r="SQJ323" s="14"/>
      <c r="SQK323" s="14"/>
      <c r="SQL323" s="14"/>
      <c r="SQM323" s="14"/>
      <c r="SQN323" s="14"/>
      <c r="SQO323" s="14"/>
      <c r="SQP323" s="14"/>
      <c r="SQQ323" s="14"/>
      <c r="SQR323" s="14"/>
      <c r="SQS323" s="14"/>
      <c r="SQT323" s="14"/>
      <c r="SQU323" s="14"/>
      <c r="SQV323" s="14"/>
      <c r="SQW323" s="14"/>
      <c r="SQX323" s="14"/>
      <c r="SQY323" s="14"/>
      <c r="SQZ323" s="14"/>
      <c r="SRA323" s="14"/>
      <c r="SRB323" s="14"/>
      <c r="SRC323" s="14"/>
      <c r="SRD323" s="14"/>
      <c r="SRE323" s="14"/>
      <c r="SRF323" s="14"/>
      <c r="SRG323" s="14"/>
      <c r="SRH323" s="14"/>
      <c r="SRI323" s="14"/>
      <c r="SRJ323" s="14"/>
      <c r="SRK323" s="14"/>
      <c r="SRL323" s="14"/>
      <c r="SRM323" s="14"/>
      <c r="SRN323" s="14"/>
      <c r="SRO323" s="14"/>
      <c r="SRP323" s="14"/>
      <c r="SRQ323" s="14"/>
      <c r="SRR323" s="14"/>
      <c r="SRS323" s="14"/>
      <c r="SRT323" s="14"/>
      <c r="SRU323" s="14"/>
      <c r="SRV323" s="14"/>
      <c r="SRW323" s="14"/>
      <c r="SRX323" s="14"/>
      <c r="SRY323" s="14"/>
      <c r="SRZ323" s="14"/>
      <c r="SSA323" s="14"/>
      <c r="SSB323" s="14"/>
      <c r="SSC323" s="14"/>
      <c r="SSD323" s="14"/>
      <c r="SSE323" s="14"/>
      <c r="SSF323" s="14"/>
      <c r="SSG323" s="14"/>
      <c r="SSH323" s="14"/>
      <c r="SSI323" s="14"/>
      <c r="SSJ323" s="14"/>
      <c r="SSK323" s="14"/>
      <c r="SSL323" s="14"/>
      <c r="SSM323" s="14"/>
      <c r="SSN323" s="14"/>
      <c r="SSO323" s="14"/>
      <c r="SSP323" s="14"/>
      <c r="SSQ323" s="14"/>
      <c r="SSR323" s="14"/>
      <c r="SSS323" s="14"/>
      <c r="SST323" s="14"/>
      <c r="SSU323" s="14"/>
      <c r="SSV323" s="14"/>
      <c r="SSW323" s="14"/>
      <c r="SSX323" s="14"/>
      <c r="SSY323" s="14"/>
      <c r="SSZ323" s="14"/>
      <c r="STA323" s="14"/>
      <c r="STB323" s="14"/>
      <c r="STC323" s="14"/>
      <c r="STD323" s="14"/>
      <c r="STE323" s="14"/>
      <c r="STF323" s="14"/>
      <c r="STG323" s="14"/>
      <c r="STH323" s="14"/>
      <c r="STI323" s="14"/>
      <c r="STJ323" s="14"/>
      <c r="STK323" s="14"/>
      <c r="STL323" s="14"/>
      <c r="STM323" s="14"/>
      <c r="STN323" s="14"/>
      <c r="STO323" s="14"/>
      <c r="STP323" s="14"/>
      <c r="STQ323" s="14"/>
      <c r="STR323" s="14"/>
      <c r="STS323" s="14"/>
      <c r="STT323" s="14"/>
      <c r="STU323" s="14"/>
      <c r="STV323" s="14"/>
      <c r="STW323" s="14"/>
      <c r="STX323" s="14"/>
      <c r="STY323" s="14"/>
      <c r="STZ323" s="14"/>
      <c r="SUA323" s="14"/>
      <c r="SUB323" s="14"/>
      <c r="SUC323" s="14"/>
      <c r="SUD323" s="14"/>
      <c r="SUE323" s="14"/>
      <c r="SUF323" s="14"/>
      <c r="SUG323" s="14"/>
      <c r="SUH323" s="14"/>
      <c r="SUI323" s="14"/>
      <c r="SUJ323" s="14"/>
      <c r="SUK323" s="14"/>
      <c r="SUL323" s="14"/>
      <c r="SUM323" s="14"/>
      <c r="SUN323" s="14"/>
      <c r="SUO323" s="14"/>
      <c r="SUP323" s="14"/>
      <c r="SUQ323" s="14"/>
      <c r="SUR323" s="14"/>
      <c r="SUS323" s="14"/>
      <c r="SUT323" s="14"/>
      <c r="SUU323" s="14"/>
      <c r="SUV323" s="14"/>
      <c r="SUW323" s="14"/>
      <c r="SUX323" s="14"/>
      <c r="SUY323" s="14"/>
      <c r="SUZ323" s="14"/>
      <c r="SVA323" s="14"/>
      <c r="SVB323" s="14"/>
      <c r="SVC323" s="14"/>
      <c r="SVD323" s="14"/>
      <c r="SVE323" s="14"/>
      <c r="SVF323" s="14"/>
      <c r="SVG323" s="14"/>
      <c r="SVH323" s="14"/>
      <c r="SVI323" s="14"/>
      <c r="SVJ323" s="14"/>
      <c r="SVK323" s="14"/>
      <c r="SVL323" s="14"/>
      <c r="SVM323" s="14"/>
      <c r="SVN323" s="14"/>
      <c r="SVO323" s="14"/>
      <c r="SVP323" s="14"/>
      <c r="SVQ323" s="14"/>
      <c r="SVR323" s="14"/>
      <c r="SVS323" s="14"/>
      <c r="SVT323" s="14"/>
      <c r="SVU323" s="14"/>
      <c r="SVV323" s="14"/>
      <c r="SVW323" s="14"/>
      <c r="SVX323" s="14"/>
      <c r="SVY323" s="14"/>
      <c r="SVZ323" s="14"/>
      <c r="SWA323" s="14"/>
      <c r="SWB323" s="14"/>
      <c r="SWC323" s="14"/>
      <c r="SWD323" s="14"/>
      <c r="SWE323" s="14"/>
      <c r="SWF323" s="14"/>
      <c r="SWG323" s="14"/>
      <c r="SWH323" s="14"/>
      <c r="SWI323" s="14"/>
      <c r="SWJ323" s="14"/>
      <c r="SWK323" s="14"/>
      <c r="SWL323" s="14"/>
      <c r="SWM323" s="14"/>
      <c r="SWN323" s="14"/>
      <c r="SWO323" s="14"/>
      <c r="SWP323" s="14"/>
      <c r="SWQ323" s="14"/>
      <c r="SWR323" s="14"/>
      <c r="SWS323" s="14"/>
      <c r="SWT323" s="14"/>
      <c r="SWU323" s="14"/>
      <c r="SWV323" s="14"/>
      <c r="SWW323" s="14"/>
      <c r="SWX323" s="14"/>
      <c r="SWY323" s="14"/>
      <c r="SWZ323" s="14"/>
      <c r="SXA323" s="14"/>
      <c r="SXB323" s="14"/>
      <c r="SXC323" s="14"/>
      <c r="SXD323" s="14"/>
      <c r="SXE323" s="14"/>
      <c r="SXF323" s="14"/>
      <c r="SXG323" s="14"/>
      <c r="SXH323" s="14"/>
      <c r="SXI323" s="14"/>
      <c r="SXJ323" s="14"/>
      <c r="SXK323" s="14"/>
      <c r="SXL323" s="14"/>
      <c r="SXM323" s="14"/>
      <c r="SXN323" s="14"/>
      <c r="SXO323" s="14"/>
      <c r="SXP323" s="14"/>
      <c r="SXQ323" s="14"/>
      <c r="SXR323" s="14"/>
      <c r="SXS323" s="14"/>
      <c r="SXT323" s="14"/>
      <c r="SXU323" s="14"/>
      <c r="SXV323" s="14"/>
      <c r="SXW323" s="14"/>
      <c r="SXX323" s="14"/>
      <c r="SXY323" s="14"/>
      <c r="SXZ323" s="14"/>
      <c r="SYA323" s="14"/>
      <c r="SYB323" s="14"/>
      <c r="SYC323" s="14"/>
      <c r="SYD323" s="14"/>
      <c r="SYE323" s="14"/>
      <c r="SYF323" s="14"/>
      <c r="SYG323" s="14"/>
      <c r="SYH323" s="14"/>
      <c r="SYI323" s="14"/>
      <c r="SYJ323" s="14"/>
      <c r="SYK323" s="14"/>
      <c r="SYL323" s="14"/>
      <c r="SYM323" s="14"/>
      <c r="SYN323" s="14"/>
      <c r="SYO323" s="14"/>
      <c r="SYP323" s="14"/>
      <c r="SYQ323" s="14"/>
      <c r="SYR323" s="14"/>
      <c r="SYS323" s="14"/>
      <c r="SYT323" s="14"/>
      <c r="SYU323" s="14"/>
      <c r="SYV323" s="14"/>
      <c r="SYW323" s="14"/>
      <c r="SYX323" s="14"/>
      <c r="SYY323" s="14"/>
      <c r="SYZ323" s="14"/>
      <c r="SZA323" s="14"/>
      <c r="SZB323" s="14"/>
      <c r="SZC323" s="14"/>
      <c r="SZD323" s="14"/>
      <c r="SZE323" s="14"/>
      <c r="SZF323" s="14"/>
      <c r="SZG323" s="14"/>
      <c r="SZH323" s="14"/>
      <c r="SZI323" s="14"/>
      <c r="SZJ323" s="14"/>
      <c r="SZK323" s="14"/>
      <c r="SZL323" s="14"/>
      <c r="SZM323" s="14"/>
      <c r="SZN323" s="14"/>
      <c r="SZO323" s="14"/>
      <c r="SZP323" s="14"/>
      <c r="SZQ323" s="14"/>
      <c r="SZR323" s="14"/>
      <c r="SZS323" s="14"/>
      <c r="SZT323" s="14"/>
      <c r="SZU323" s="14"/>
      <c r="SZV323" s="14"/>
      <c r="SZW323" s="14"/>
      <c r="SZX323" s="14"/>
      <c r="SZY323" s="14"/>
      <c r="SZZ323" s="14"/>
      <c r="TAA323" s="14"/>
      <c r="TAB323" s="14"/>
      <c r="TAC323" s="14"/>
      <c r="TAD323" s="14"/>
      <c r="TAE323" s="14"/>
      <c r="TAF323" s="14"/>
      <c r="TAG323" s="14"/>
      <c r="TAH323" s="14"/>
      <c r="TAI323" s="14"/>
      <c r="TAJ323" s="14"/>
      <c r="TAK323" s="14"/>
      <c r="TAL323" s="14"/>
      <c r="TAM323" s="14"/>
      <c r="TAN323" s="14"/>
      <c r="TAO323" s="14"/>
      <c r="TAP323" s="14"/>
      <c r="TAQ323" s="14"/>
      <c r="TAR323" s="14"/>
      <c r="TAS323" s="14"/>
      <c r="TAT323" s="14"/>
      <c r="TAU323" s="14"/>
      <c r="TAV323" s="14"/>
      <c r="TAW323" s="14"/>
      <c r="TAX323" s="14"/>
      <c r="TAY323" s="14"/>
      <c r="TAZ323" s="14"/>
      <c r="TBA323" s="14"/>
      <c r="TBB323" s="14"/>
      <c r="TBC323" s="14"/>
      <c r="TBD323" s="14"/>
      <c r="TBE323" s="14"/>
      <c r="TBF323" s="14"/>
      <c r="TBG323" s="14"/>
      <c r="TBH323" s="14"/>
      <c r="TBI323" s="14"/>
      <c r="TBJ323" s="14"/>
      <c r="TBK323" s="14"/>
      <c r="TBL323" s="14"/>
      <c r="TBM323" s="14"/>
      <c r="TBN323" s="14"/>
      <c r="TBO323" s="14"/>
      <c r="TBP323" s="14"/>
      <c r="TBQ323" s="14"/>
      <c r="TBR323" s="14"/>
      <c r="TBS323" s="14"/>
      <c r="TBT323" s="14"/>
      <c r="TBU323" s="14"/>
      <c r="TBV323" s="14"/>
      <c r="TBW323" s="14"/>
      <c r="TBX323" s="14"/>
      <c r="TBY323" s="14"/>
      <c r="TBZ323" s="14"/>
      <c r="TCA323" s="14"/>
      <c r="TCB323" s="14"/>
      <c r="TCC323" s="14"/>
      <c r="TCD323" s="14"/>
      <c r="TCE323" s="14"/>
      <c r="TCF323" s="14"/>
      <c r="TCG323" s="14"/>
      <c r="TCH323" s="14"/>
      <c r="TCI323" s="14"/>
      <c r="TCJ323" s="14"/>
      <c r="TCK323" s="14"/>
      <c r="TCL323" s="14"/>
      <c r="TCM323" s="14"/>
      <c r="TCN323" s="14"/>
      <c r="TCO323" s="14"/>
      <c r="TCP323" s="14"/>
      <c r="TCQ323" s="14"/>
      <c r="TCR323" s="14"/>
      <c r="TCS323" s="14"/>
      <c r="TCT323" s="14"/>
      <c r="TCU323" s="14"/>
      <c r="TCV323" s="14"/>
      <c r="TCW323" s="14"/>
      <c r="TCX323" s="14"/>
      <c r="TCY323" s="14"/>
      <c r="TCZ323" s="14"/>
      <c r="TDA323" s="14"/>
      <c r="TDB323" s="14"/>
      <c r="TDC323" s="14"/>
      <c r="TDD323" s="14"/>
      <c r="TDE323" s="14"/>
      <c r="TDF323" s="14"/>
      <c r="TDG323" s="14"/>
      <c r="TDH323" s="14"/>
      <c r="TDI323" s="14"/>
      <c r="TDJ323" s="14"/>
      <c r="TDK323" s="14"/>
      <c r="TDL323" s="14"/>
      <c r="TDM323" s="14"/>
      <c r="TDN323" s="14"/>
      <c r="TDO323" s="14"/>
      <c r="TDP323" s="14"/>
      <c r="TDQ323" s="14"/>
      <c r="TDR323" s="14"/>
      <c r="TDS323" s="14"/>
      <c r="TDT323" s="14"/>
      <c r="TDU323" s="14"/>
      <c r="TDV323" s="14"/>
      <c r="TDW323" s="14"/>
      <c r="TDX323" s="14"/>
      <c r="TDY323" s="14"/>
      <c r="TDZ323" s="14"/>
      <c r="TEA323" s="14"/>
      <c r="TEB323" s="14"/>
      <c r="TEC323" s="14"/>
      <c r="TED323" s="14"/>
      <c r="TEE323" s="14"/>
      <c r="TEF323" s="14"/>
      <c r="TEG323" s="14"/>
      <c r="TEH323" s="14"/>
      <c r="TEI323" s="14"/>
      <c r="TEJ323" s="14"/>
      <c r="TEK323" s="14"/>
      <c r="TEL323" s="14"/>
      <c r="TEM323" s="14"/>
      <c r="TEN323" s="14"/>
      <c r="TEO323" s="14"/>
      <c r="TEP323" s="14"/>
      <c r="TEQ323" s="14"/>
      <c r="TER323" s="14"/>
      <c r="TES323" s="14"/>
      <c r="TET323" s="14"/>
      <c r="TEU323" s="14"/>
      <c r="TEV323" s="14"/>
      <c r="TEW323" s="14"/>
      <c r="TEX323" s="14"/>
      <c r="TEY323" s="14"/>
      <c r="TEZ323" s="14"/>
      <c r="TFA323" s="14"/>
      <c r="TFB323" s="14"/>
      <c r="TFC323" s="14"/>
      <c r="TFD323" s="14"/>
      <c r="TFE323" s="14"/>
      <c r="TFF323" s="14"/>
      <c r="TFG323" s="14"/>
      <c r="TFH323" s="14"/>
      <c r="TFI323" s="14"/>
      <c r="TFJ323" s="14"/>
      <c r="TFK323" s="14"/>
      <c r="TFL323" s="14"/>
      <c r="TFM323" s="14"/>
      <c r="TFN323" s="14"/>
      <c r="TFO323" s="14"/>
      <c r="TFP323" s="14"/>
      <c r="TFQ323" s="14"/>
      <c r="TFR323" s="14"/>
      <c r="TFS323" s="14"/>
      <c r="TFT323" s="14"/>
      <c r="TFU323" s="14"/>
      <c r="TFV323" s="14"/>
      <c r="TFW323" s="14"/>
      <c r="TFX323" s="14"/>
      <c r="TFY323" s="14"/>
      <c r="TFZ323" s="14"/>
      <c r="TGA323" s="14"/>
      <c r="TGB323" s="14"/>
      <c r="TGC323" s="14"/>
      <c r="TGD323" s="14"/>
      <c r="TGE323" s="14"/>
      <c r="TGF323" s="14"/>
      <c r="TGG323" s="14"/>
      <c r="TGH323" s="14"/>
      <c r="TGI323" s="14"/>
      <c r="TGJ323" s="14"/>
      <c r="TGK323" s="14"/>
      <c r="TGL323" s="14"/>
      <c r="TGM323" s="14"/>
      <c r="TGN323" s="14"/>
      <c r="TGO323" s="14"/>
      <c r="TGP323" s="14"/>
      <c r="TGQ323" s="14"/>
      <c r="TGR323" s="14"/>
      <c r="TGS323" s="14"/>
      <c r="TGT323" s="14"/>
      <c r="TGU323" s="14"/>
      <c r="TGV323" s="14"/>
      <c r="TGW323" s="14"/>
      <c r="TGX323" s="14"/>
      <c r="TGY323" s="14"/>
      <c r="TGZ323" s="14"/>
      <c r="THA323" s="14"/>
      <c r="THB323" s="14"/>
      <c r="THC323" s="14"/>
      <c r="THD323" s="14"/>
      <c r="THE323" s="14"/>
      <c r="THF323" s="14"/>
      <c r="THG323" s="14"/>
      <c r="THH323" s="14"/>
      <c r="THI323" s="14"/>
      <c r="THJ323" s="14"/>
      <c r="THK323" s="14"/>
      <c r="THL323" s="14"/>
      <c r="THM323" s="14"/>
      <c r="THN323" s="14"/>
      <c r="THO323" s="14"/>
      <c r="THP323" s="14"/>
      <c r="THQ323" s="14"/>
      <c r="THR323" s="14"/>
      <c r="THS323" s="14"/>
      <c r="THT323" s="14"/>
      <c r="THU323" s="14"/>
      <c r="THV323" s="14"/>
      <c r="THW323" s="14"/>
      <c r="THX323" s="14"/>
      <c r="THY323" s="14"/>
      <c r="THZ323" s="14"/>
      <c r="TIA323" s="14"/>
      <c r="TIB323" s="14"/>
      <c r="TIC323" s="14"/>
      <c r="TID323" s="14"/>
      <c r="TIE323" s="14"/>
      <c r="TIF323" s="14"/>
      <c r="TIG323" s="14"/>
      <c r="TIH323" s="14"/>
      <c r="TII323" s="14"/>
      <c r="TIJ323" s="14"/>
      <c r="TIK323" s="14"/>
      <c r="TIL323" s="14"/>
      <c r="TIM323" s="14"/>
      <c r="TIN323" s="14"/>
      <c r="TIO323" s="14"/>
      <c r="TIP323" s="14"/>
      <c r="TIQ323" s="14"/>
      <c r="TIR323" s="14"/>
      <c r="TIS323" s="14"/>
      <c r="TIT323" s="14"/>
      <c r="TIU323" s="14"/>
      <c r="TIV323" s="14"/>
      <c r="TIW323" s="14"/>
      <c r="TIX323" s="14"/>
      <c r="TIY323" s="14"/>
      <c r="TIZ323" s="14"/>
      <c r="TJA323" s="14"/>
      <c r="TJB323" s="14"/>
      <c r="TJC323" s="14"/>
      <c r="TJD323" s="14"/>
      <c r="TJE323" s="14"/>
      <c r="TJF323" s="14"/>
      <c r="TJG323" s="14"/>
      <c r="TJH323" s="14"/>
      <c r="TJI323" s="14"/>
      <c r="TJJ323" s="14"/>
      <c r="TJK323" s="14"/>
      <c r="TJL323" s="14"/>
      <c r="TJM323" s="14"/>
      <c r="TJN323" s="14"/>
      <c r="TJO323" s="14"/>
      <c r="TJP323" s="14"/>
      <c r="TJQ323" s="14"/>
      <c r="TJR323" s="14"/>
      <c r="TJS323" s="14"/>
      <c r="TJT323" s="14"/>
      <c r="TJU323" s="14"/>
      <c r="TJV323" s="14"/>
      <c r="TJW323" s="14"/>
      <c r="TJX323" s="14"/>
      <c r="TJY323" s="14"/>
      <c r="TJZ323" s="14"/>
      <c r="TKA323" s="14"/>
      <c r="TKB323" s="14"/>
      <c r="TKC323" s="14"/>
      <c r="TKD323" s="14"/>
      <c r="TKE323" s="14"/>
      <c r="TKF323" s="14"/>
      <c r="TKG323" s="14"/>
      <c r="TKH323" s="14"/>
      <c r="TKI323" s="14"/>
      <c r="TKJ323" s="14"/>
      <c r="TKK323" s="14"/>
      <c r="TKL323" s="14"/>
      <c r="TKM323" s="14"/>
      <c r="TKN323" s="14"/>
      <c r="TKO323" s="14"/>
      <c r="TKP323" s="14"/>
      <c r="TKQ323" s="14"/>
      <c r="TKR323" s="14"/>
      <c r="TKS323" s="14"/>
      <c r="TKT323" s="14"/>
      <c r="TKU323" s="14"/>
      <c r="TKV323" s="14"/>
      <c r="TKW323" s="14"/>
      <c r="TKX323" s="14"/>
      <c r="TKY323" s="14"/>
      <c r="TKZ323" s="14"/>
      <c r="TLA323" s="14"/>
      <c r="TLB323" s="14"/>
      <c r="TLC323" s="14"/>
      <c r="TLD323" s="14"/>
      <c r="TLE323" s="14"/>
      <c r="TLF323" s="14"/>
      <c r="TLG323" s="14"/>
      <c r="TLH323" s="14"/>
      <c r="TLI323" s="14"/>
      <c r="TLJ323" s="14"/>
      <c r="TLK323" s="14"/>
      <c r="TLL323" s="14"/>
      <c r="TLM323" s="14"/>
      <c r="TLN323" s="14"/>
      <c r="TLO323" s="14"/>
      <c r="TLP323" s="14"/>
      <c r="TLQ323" s="14"/>
      <c r="TLR323" s="14"/>
      <c r="TLS323" s="14"/>
      <c r="TLT323" s="14"/>
      <c r="TLU323" s="14"/>
      <c r="TLV323" s="14"/>
      <c r="TLW323" s="14"/>
      <c r="TLX323" s="14"/>
      <c r="TLY323" s="14"/>
      <c r="TLZ323" s="14"/>
      <c r="TMA323" s="14"/>
      <c r="TMB323" s="14"/>
      <c r="TMC323" s="14"/>
      <c r="TMD323" s="14"/>
      <c r="TME323" s="14"/>
      <c r="TMF323" s="14"/>
      <c r="TMG323" s="14"/>
      <c r="TMH323" s="14"/>
      <c r="TMI323" s="14"/>
      <c r="TMJ323" s="14"/>
      <c r="TMK323" s="14"/>
      <c r="TML323" s="14"/>
      <c r="TMM323" s="14"/>
      <c r="TMN323" s="14"/>
      <c r="TMO323" s="14"/>
      <c r="TMP323" s="14"/>
      <c r="TMQ323" s="14"/>
      <c r="TMR323" s="14"/>
      <c r="TMS323" s="14"/>
      <c r="TMT323" s="14"/>
      <c r="TMU323" s="14"/>
      <c r="TMV323" s="14"/>
      <c r="TMW323" s="14"/>
      <c r="TMX323" s="14"/>
      <c r="TMY323" s="14"/>
      <c r="TMZ323" s="14"/>
      <c r="TNA323" s="14"/>
      <c r="TNB323" s="14"/>
      <c r="TNC323" s="14"/>
      <c r="TND323" s="14"/>
      <c r="TNE323" s="14"/>
      <c r="TNF323" s="14"/>
      <c r="TNG323" s="14"/>
      <c r="TNH323" s="14"/>
      <c r="TNI323" s="14"/>
      <c r="TNJ323" s="14"/>
      <c r="TNK323" s="14"/>
      <c r="TNL323" s="14"/>
      <c r="TNM323" s="14"/>
      <c r="TNN323" s="14"/>
      <c r="TNO323" s="14"/>
      <c r="TNP323" s="14"/>
      <c r="TNQ323" s="14"/>
      <c r="TNR323" s="14"/>
      <c r="TNS323" s="14"/>
      <c r="TNT323" s="14"/>
      <c r="TNU323" s="14"/>
      <c r="TNV323" s="14"/>
      <c r="TNW323" s="14"/>
      <c r="TNX323" s="14"/>
      <c r="TNY323" s="14"/>
      <c r="TNZ323" s="14"/>
      <c r="TOA323" s="14"/>
      <c r="TOB323" s="14"/>
      <c r="TOC323" s="14"/>
      <c r="TOD323" s="14"/>
      <c r="TOE323" s="14"/>
      <c r="TOF323" s="14"/>
      <c r="TOG323" s="14"/>
      <c r="TOH323" s="14"/>
      <c r="TOI323" s="14"/>
      <c r="TOJ323" s="14"/>
      <c r="TOK323" s="14"/>
      <c r="TOL323" s="14"/>
      <c r="TOM323" s="14"/>
      <c r="TON323" s="14"/>
      <c r="TOO323" s="14"/>
      <c r="TOP323" s="14"/>
      <c r="TOQ323" s="14"/>
      <c r="TOR323" s="14"/>
      <c r="TOS323" s="14"/>
      <c r="TOT323" s="14"/>
      <c r="TOU323" s="14"/>
      <c r="TOV323" s="14"/>
      <c r="TOW323" s="14"/>
      <c r="TOX323" s="14"/>
      <c r="TOY323" s="14"/>
      <c r="TOZ323" s="14"/>
      <c r="TPA323" s="14"/>
      <c r="TPB323" s="14"/>
      <c r="TPC323" s="14"/>
      <c r="TPD323" s="14"/>
      <c r="TPE323" s="14"/>
      <c r="TPF323" s="14"/>
      <c r="TPG323" s="14"/>
      <c r="TPH323" s="14"/>
      <c r="TPI323" s="14"/>
      <c r="TPJ323" s="14"/>
      <c r="TPK323" s="14"/>
      <c r="TPL323" s="14"/>
      <c r="TPM323" s="14"/>
      <c r="TPN323" s="14"/>
      <c r="TPO323" s="14"/>
      <c r="TPP323" s="14"/>
      <c r="TPQ323" s="14"/>
      <c r="TPR323" s="14"/>
      <c r="TPS323" s="14"/>
      <c r="TPT323" s="14"/>
      <c r="TPU323" s="14"/>
      <c r="TPV323" s="14"/>
      <c r="TPW323" s="14"/>
      <c r="TPX323" s="14"/>
      <c r="TPY323" s="14"/>
      <c r="TPZ323" s="14"/>
      <c r="TQA323" s="14"/>
      <c r="TQB323" s="14"/>
      <c r="TQC323" s="14"/>
      <c r="TQD323" s="14"/>
      <c r="TQE323" s="14"/>
      <c r="TQF323" s="14"/>
      <c r="TQG323" s="14"/>
      <c r="TQH323" s="14"/>
      <c r="TQI323" s="14"/>
      <c r="TQJ323" s="14"/>
      <c r="TQK323" s="14"/>
      <c r="TQL323" s="14"/>
      <c r="TQM323" s="14"/>
      <c r="TQN323" s="14"/>
      <c r="TQO323" s="14"/>
      <c r="TQP323" s="14"/>
      <c r="TQQ323" s="14"/>
      <c r="TQR323" s="14"/>
      <c r="TQS323" s="14"/>
      <c r="TQT323" s="14"/>
      <c r="TQU323" s="14"/>
      <c r="TQV323" s="14"/>
      <c r="TQW323" s="14"/>
      <c r="TQX323" s="14"/>
      <c r="TQY323" s="14"/>
      <c r="TQZ323" s="14"/>
      <c r="TRA323" s="14"/>
      <c r="TRB323" s="14"/>
      <c r="TRC323" s="14"/>
      <c r="TRD323" s="14"/>
      <c r="TRE323" s="14"/>
      <c r="TRF323" s="14"/>
      <c r="TRG323" s="14"/>
      <c r="TRH323" s="14"/>
      <c r="TRI323" s="14"/>
      <c r="TRJ323" s="14"/>
      <c r="TRK323" s="14"/>
      <c r="TRL323" s="14"/>
      <c r="TRM323" s="14"/>
      <c r="TRN323" s="14"/>
      <c r="TRO323" s="14"/>
      <c r="TRP323" s="14"/>
      <c r="TRQ323" s="14"/>
      <c r="TRR323" s="14"/>
      <c r="TRS323" s="14"/>
      <c r="TRT323" s="14"/>
      <c r="TRU323" s="14"/>
      <c r="TRV323" s="14"/>
      <c r="TRW323" s="14"/>
      <c r="TRX323" s="14"/>
      <c r="TRY323" s="14"/>
      <c r="TRZ323" s="14"/>
      <c r="TSA323" s="14"/>
      <c r="TSB323" s="14"/>
      <c r="TSC323" s="14"/>
      <c r="TSD323" s="14"/>
      <c r="TSE323" s="14"/>
      <c r="TSF323" s="14"/>
      <c r="TSG323" s="14"/>
      <c r="TSH323" s="14"/>
      <c r="TSI323" s="14"/>
      <c r="TSJ323" s="14"/>
      <c r="TSK323" s="14"/>
      <c r="TSL323" s="14"/>
      <c r="TSM323" s="14"/>
      <c r="TSN323" s="14"/>
      <c r="TSO323" s="14"/>
      <c r="TSP323" s="14"/>
      <c r="TSQ323" s="14"/>
      <c r="TSR323" s="14"/>
      <c r="TSS323" s="14"/>
      <c r="TST323" s="14"/>
      <c r="TSU323" s="14"/>
      <c r="TSV323" s="14"/>
      <c r="TSW323" s="14"/>
      <c r="TSX323" s="14"/>
      <c r="TSY323" s="14"/>
      <c r="TSZ323" s="14"/>
      <c r="TTA323" s="14"/>
      <c r="TTB323" s="14"/>
      <c r="TTC323" s="14"/>
      <c r="TTD323" s="14"/>
      <c r="TTE323" s="14"/>
      <c r="TTF323" s="14"/>
      <c r="TTG323" s="14"/>
      <c r="TTH323" s="14"/>
      <c r="TTI323" s="14"/>
      <c r="TTJ323" s="14"/>
      <c r="TTK323" s="14"/>
      <c r="TTL323" s="14"/>
      <c r="TTM323" s="14"/>
      <c r="TTN323" s="14"/>
      <c r="TTO323" s="14"/>
      <c r="TTP323" s="14"/>
      <c r="TTQ323" s="14"/>
      <c r="TTR323" s="14"/>
      <c r="TTS323" s="14"/>
      <c r="TTT323" s="14"/>
      <c r="TTU323" s="14"/>
      <c r="TTV323" s="14"/>
      <c r="TTW323" s="14"/>
      <c r="TTX323" s="14"/>
      <c r="TTY323" s="14"/>
      <c r="TTZ323" s="14"/>
      <c r="TUA323" s="14"/>
      <c r="TUB323" s="14"/>
      <c r="TUC323" s="14"/>
      <c r="TUD323" s="14"/>
      <c r="TUE323" s="14"/>
      <c r="TUF323" s="14"/>
      <c r="TUG323" s="14"/>
      <c r="TUH323" s="14"/>
      <c r="TUI323" s="14"/>
      <c r="TUJ323" s="14"/>
      <c r="TUK323" s="14"/>
      <c r="TUL323" s="14"/>
      <c r="TUM323" s="14"/>
      <c r="TUN323" s="14"/>
      <c r="TUO323" s="14"/>
      <c r="TUP323" s="14"/>
      <c r="TUQ323" s="14"/>
      <c r="TUR323" s="14"/>
      <c r="TUS323" s="14"/>
      <c r="TUT323" s="14"/>
      <c r="TUU323" s="14"/>
      <c r="TUV323" s="14"/>
      <c r="TUW323" s="14"/>
      <c r="TUX323" s="14"/>
      <c r="TUY323" s="14"/>
      <c r="TUZ323" s="14"/>
      <c r="TVA323" s="14"/>
      <c r="TVB323" s="14"/>
      <c r="TVC323" s="14"/>
      <c r="TVD323" s="14"/>
      <c r="TVE323" s="14"/>
      <c r="TVF323" s="14"/>
      <c r="TVG323" s="14"/>
      <c r="TVH323" s="14"/>
      <c r="TVI323" s="14"/>
      <c r="TVJ323" s="14"/>
      <c r="TVK323" s="14"/>
      <c r="TVL323" s="14"/>
      <c r="TVM323" s="14"/>
      <c r="TVN323" s="14"/>
      <c r="TVO323" s="14"/>
      <c r="TVP323" s="14"/>
      <c r="TVQ323" s="14"/>
      <c r="TVR323" s="14"/>
      <c r="TVS323" s="14"/>
      <c r="TVT323" s="14"/>
      <c r="TVU323" s="14"/>
      <c r="TVV323" s="14"/>
      <c r="TVW323" s="14"/>
      <c r="TVX323" s="14"/>
      <c r="TVY323" s="14"/>
      <c r="TVZ323" s="14"/>
      <c r="TWA323" s="14"/>
      <c r="TWB323" s="14"/>
      <c r="TWC323" s="14"/>
      <c r="TWD323" s="14"/>
      <c r="TWE323" s="14"/>
      <c r="TWF323" s="14"/>
      <c r="TWG323" s="14"/>
      <c r="TWH323" s="14"/>
      <c r="TWI323" s="14"/>
      <c r="TWJ323" s="14"/>
      <c r="TWK323" s="14"/>
      <c r="TWL323" s="14"/>
      <c r="TWM323" s="14"/>
      <c r="TWN323" s="14"/>
      <c r="TWO323" s="14"/>
      <c r="TWP323" s="14"/>
      <c r="TWQ323" s="14"/>
      <c r="TWR323" s="14"/>
      <c r="TWS323" s="14"/>
      <c r="TWT323" s="14"/>
      <c r="TWU323" s="14"/>
      <c r="TWV323" s="14"/>
      <c r="TWW323" s="14"/>
      <c r="TWX323" s="14"/>
      <c r="TWY323" s="14"/>
      <c r="TWZ323" s="14"/>
      <c r="TXA323" s="14"/>
      <c r="TXB323" s="14"/>
      <c r="TXC323" s="14"/>
      <c r="TXD323" s="14"/>
      <c r="TXE323" s="14"/>
      <c r="TXF323" s="14"/>
      <c r="TXG323" s="14"/>
      <c r="TXH323" s="14"/>
      <c r="TXI323" s="14"/>
      <c r="TXJ323" s="14"/>
      <c r="TXK323" s="14"/>
      <c r="TXL323" s="14"/>
      <c r="TXM323" s="14"/>
      <c r="TXN323" s="14"/>
      <c r="TXO323" s="14"/>
      <c r="TXP323" s="14"/>
      <c r="TXQ323" s="14"/>
      <c r="TXR323" s="14"/>
      <c r="TXS323" s="14"/>
      <c r="TXT323" s="14"/>
      <c r="TXU323" s="14"/>
      <c r="TXV323" s="14"/>
      <c r="TXW323" s="14"/>
      <c r="TXX323" s="14"/>
      <c r="TXY323" s="14"/>
      <c r="TXZ323" s="14"/>
      <c r="TYA323" s="14"/>
      <c r="TYB323" s="14"/>
      <c r="TYC323" s="14"/>
      <c r="TYD323" s="14"/>
      <c r="TYE323" s="14"/>
      <c r="TYF323" s="14"/>
      <c r="TYG323" s="14"/>
      <c r="TYH323" s="14"/>
      <c r="TYI323" s="14"/>
      <c r="TYJ323" s="14"/>
      <c r="TYK323" s="14"/>
      <c r="TYL323" s="14"/>
      <c r="TYM323" s="14"/>
      <c r="TYN323" s="14"/>
      <c r="TYO323" s="14"/>
      <c r="TYP323" s="14"/>
      <c r="TYQ323" s="14"/>
      <c r="TYR323" s="14"/>
      <c r="TYS323" s="14"/>
      <c r="TYT323" s="14"/>
      <c r="TYU323" s="14"/>
      <c r="TYV323" s="14"/>
      <c r="TYW323" s="14"/>
      <c r="TYX323" s="14"/>
      <c r="TYY323" s="14"/>
      <c r="TYZ323" s="14"/>
      <c r="TZA323" s="14"/>
      <c r="TZB323" s="14"/>
      <c r="TZC323" s="14"/>
      <c r="TZD323" s="14"/>
      <c r="TZE323" s="14"/>
      <c r="TZF323" s="14"/>
      <c r="TZG323" s="14"/>
      <c r="TZH323" s="14"/>
      <c r="TZI323" s="14"/>
      <c r="TZJ323" s="14"/>
      <c r="TZK323" s="14"/>
      <c r="TZL323" s="14"/>
      <c r="TZM323" s="14"/>
      <c r="TZN323" s="14"/>
      <c r="TZO323" s="14"/>
      <c r="TZP323" s="14"/>
      <c r="TZQ323" s="14"/>
      <c r="TZR323" s="14"/>
      <c r="TZS323" s="14"/>
      <c r="TZT323" s="14"/>
      <c r="TZU323" s="14"/>
      <c r="TZV323" s="14"/>
      <c r="TZW323" s="14"/>
      <c r="TZX323" s="14"/>
      <c r="TZY323" s="14"/>
      <c r="TZZ323" s="14"/>
      <c r="UAA323" s="14"/>
      <c r="UAB323" s="14"/>
      <c r="UAC323" s="14"/>
      <c r="UAD323" s="14"/>
      <c r="UAE323" s="14"/>
      <c r="UAF323" s="14"/>
      <c r="UAG323" s="14"/>
      <c r="UAH323" s="14"/>
      <c r="UAI323" s="14"/>
      <c r="UAJ323" s="14"/>
      <c r="UAK323" s="14"/>
      <c r="UAL323" s="14"/>
      <c r="UAM323" s="14"/>
      <c r="UAN323" s="14"/>
      <c r="UAO323" s="14"/>
      <c r="UAP323" s="14"/>
      <c r="UAQ323" s="14"/>
      <c r="UAR323" s="14"/>
      <c r="UAS323" s="14"/>
      <c r="UAT323" s="14"/>
      <c r="UAU323" s="14"/>
      <c r="UAV323" s="14"/>
      <c r="UAW323" s="14"/>
      <c r="UAX323" s="14"/>
      <c r="UAY323" s="14"/>
      <c r="UAZ323" s="14"/>
      <c r="UBA323" s="14"/>
      <c r="UBB323" s="14"/>
      <c r="UBC323" s="14"/>
      <c r="UBD323" s="14"/>
      <c r="UBE323" s="14"/>
      <c r="UBF323" s="14"/>
      <c r="UBG323" s="14"/>
      <c r="UBH323" s="14"/>
      <c r="UBI323" s="14"/>
      <c r="UBJ323" s="14"/>
      <c r="UBK323" s="14"/>
      <c r="UBL323" s="14"/>
      <c r="UBM323" s="14"/>
      <c r="UBN323" s="14"/>
      <c r="UBO323" s="14"/>
      <c r="UBP323" s="14"/>
      <c r="UBQ323" s="14"/>
      <c r="UBR323" s="14"/>
      <c r="UBS323" s="14"/>
      <c r="UBT323" s="14"/>
      <c r="UBU323" s="14"/>
      <c r="UBV323" s="14"/>
      <c r="UBW323" s="14"/>
      <c r="UBX323" s="14"/>
      <c r="UBY323" s="14"/>
      <c r="UBZ323" s="14"/>
      <c r="UCA323" s="14"/>
      <c r="UCB323" s="14"/>
      <c r="UCC323" s="14"/>
      <c r="UCD323" s="14"/>
      <c r="UCE323" s="14"/>
      <c r="UCF323" s="14"/>
      <c r="UCG323" s="14"/>
      <c r="UCH323" s="14"/>
      <c r="UCI323" s="14"/>
      <c r="UCJ323" s="14"/>
      <c r="UCK323" s="14"/>
      <c r="UCL323" s="14"/>
      <c r="UCM323" s="14"/>
      <c r="UCN323" s="14"/>
      <c r="UCO323" s="14"/>
      <c r="UCP323" s="14"/>
      <c r="UCQ323" s="14"/>
      <c r="UCR323" s="14"/>
      <c r="UCS323" s="14"/>
      <c r="UCT323" s="14"/>
      <c r="UCU323" s="14"/>
      <c r="UCV323" s="14"/>
      <c r="UCW323" s="14"/>
      <c r="UCX323" s="14"/>
      <c r="UCY323" s="14"/>
      <c r="UCZ323" s="14"/>
      <c r="UDA323" s="14"/>
      <c r="UDB323" s="14"/>
      <c r="UDC323" s="14"/>
      <c r="UDD323" s="14"/>
      <c r="UDE323" s="14"/>
      <c r="UDF323" s="14"/>
      <c r="UDG323" s="14"/>
      <c r="UDH323" s="14"/>
      <c r="UDI323" s="14"/>
      <c r="UDJ323" s="14"/>
      <c r="UDK323" s="14"/>
      <c r="UDL323" s="14"/>
      <c r="UDM323" s="14"/>
      <c r="UDN323" s="14"/>
      <c r="UDO323" s="14"/>
      <c r="UDP323" s="14"/>
      <c r="UDQ323" s="14"/>
      <c r="UDR323" s="14"/>
      <c r="UDS323" s="14"/>
      <c r="UDT323" s="14"/>
      <c r="UDU323" s="14"/>
      <c r="UDV323" s="14"/>
      <c r="UDW323" s="14"/>
      <c r="UDX323" s="14"/>
      <c r="UDY323" s="14"/>
      <c r="UDZ323" s="14"/>
      <c r="UEA323" s="14"/>
      <c r="UEB323" s="14"/>
      <c r="UEC323" s="14"/>
      <c r="UED323" s="14"/>
      <c r="UEE323" s="14"/>
      <c r="UEF323" s="14"/>
      <c r="UEG323" s="14"/>
      <c r="UEH323" s="14"/>
      <c r="UEI323" s="14"/>
      <c r="UEJ323" s="14"/>
      <c r="UEK323" s="14"/>
      <c r="UEL323" s="14"/>
      <c r="UEM323" s="14"/>
      <c r="UEN323" s="14"/>
      <c r="UEO323" s="14"/>
      <c r="UEP323" s="14"/>
      <c r="UEQ323" s="14"/>
      <c r="UER323" s="14"/>
      <c r="UES323" s="14"/>
      <c r="UET323" s="14"/>
      <c r="UEU323" s="14"/>
      <c r="UEV323" s="14"/>
      <c r="UEW323" s="14"/>
      <c r="UEX323" s="14"/>
      <c r="UEY323" s="14"/>
      <c r="UEZ323" s="14"/>
      <c r="UFA323" s="14"/>
      <c r="UFB323" s="14"/>
      <c r="UFC323" s="14"/>
      <c r="UFD323" s="14"/>
      <c r="UFE323" s="14"/>
      <c r="UFF323" s="14"/>
      <c r="UFG323" s="14"/>
      <c r="UFH323" s="14"/>
      <c r="UFI323" s="14"/>
      <c r="UFJ323" s="14"/>
      <c r="UFK323" s="14"/>
      <c r="UFL323" s="14"/>
      <c r="UFM323" s="14"/>
      <c r="UFN323" s="14"/>
      <c r="UFO323" s="14"/>
      <c r="UFP323" s="14"/>
      <c r="UFQ323" s="14"/>
      <c r="UFR323" s="14"/>
      <c r="UFS323" s="14"/>
      <c r="UFT323" s="14"/>
      <c r="UFU323" s="14"/>
      <c r="UFV323" s="14"/>
      <c r="UFW323" s="14"/>
      <c r="UFX323" s="14"/>
      <c r="UFY323" s="14"/>
      <c r="UFZ323" s="14"/>
      <c r="UGA323" s="14"/>
      <c r="UGB323" s="14"/>
      <c r="UGC323" s="14"/>
      <c r="UGD323" s="14"/>
      <c r="UGE323" s="14"/>
      <c r="UGF323" s="14"/>
      <c r="UGG323" s="14"/>
      <c r="UGH323" s="14"/>
      <c r="UGI323" s="14"/>
      <c r="UGJ323" s="14"/>
      <c r="UGK323" s="14"/>
      <c r="UGL323" s="14"/>
      <c r="UGM323" s="14"/>
      <c r="UGN323" s="14"/>
      <c r="UGO323" s="14"/>
      <c r="UGP323" s="14"/>
      <c r="UGQ323" s="14"/>
      <c r="UGR323" s="14"/>
      <c r="UGS323" s="14"/>
      <c r="UGT323" s="14"/>
      <c r="UGU323" s="14"/>
      <c r="UGV323" s="14"/>
      <c r="UGW323" s="14"/>
      <c r="UGX323" s="14"/>
      <c r="UGY323" s="14"/>
      <c r="UGZ323" s="14"/>
      <c r="UHA323" s="14"/>
      <c r="UHB323" s="14"/>
      <c r="UHC323" s="14"/>
      <c r="UHD323" s="14"/>
      <c r="UHE323" s="14"/>
      <c r="UHF323" s="14"/>
      <c r="UHG323" s="14"/>
      <c r="UHH323" s="14"/>
      <c r="UHI323" s="14"/>
      <c r="UHJ323" s="14"/>
      <c r="UHK323" s="14"/>
      <c r="UHL323" s="14"/>
      <c r="UHM323" s="14"/>
      <c r="UHN323" s="14"/>
      <c r="UHO323" s="14"/>
      <c r="UHP323" s="14"/>
      <c r="UHQ323" s="14"/>
      <c r="UHR323" s="14"/>
      <c r="UHS323" s="14"/>
      <c r="UHT323" s="14"/>
      <c r="UHU323" s="14"/>
      <c r="UHV323" s="14"/>
      <c r="UHW323" s="14"/>
      <c r="UHX323" s="14"/>
      <c r="UHY323" s="14"/>
      <c r="UHZ323" s="14"/>
      <c r="UIA323" s="14"/>
      <c r="UIB323" s="14"/>
      <c r="UIC323" s="14"/>
      <c r="UID323" s="14"/>
      <c r="UIE323" s="14"/>
      <c r="UIF323" s="14"/>
      <c r="UIG323" s="14"/>
      <c r="UIH323" s="14"/>
      <c r="UII323" s="14"/>
      <c r="UIJ323" s="14"/>
      <c r="UIK323" s="14"/>
      <c r="UIL323" s="14"/>
      <c r="UIM323" s="14"/>
      <c r="UIN323" s="14"/>
      <c r="UIO323" s="14"/>
      <c r="UIP323" s="14"/>
      <c r="UIQ323" s="14"/>
      <c r="UIR323" s="14"/>
      <c r="UIS323" s="14"/>
      <c r="UIT323" s="14"/>
      <c r="UIU323" s="14"/>
      <c r="UIV323" s="14"/>
      <c r="UIW323" s="14"/>
      <c r="UIX323" s="14"/>
      <c r="UIY323" s="14"/>
      <c r="UIZ323" s="14"/>
      <c r="UJA323" s="14"/>
      <c r="UJB323" s="14"/>
      <c r="UJC323" s="14"/>
      <c r="UJD323" s="14"/>
      <c r="UJE323" s="14"/>
      <c r="UJF323" s="14"/>
      <c r="UJG323" s="14"/>
      <c r="UJH323" s="14"/>
      <c r="UJI323" s="14"/>
      <c r="UJJ323" s="14"/>
      <c r="UJK323" s="14"/>
      <c r="UJL323" s="14"/>
      <c r="UJM323" s="14"/>
      <c r="UJN323" s="14"/>
      <c r="UJO323" s="14"/>
      <c r="UJP323" s="14"/>
      <c r="UJQ323" s="14"/>
      <c r="UJR323" s="14"/>
      <c r="UJS323" s="14"/>
      <c r="UJT323" s="14"/>
      <c r="UJU323" s="14"/>
      <c r="UJV323" s="14"/>
      <c r="UJW323" s="14"/>
      <c r="UJX323" s="14"/>
      <c r="UJY323" s="14"/>
      <c r="UJZ323" s="14"/>
      <c r="UKA323" s="14"/>
      <c r="UKB323" s="14"/>
      <c r="UKC323" s="14"/>
      <c r="UKD323" s="14"/>
      <c r="UKE323" s="14"/>
      <c r="UKF323" s="14"/>
      <c r="UKG323" s="14"/>
      <c r="UKH323" s="14"/>
      <c r="UKI323" s="14"/>
      <c r="UKJ323" s="14"/>
      <c r="UKK323" s="14"/>
      <c r="UKL323" s="14"/>
      <c r="UKM323" s="14"/>
      <c r="UKN323" s="14"/>
      <c r="UKO323" s="14"/>
      <c r="UKP323" s="14"/>
      <c r="UKQ323" s="14"/>
      <c r="UKR323" s="14"/>
      <c r="UKS323" s="14"/>
      <c r="UKT323" s="14"/>
      <c r="UKU323" s="14"/>
      <c r="UKV323" s="14"/>
      <c r="UKW323" s="14"/>
      <c r="UKX323" s="14"/>
      <c r="UKY323" s="14"/>
      <c r="UKZ323" s="14"/>
      <c r="ULA323" s="14"/>
      <c r="ULB323" s="14"/>
      <c r="ULC323" s="14"/>
      <c r="ULD323" s="14"/>
      <c r="ULE323" s="14"/>
      <c r="ULF323" s="14"/>
      <c r="ULG323" s="14"/>
      <c r="ULH323" s="14"/>
      <c r="ULI323" s="14"/>
      <c r="ULJ323" s="14"/>
      <c r="ULK323" s="14"/>
      <c r="ULL323" s="14"/>
      <c r="ULM323" s="14"/>
      <c r="ULN323" s="14"/>
      <c r="ULO323" s="14"/>
      <c r="ULP323" s="14"/>
      <c r="ULQ323" s="14"/>
      <c r="ULR323" s="14"/>
      <c r="ULS323" s="14"/>
      <c r="ULT323" s="14"/>
      <c r="ULU323" s="14"/>
      <c r="ULV323" s="14"/>
      <c r="ULW323" s="14"/>
      <c r="ULX323" s="14"/>
      <c r="ULY323" s="14"/>
      <c r="ULZ323" s="14"/>
      <c r="UMA323" s="14"/>
      <c r="UMB323" s="14"/>
      <c r="UMC323" s="14"/>
      <c r="UMD323" s="14"/>
      <c r="UME323" s="14"/>
      <c r="UMF323" s="14"/>
      <c r="UMG323" s="14"/>
      <c r="UMH323" s="14"/>
      <c r="UMI323" s="14"/>
      <c r="UMJ323" s="14"/>
      <c r="UMK323" s="14"/>
      <c r="UML323" s="14"/>
      <c r="UMM323" s="14"/>
      <c r="UMN323" s="14"/>
      <c r="UMO323" s="14"/>
      <c r="UMP323" s="14"/>
      <c r="UMQ323" s="14"/>
      <c r="UMR323" s="14"/>
      <c r="UMS323" s="14"/>
      <c r="UMT323" s="14"/>
      <c r="UMU323" s="14"/>
      <c r="UMV323" s="14"/>
      <c r="UMW323" s="14"/>
      <c r="UMX323" s="14"/>
      <c r="UMY323" s="14"/>
      <c r="UMZ323" s="14"/>
      <c r="UNA323" s="14"/>
      <c r="UNB323" s="14"/>
      <c r="UNC323" s="14"/>
      <c r="UND323" s="14"/>
      <c r="UNE323" s="14"/>
      <c r="UNF323" s="14"/>
      <c r="UNG323" s="14"/>
      <c r="UNH323" s="14"/>
      <c r="UNI323" s="14"/>
      <c r="UNJ323" s="14"/>
      <c r="UNK323" s="14"/>
      <c r="UNL323" s="14"/>
      <c r="UNM323" s="14"/>
      <c r="UNN323" s="14"/>
      <c r="UNO323" s="14"/>
      <c r="UNP323" s="14"/>
      <c r="UNQ323" s="14"/>
      <c r="UNR323" s="14"/>
      <c r="UNS323" s="14"/>
      <c r="UNT323" s="14"/>
      <c r="UNU323" s="14"/>
      <c r="UNV323" s="14"/>
      <c r="UNW323" s="14"/>
      <c r="UNX323" s="14"/>
      <c r="UNY323" s="14"/>
      <c r="UNZ323" s="14"/>
      <c r="UOA323" s="14"/>
      <c r="UOB323" s="14"/>
      <c r="UOC323" s="14"/>
      <c r="UOD323" s="14"/>
      <c r="UOE323" s="14"/>
      <c r="UOF323" s="14"/>
      <c r="UOG323" s="14"/>
      <c r="UOH323" s="14"/>
      <c r="UOI323" s="14"/>
      <c r="UOJ323" s="14"/>
      <c r="UOK323" s="14"/>
      <c r="UOL323" s="14"/>
      <c r="UOM323" s="14"/>
      <c r="UON323" s="14"/>
      <c r="UOO323" s="14"/>
      <c r="UOP323" s="14"/>
      <c r="UOQ323" s="14"/>
      <c r="UOR323" s="14"/>
      <c r="UOS323" s="14"/>
      <c r="UOT323" s="14"/>
      <c r="UOU323" s="14"/>
      <c r="UOV323" s="14"/>
      <c r="UOW323" s="14"/>
      <c r="UOX323" s="14"/>
      <c r="UOY323" s="14"/>
      <c r="UOZ323" s="14"/>
      <c r="UPA323" s="14"/>
      <c r="UPB323" s="14"/>
      <c r="UPC323" s="14"/>
      <c r="UPD323" s="14"/>
      <c r="UPE323" s="14"/>
      <c r="UPF323" s="14"/>
      <c r="UPG323" s="14"/>
      <c r="UPH323" s="14"/>
      <c r="UPI323" s="14"/>
      <c r="UPJ323" s="14"/>
      <c r="UPK323" s="14"/>
      <c r="UPL323" s="14"/>
      <c r="UPM323" s="14"/>
      <c r="UPN323" s="14"/>
      <c r="UPO323" s="14"/>
      <c r="UPP323" s="14"/>
      <c r="UPQ323" s="14"/>
      <c r="UPR323" s="14"/>
      <c r="UPS323" s="14"/>
      <c r="UPT323" s="14"/>
      <c r="UPU323" s="14"/>
      <c r="UPV323" s="14"/>
      <c r="UPW323" s="14"/>
      <c r="UPX323" s="14"/>
      <c r="UPY323" s="14"/>
      <c r="UPZ323" s="14"/>
      <c r="UQA323" s="14"/>
      <c r="UQB323" s="14"/>
      <c r="UQC323" s="14"/>
      <c r="UQD323" s="14"/>
      <c r="UQE323" s="14"/>
      <c r="UQF323" s="14"/>
      <c r="UQG323" s="14"/>
      <c r="UQH323" s="14"/>
      <c r="UQI323" s="14"/>
      <c r="UQJ323" s="14"/>
      <c r="UQK323" s="14"/>
      <c r="UQL323" s="14"/>
      <c r="UQM323" s="14"/>
      <c r="UQN323" s="14"/>
      <c r="UQO323" s="14"/>
      <c r="UQP323" s="14"/>
      <c r="UQQ323" s="14"/>
      <c r="UQR323" s="14"/>
      <c r="UQS323" s="14"/>
      <c r="UQT323" s="14"/>
      <c r="UQU323" s="14"/>
      <c r="UQV323" s="14"/>
      <c r="UQW323" s="14"/>
      <c r="UQX323" s="14"/>
      <c r="UQY323" s="14"/>
      <c r="UQZ323" s="14"/>
      <c r="URA323" s="14"/>
      <c r="URB323" s="14"/>
      <c r="URC323" s="14"/>
      <c r="URD323" s="14"/>
      <c r="URE323" s="14"/>
      <c r="URF323" s="14"/>
      <c r="URG323" s="14"/>
      <c r="URH323" s="14"/>
      <c r="URI323" s="14"/>
      <c r="URJ323" s="14"/>
      <c r="URK323" s="14"/>
      <c r="URL323" s="14"/>
      <c r="URM323" s="14"/>
      <c r="URN323" s="14"/>
      <c r="URO323" s="14"/>
      <c r="URP323" s="14"/>
      <c r="URQ323" s="14"/>
      <c r="URR323" s="14"/>
      <c r="URS323" s="14"/>
      <c r="URT323" s="14"/>
      <c r="URU323" s="14"/>
      <c r="URV323" s="14"/>
      <c r="URW323" s="14"/>
      <c r="URX323" s="14"/>
      <c r="URY323" s="14"/>
      <c r="URZ323" s="14"/>
      <c r="USA323" s="14"/>
      <c r="USB323" s="14"/>
      <c r="USC323" s="14"/>
      <c r="USD323" s="14"/>
      <c r="USE323" s="14"/>
      <c r="USF323" s="14"/>
      <c r="USG323" s="14"/>
      <c r="USH323" s="14"/>
      <c r="USI323" s="14"/>
      <c r="USJ323" s="14"/>
      <c r="USK323" s="14"/>
      <c r="USL323" s="14"/>
      <c r="USM323" s="14"/>
      <c r="USN323" s="14"/>
      <c r="USO323" s="14"/>
      <c r="USP323" s="14"/>
      <c r="USQ323" s="14"/>
      <c r="USR323" s="14"/>
      <c r="USS323" s="14"/>
      <c r="UST323" s="14"/>
      <c r="USU323" s="14"/>
      <c r="USV323" s="14"/>
      <c r="USW323" s="14"/>
      <c r="USX323" s="14"/>
      <c r="USY323" s="14"/>
      <c r="USZ323" s="14"/>
      <c r="UTA323" s="14"/>
      <c r="UTB323" s="14"/>
      <c r="UTC323" s="14"/>
      <c r="UTD323" s="14"/>
      <c r="UTE323" s="14"/>
      <c r="UTF323" s="14"/>
      <c r="UTG323" s="14"/>
      <c r="UTH323" s="14"/>
      <c r="UTI323" s="14"/>
      <c r="UTJ323" s="14"/>
      <c r="UTK323" s="14"/>
      <c r="UTL323" s="14"/>
      <c r="UTM323" s="14"/>
      <c r="UTN323" s="14"/>
      <c r="UTO323" s="14"/>
      <c r="UTP323" s="14"/>
      <c r="UTQ323" s="14"/>
      <c r="UTR323" s="14"/>
      <c r="UTS323" s="14"/>
      <c r="UTT323" s="14"/>
      <c r="UTU323" s="14"/>
      <c r="UTV323" s="14"/>
      <c r="UTW323" s="14"/>
      <c r="UTX323" s="14"/>
      <c r="UTY323" s="14"/>
      <c r="UTZ323" s="14"/>
      <c r="UUA323" s="14"/>
      <c r="UUB323" s="14"/>
      <c r="UUC323" s="14"/>
      <c r="UUD323" s="14"/>
      <c r="UUE323" s="14"/>
      <c r="UUF323" s="14"/>
      <c r="UUG323" s="14"/>
      <c r="UUH323" s="14"/>
      <c r="UUI323" s="14"/>
      <c r="UUJ323" s="14"/>
      <c r="UUK323" s="14"/>
      <c r="UUL323" s="14"/>
      <c r="UUM323" s="14"/>
      <c r="UUN323" s="14"/>
      <c r="UUO323" s="14"/>
      <c r="UUP323" s="14"/>
      <c r="UUQ323" s="14"/>
      <c r="UUR323" s="14"/>
      <c r="UUS323" s="14"/>
      <c r="UUT323" s="14"/>
      <c r="UUU323" s="14"/>
      <c r="UUV323" s="14"/>
      <c r="UUW323" s="14"/>
      <c r="UUX323" s="14"/>
      <c r="UUY323" s="14"/>
      <c r="UUZ323" s="14"/>
      <c r="UVA323" s="14"/>
      <c r="UVB323" s="14"/>
      <c r="UVC323" s="14"/>
      <c r="UVD323" s="14"/>
      <c r="UVE323" s="14"/>
      <c r="UVF323" s="14"/>
      <c r="UVG323" s="14"/>
      <c r="UVH323" s="14"/>
      <c r="UVI323" s="14"/>
      <c r="UVJ323" s="14"/>
      <c r="UVK323" s="14"/>
      <c r="UVL323" s="14"/>
      <c r="UVM323" s="14"/>
      <c r="UVN323" s="14"/>
      <c r="UVO323" s="14"/>
      <c r="UVP323" s="14"/>
      <c r="UVQ323" s="14"/>
      <c r="UVR323" s="14"/>
      <c r="UVS323" s="14"/>
      <c r="UVT323" s="14"/>
      <c r="UVU323" s="14"/>
      <c r="UVV323" s="14"/>
      <c r="UVW323" s="14"/>
      <c r="UVX323" s="14"/>
      <c r="UVY323" s="14"/>
      <c r="UVZ323" s="14"/>
      <c r="UWA323" s="14"/>
      <c r="UWB323" s="14"/>
      <c r="UWC323" s="14"/>
      <c r="UWD323" s="14"/>
      <c r="UWE323" s="14"/>
      <c r="UWF323" s="14"/>
      <c r="UWG323" s="14"/>
      <c r="UWH323" s="14"/>
      <c r="UWI323" s="14"/>
      <c r="UWJ323" s="14"/>
      <c r="UWK323" s="14"/>
      <c r="UWL323" s="14"/>
      <c r="UWM323" s="14"/>
      <c r="UWN323" s="14"/>
      <c r="UWO323" s="14"/>
      <c r="UWP323" s="14"/>
      <c r="UWQ323" s="14"/>
      <c r="UWR323" s="14"/>
      <c r="UWS323" s="14"/>
      <c r="UWT323" s="14"/>
      <c r="UWU323" s="14"/>
      <c r="UWV323" s="14"/>
      <c r="UWW323" s="14"/>
      <c r="UWX323" s="14"/>
      <c r="UWY323" s="14"/>
      <c r="UWZ323" s="14"/>
      <c r="UXA323" s="14"/>
      <c r="UXB323" s="14"/>
      <c r="UXC323" s="14"/>
      <c r="UXD323" s="14"/>
      <c r="UXE323" s="14"/>
      <c r="UXF323" s="14"/>
      <c r="UXG323" s="14"/>
      <c r="UXH323" s="14"/>
      <c r="UXI323" s="14"/>
      <c r="UXJ323" s="14"/>
      <c r="UXK323" s="14"/>
      <c r="UXL323" s="14"/>
      <c r="UXM323" s="14"/>
      <c r="UXN323" s="14"/>
      <c r="UXO323" s="14"/>
      <c r="UXP323" s="14"/>
      <c r="UXQ323" s="14"/>
      <c r="UXR323" s="14"/>
      <c r="UXS323" s="14"/>
      <c r="UXT323" s="14"/>
      <c r="UXU323" s="14"/>
      <c r="UXV323" s="14"/>
      <c r="UXW323" s="14"/>
      <c r="UXX323" s="14"/>
      <c r="UXY323" s="14"/>
      <c r="UXZ323" s="14"/>
      <c r="UYA323" s="14"/>
      <c r="UYB323" s="14"/>
      <c r="UYC323" s="14"/>
      <c r="UYD323" s="14"/>
      <c r="UYE323" s="14"/>
      <c r="UYF323" s="14"/>
      <c r="UYG323" s="14"/>
      <c r="UYH323" s="14"/>
      <c r="UYI323" s="14"/>
      <c r="UYJ323" s="14"/>
      <c r="UYK323" s="14"/>
      <c r="UYL323" s="14"/>
      <c r="UYM323" s="14"/>
      <c r="UYN323" s="14"/>
      <c r="UYO323" s="14"/>
      <c r="UYP323" s="14"/>
      <c r="UYQ323" s="14"/>
      <c r="UYR323" s="14"/>
      <c r="UYS323" s="14"/>
      <c r="UYT323" s="14"/>
      <c r="UYU323" s="14"/>
      <c r="UYV323" s="14"/>
      <c r="UYW323" s="14"/>
      <c r="UYX323" s="14"/>
      <c r="UYY323" s="14"/>
      <c r="UYZ323" s="14"/>
      <c r="UZA323" s="14"/>
      <c r="UZB323" s="14"/>
      <c r="UZC323" s="14"/>
      <c r="UZD323" s="14"/>
      <c r="UZE323" s="14"/>
      <c r="UZF323" s="14"/>
      <c r="UZG323" s="14"/>
      <c r="UZH323" s="14"/>
      <c r="UZI323" s="14"/>
      <c r="UZJ323" s="14"/>
      <c r="UZK323" s="14"/>
      <c r="UZL323" s="14"/>
      <c r="UZM323" s="14"/>
      <c r="UZN323" s="14"/>
      <c r="UZO323" s="14"/>
      <c r="UZP323" s="14"/>
      <c r="UZQ323" s="14"/>
      <c r="UZR323" s="14"/>
      <c r="UZS323" s="14"/>
      <c r="UZT323" s="14"/>
      <c r="UZU323" s="14"/>
      <c r="UZV323" s="14"/>
      <c r="UZW323" s="14"/>
      <c r="UZX323" s="14"/>
      <c r="UZY323" s="14"/>
      <c r="UZZ323" s="14"/>
      <c r="VAA323" s="14"/>
      <c r="VAB323" s="14"/>
      <c r="VAC323" s="14"/>
      <c r="VAD323" s="14"/>
      <c r="VAE323" s="14"/>
      <c r="VAF323" s="14"/>
      <c r="VAG323" s="14"/>
      <c r="VAH323" s="14"/>
      <c r="VAI323" s="14"/>
      <c r="VAJ323" s="14"/>
      <c r="VAK323" s="14"/>
      <c r="VAL323" s="14"/>
      <c r="VAM323" s="14"/>
      <c r="VAN323" s="14"/>
      <c r="VAO323" s="14"/>
      <c r="VAP323" s="14"/>
      <c r="VAQ323" s="14"/>
      <c r="VAR323" s="14"/>
      <c r="VAS323" s="14"/>
      <c r="VAT323" s="14"/>
      <c r="VAU323" s="14"/>
      <c r="VAV323" s="14"/>
      <c r="VAW323" s="14"/>
      <c r="VAX323" s="14"/>
      <c r="VAY323" s="14"/>
      <c r="VAZ323" s="14"/>
      <c r="VBA323" s="14"/>
      <c r="VBB323" s="14"/>
      <c r="VBC323" s="14"/>
      <c r="VBD323" s="14"/>
      <c r="VBE323" s="14"/>
      <c r="VBF323" s="14"/>
      <c r="VBG323" s="14"/>
      <c r="VBH323" s="14"/>
      <c r="VBI323" s="14"/>
      <c r="VBJ323" s="14"/>
      <c r="VBK323" s="14"/>
      <c r="VBL323" s="14"/>
      <c r="VBM323" s="14"/>
      <c r="VBN323" s="14"/>
      <c r="VBO323" s="14"/>
      <c r="VBP323" s="14"/>
      <c r="VBQ323" s="14"/>
      <c r="VBR323" s="14"/>
      <c r="VBS323" s="14"/>
      <c r="VBT323" s="14"/>
      <c r="VBU323" s="14"/>
      <c r="VBV323" s="14"/>
      <c r="VBW323" s="14"/>
      <c r="VBX323" s="14"/>
      <c r="VBY323" s="14"/>
      <c r="VBZ323" s="14"/>
      <c r="VCA323" s="14"/>
      <c r="VCB323" s="14"/>
      <c r="VCC323" s="14"/>
      <c r="VCD323" s="14"/>
      <c r="VCE323" s="14"/>
      <c r="VCF323" s="14"/>
      <c r="VCG323" s="14"/>
      <c r="VCH323" s="14"/>
      <c r="VCI323" s="14"/>
      <c r="VCJ323" s="14"/>
      <c r="VCK323" s="14"/>
      <c r="VCL323" s="14"/>
      <c r="VCM323" s="14"/>
      <c r="VCN323" s="14"/>
      <c r="VCO323" s="14"/>
      <c r="VCP323" s="14"/>
      <c r="VCQ323" s="14"/>
      <c r="VCR323" s="14"/>
      <c r="VCS323" s="14"/>
      <c r="VCT323" s="14"/>
      <c r="VCU323" s="14"/>
      <c r="VCV323" s="14"/>
      <c r="VCW323" s="14"/>
      <c r="VCX323" s="14"/>
      <c r="VCY323" s="14"/>
      <c r="VCZ323" s="14"/>
      <c r="VDA323" s="14"/>
      <c r="VDB323" s="14"/>
      <c r="VDC323" s="14"/>
      <c r="VDD323" s="14"/>
      <c r="VDE323" s="14"/>
      <c r="VDF323" s="14"/>
      <c r="VDG323" s="14"/>
      <c r="VDH323" s="14"/>
      <c r="VDI323" s="14"/>
      <c r="VDJ323" s="14"/>
      <c r="VDK323" s="14"/>
      <c r="VDL323" s="14"/>
      <c r="VDM323" s="14"/>
      <c r="VDN323" s="14"/>
      <c r="VDO323" s="14"/>
      <c r="VDP323" s="14"/>
      <c r="VDQ323" s="14"/>
      <c r="VDR323" s="14"/>
      <c r="VDS323" s="14"/>
      <c r="VDT323" s="14"/>
      <c r="VDU323" s="14"/>
      <c r="VDV323" s="14"/>
      <c r="VDW323" s="14"/>
      <c r="VDX323" s="14"/>
      <c r="VDY323" s="14"/>
      <c r="VDZ323" s="14"/>
      <c r="VEA323" s="14"/>
      <c r="VEB323" s="14"/>
      <c r="VEC323" s="14"/>
      <c r="VED323" s="14"/>
      <c r="VEE323" s="14"/>
      <c r="VEF323" s="14"/>
      <c r="VEG323" s="14"/>
      <c r="VEH323" s="14"/>
      <c r="VEI323" s="14"/>
      <c r="VEJ323" s="14"/>
      <c r="VEK323" s="14"/>
      <c r="VEL323" s="14"/>
      <c r="VEM323" s="14"/>
      <c r="VEN323" s="14"/>
      <c r="VEO323" s="14"/>
      <c r="VEP323" s="14"/>
      <c r="VEQ323" s="14"/>
      <c r="VER323" s="14"/>
      <c r="VES323" s="14"/>
      <c r="VET323" s="14"/>
      <c r="VEU323" s="14"/>
      <c r="VEV323" s="14"/>
      <c r="VEW323" s="14"/>
      <c r="VEX323" s="14"/>
      <c r="VEY323" s="14"/>
      <c r="VEZ323" s="14"/>
      <c r="VFA323" s="14"/>
      <c r="VFB323" s="14"/>
      <c r="VFC323" s="14"/>
      <c r="VFD323" s="14"/>
      <c r="VFE323" s="14"/>
      <c r="VFF323" s="14"/>
      <c r="VFG323" s="14"/>
      <c r="VFH323" s="14"/>
      <c r="VFI323" s="14"/>
      <c r="VFJ323" s="14"/>
      <c r="VFK323" s="14"/>
      <c r="VFL323" s="14"/>
      <c r="VFM323" s="14"/>
      <c r="VFN323" s="14"/>
      <c r="VFO323" s="14"/>
      <c r="VFP323" s="14"/>
      <c r="VFQ323" s="14"/>
      <c r="VFR323" s="14"/>
      <c r="VFS323" s="14"/>
      <c r="VFT323" s="14"/>
      <c r="VFU323" s="14"/>
      <c r="VFV323" s="14"/>
      <c r="VFW323" s="14"/>
      <c r="VFX323" s="14"/>
      <c r="VFY323" s="14"/>
      <c r="VFZ323" s="14"/>
      <c r="VGA323" s="14"/>
      <c r="VGB323" s="14"/>
      <c r="VGC323" s="14"/>
      <c r="VGD323" s="14"/>
      <c r="VGE323" s="14"/>
      <c r="VGF323" s="14"/>
      <c r="VGG323" s="14"/>
      <c r="VGH323" s="14"/>
      <c r="VGI323" s="14"/>
      <c r="VGJ323" s="14"/>
      <c r="VGK323" s="14"/>
      <c r="VGL323" s="14"/>
      <c r="VGM323" s="14"/>
      <c r="VGN323" s="14"/>
      <c r="VGO323" s="14"/>
      <c r="VGP323" s="14"/>
      <c r="VGQ323" s="14"/>
      <c r="VGR323" s="14"/>
      <c r="VGS323" s="14"/>
      <c r="VGT323" s="14"/>
      <c r="VGU323" s="14"/>
      <c r="VGV323" s="14"/>
      <c r="VGW323" s="14"/>
      <c r="VGX323" s="14"/>
      <c r="VGY323" s="14"/>
      <c r="VGZ323" s="14"/>
      <c r="VHA323" s="14"/>
      <c r="VHB323" s="14"/>
      <c r="VHC323" s="14"/>
      <c r="VHD323" s="14"/>
      <c r="VHE323" s="14"/>
      <c r="VHF323" s="14"/>
      <c r="VHG323" s="14"/>
      <c r="VHH323" s="14"/>
      <c r="VHI323" s="14"/>
      <c r="VHJ323" s="14"/>
      <c r="VHK323" s="14"/>
      <c r="VHL323" s="14"/>
      <c r="VHM323" s="14"/>
      <c r="VHN323" s="14"/>
      <c r="VHO323" s="14"/>
      <c r="VHP323" s="14"/>
      <c r="VHQ323" s="14"/>
      <c r="VHR323" s="14"/>
      <c r="VHS323" s="14"/>
      <c r="VHT323" s="14"/>
      <c r="VHU323" s="14"/>
      <c r="VHV323" s="14"/>
      <c r="VHW323" s="14"/>
      <c r="VHX323" s="14"/>
      <c r="VHY323" s="14"/>
      <c r="VHZ323" s="14"/>
      <c r="VIA323" s="14"/>
      <c r="VIB323" s="14"/>
      <c r="VIC323" s="14"/>
      <c r="VID323" s="14"/>
      <c r="VIE323" s="14"/>
      <c r="VIF323" s="14"/>
      <c r="VIG323" s="14"/>
      <c r="VIH323" s="14"/>
      <c r="VII323" s="14"/>
      <c r="VIJ323" s="14"/>
      <c r="VIK323" s="14"/>
      <c r="VIL323" s="14"/>
      <c r="VIM323" s="14"/>
      <c r="VIN323" s="14"/>
      <c r="VIO323" s="14"/>
      <c r="VIP323" s="14"/>
      <c r="VIQ323" s="14"/>
      <c r="VIR323" s="14"/>
      <c r="VIS323" s="14"/>
      <c r="VIT323" s="14"/>
      <c r="VIU323" s="14"/>
      <c r="VIV323" s="14"/>
      <c r="VIW323" s="14"/>
      <c r="VIX323" s="14"/>
      <c r="VIY323" s="14"/>
      <c r="VIZ323" s="14"/>
      <c r="VJA323" s="14"/>
      <c r="VJB323" s="14"/>
      <c r="VJC323" s="14"/>
      <c r="VJD323" s="14"/>
      <c r="VJE323" s="14"/>
      <c r="VJF323" s="14"/>
      <c r="VJG323" s="14"/>
      <c r="VJH323" s="14"/>
      <c r="VJI323" s="14"/>
      <c r="VJJ323" s="14"/>
      <c r="VJK323" s="14"/>
      <c r="VJL323" s="14"/>
      <c r="VJM323" s="14"/>
      <c r="VJN323" s="14"/>
      <c r="VJO323" s="14"/>
      <c r="VJP323" s="14"/>
      <c r="VJQ323" s="14"/>
      <c r="VJR323" s="14"/>
      <c r="VJS323" s="14"/>
      <c r="VJT323" s="14"/>
      <c r="VJU323" s="14"/>
      <c r="VJV323" s="14"/>
      <c r="VJW323" s="14"/>
      <c r="VJX323" s="14"/>
      <c r="VJY323" s="14"/>
      <c r="VJZ323" s="14"/>
      <c r="VKA323" s="14"/>
      <c r="VKB323" s="14"/>
      <c r="VKC323" s="14"/>
      <c r="VKD323" s="14"/>
      <c r="VKE323" s="14"/>
      <c r="VKF323" s="14"/>
      <c r="VKG323" s="14"/>
      <c r="VKH323" s="14"/>
      <c r="VKI323" s="14"/>
      <c r="VKJ323" s="14"/>
      <c r="VKK323" s="14"/>
      <c r="VKL323" s="14"/>
      <c r="VKM323" s="14"/>
      <c r="VKN323" s="14"/>
      <c r="VKO323" s="14"/>
      <c r="VKP323" s="14"/>
      <c r="VKQ323" s="14"/>
      <c r="VKR323" s="14"/>
      <c r="VKS323" s="14"/>
      <c r="VKT323" s="14"/>
      <c r="VKU323" s="14"/>
      <c r="VKV323" s="14"/>
      <c r="VKW323" s="14"/>
      <c r="VKX323" s="14"/>
      <c r="VKY323" s="14"/>
      <c r="VKZ323" s="14"/>
      <c r="VLA323" s="14"/>
      <c r="VLB323" s="14"/>
      <c r="VLC323" s="14"/>
      <c r="VLD323" s="14"/>
      <c r="VLE323" s="14"/>
      <c r="VLF323" s="14"/>
      <c r="VLG323" s="14"/>
      <c r="VLH323" s="14"/>
      <c r="VLI323" s="14"/>
      <c r="VLJ323" s="14"/>
      <c r="VLK323" s="14"/>
      <c r="VLL323" s="14"/>
      <c r="VLM323" s="14"/>
      <c r="VLN323" s="14"/>
      <c r="VLO323" s="14"/>
      <c r="VLP323" s="14"/>
      <c r="VLQ323" s="14"/>
      <c r="VLR323" s="14"/>
      <c r="VLS323" s="14"/>
      <c r="VLT323" s="14"/>
      <c r="VLU323" s="14"/>
      <c r="VLV323" s="14"/>
      <c r="VLW323" s="14"/>
      <c r="VLX323" s="14"/>
      <c r="VLY323" s="14"/>
      <c r="VLZ323" s="14"/>
      <c r="VMA323" s="14"/>
      <c r="VMB323" s="14"/>
      <c r="VMC323" s="14"/>
      <c r="VMD323" s="14"/>
      <c r="VME323" s="14"/>
      <c r="VMF323" s="14"/>
      <c r="VMG323" s="14"/>
      <c r="VMH323" s="14"/>
      <c r="VMI323" s="14"/>
      <c r="VMJ323" s="14"/>
      <c r="VMK323" s="14"/>
      <c r="VML323" s="14"/>
      <c r="VMM323" s="14"/>
      <c r="VMN323" s="14"/>
      <c r="VMO323" s="14"/>
      <c r="VMP323" s="14"/>
      <c r="VMQ323" s="14"/>
      <c r="VMR323" s="14"/>
      <c r="VMS323" s="14"/>
      <c r="VMT323" s="14"/>
      <c r="VMU323" s="14"/>
      <c r="VMV323" s="14"/>
      <c r="VMW323" s="14"/>
      <c r="VMX323" s="14"/>
      <c r="VMY323" s="14"/>
      <c r="VMZ323" s="14"/>
      <c r="VNA323" s="14"/>
      <c r="VNB323" s="14"/>
      <c r="VNC323" s="14"/>
      <c r="VND323" s="14"/>
      <c r="VNE323" s="14"/>
      <c r="VNF323" s="14"/>
      <c r="VNG323" s="14"/>
      <c r="VNH323" s="14"/>
      <c r="VNI323" s="14"/>
      <c r="VNJ323" s="14"/>
      <c r="VNK323" s="14"/>
      <c r="VNL323" s="14"/>
      <c r="VNM323" s="14"/>
      <c r="VNN323" s="14"/>
      <c r="VNO323" s="14"/>
      <c r="VNP323" s="14"/>
      <c r="VNQ323" s="14"/>
      <c r="VNR323" s="14"/>
      <c r="VNS323" s="14"/>
      <c r="VNT323" s="14"/>
      <c r="VNU323" s="14"/>
      <c r="VNV323" s="14"/>
      <c r="VNW323" s="14"/>
      <c r="VNX323" s="14"/>
      <c r="VNY323" s="14"/>
      <c r="VNZ323" s="14"/>
      <c r="VOA323" s="14"/>
      <c r="VOB323" s="14"/>
      <c r="VOC323" s="14"/>
      <c r="VOD323" s="14"/>
      <c r="VOE323" s="14"/>
      <c r="VOF323" s="14"/>
      <c r="VOG323" s="14"/>
      <c r="VOH323" s="14"/>
      <c r="VOI323" s="14"/>
      <c r="VOJ323" s="14"/>
      <c r="VOK323" s="14"/>
      <c r="VOL323" s="14"/>
      <c r="VOM323" s="14"/>
      <c r="VON323" s="14"/>
      <c r="VOO323" s="14"/>
      <c r="VOP323" s="14"/>
      <c r="VOQ323" s="14"/>
      <c r="VOR323" s="14"/>
      <c r="VOS323" s="14"/>
      <c r="VOT323" s="14"/>
      <c r="VOU323" s="14"/>
      <c r="VOV323" s="14"/>
      <c r="VOW323" s="14"/>
      <c r="VOX323" s="14"/>
      <c r="VOY323" s="14"/>
      <c r="VOZ323" s="14"/>
      <c r="VPA323" s="14"/>
      <c r="VPB323" s="14"/>
      <c r="VPC323" s="14"/>
      <c r="VPD323" s="14"/>
      <c r="VPE323" s="14"/>
      <c r="VPF323" s="14"/>
      <c r="VPG323" s="14"/>
      <c r="VPH323" s="14"/>
      <c r="VPI323" s="14"/>
      <c r="VPJ323" s="14"/>
      <c r="VPK323" s="14"/>
      <c r="VPL323" s="14"/>
      <c r="VPM323" s="14"/>
      <c r="VPN323" s="14"/>
      <c r="VPO323" s="14"/>
      <c r="VPP323" s="14"/>
      <c r="VPQ323" s="14"/>
      <c r="VPR323" s="14"/>
      <c r="VPS323" s="14"/>
      <c r="VPT323" s="14"/>
      <c r="VPU323" s="14"/>
      <c r="VPV323" s="14"/>
      <c r="VPW323" s="14"/>
      <c r="VPX323" s="14"/>
      <c r="VPY323" s="14"/>
      <c r="VPZ323" s="14"/>
      <c r="VQA323" s="14"/>
      <c r="VQB323" s="14"/>
      <c r="VQC323" s="14"/>
      <c r="VQD323" s="14"/>
      <c r="VQE323" s="14"/>
      <c r="VQF323" s="14"/>
      <c r="VQG323" s="14"/>
      <c r="VQH323" s="14"/>
      <c r="VQI323" s="14"/>
      <c r="VQJ323" s="14"/>
      <c r="VQK323" s="14"/>
      <c r="VQL323" s="14"/>
      <c r="VQM323" s="14"/>
      <c r="VQN323" s="14"/>
      <c r="VQO323" s="14"/>
      <c r="VQP323" s="14"/>
      <c r="VQQ323" s="14"/>
      <c r="VQR323" s="14"/>
      <c r="VQS323" s="14"/>
      <c r="VQT323" s="14"/>
      <c r="VQU323" s="14"/>
      <c r="VQV323" s="14"/>
      <c r="VQW323" s="14"/>
      <c r="VQX323" s="14"/>
      <c r="VQY323" s="14"/>
      <c r="VQZ323" s="14"/>
      <c r="VRA323" s="14"/>
      <c r="VRB323" s="14"/>
      <c r="VRC323" s="14"/>
      <c r="VRD323" s="14"/>
      <c r="VRE323" s="14"/>
      <c r="VRF323" s="14"/>
      <c r="VRG323" s="14"/>
      <c r="VRH323" s="14"/>
      <c r="VRI323" s="14"/>
      <c r="VRJ323" s="14"/>
      <c r="VRK323" s="14"/>
      <c r="VRL323" s="14"/>
      <c r="VRM323" s="14"/>
      <c r="VRN323" s="14"/>
      <c r="VRO323" s="14"/>
      <c r="VRP323" s="14"/>
      <c r="VRQ323" s="14"/>
      <c r="VRR323" s="14"/>
      <c r="VRS323" s="14"/>
      <c r="VRT323" s="14"/>
      <c r="VRU323" s="14"/>
      <c r="VRV323" s="14"/>
      <c r="VRW323" s="14"/>
      <c r="VRX323" s="14"/>
      <c r="VRY323" s="14"/>
      <c r="VRZ323" s="14"/>
      <c r="VSA323" s="14"/>
      <c r="VSB323" s="14"/>
      <c r="VSC323" s="14"/>
      <c r="VSD323" s="14"/>
      <c r="VSE323" s="14"/>
      <c r="VSF323" s="14"/>
      <c r="VSG323" s="14"/>
      <c r="VSH323" s="14"/>
      <c r="VSI323" s="14"/>
      <c r="VSJ323" s="14"/>
      <c r="VSK323" s="14"/>
      <c r="VSL323" s="14"/>
      <c r="VSM323" s="14"/>
      <c r="VSN323" s="14"/>
      <c r="VSO323" s="14"/>
      <c r="VSP323" s="14"/>
      <c r="VSQ323" s="14"/>
      <c r="VSR323" s="14"/>
      <c r="VSS323" s="14"/>
      <c r="VST323" s="14"/>
      <c r="VSU323" s="14"/>
      <c r="VSV323" s="14"/>
      <c r="VSW323" s="14"/>
      <c r="VSX323" s="14"/>
      <c r="VSY323" s="14"/>
      <c r="VSZ323" s="14"/>
      <c r="VTA323" s="14"/>
      <c r="VTB323" s="14"/>
      <c r="VTC323" s="14"/>
      <c r="VTD323" s="14"/>
      <c r="VTE323" s="14"/>
      <c r="VTF323" s="14"/>
      <c r="VTG323" s="14"/>
      <c r="VTH323" s="14"/>
      <c r="VTI323" s="14"/>
      <c r="VTJ323" s="14"/>
      <c r="VTK323" s="14"/>
      <c r="VTL323" s="14"/>
      <c r="VTM323" s="14"/>
      <c r="VTN323" s="14"/>
      <c r="VTO323" s="14"/>
      <c r="VTP323" s="14"/>
      <c r="VTQ323" s="14"/>
      <c r="VTR323" s="14"/>
      <c r="VTS323" s="14"/>
      <c r="VTT323" s="14"/>
      <c r="VTU323" s="14"/>
      <c r="VTV323" s="14"/>
      <c r="VTW323" s="14"/>
      <c r="VTX323" s="14"/>
      <c r="VTY323" s="14"/>
      <c r="VTZ323" s="14"/>
      <c r="VUA323" s="14"/>
      <c r="VUB323" s="14"/>
      <c r="VUC323" s="14"/>
      <c r="VUD323" s="14"/>
      <c r="VUE323" s="14"/>
      <c r="VUF323" s="14"/>
      <c r="VUG323" s="14"/>
      <c r="VUH323" s="14"/>
      <c r="VUI323" s="14"/>
      <c r="VUJ323" s="14"/>
      <c r="VUK323" s="14"/>
      <c r="VUL323" s="14"/>
      <c r="VUM323" s="14"/>
      <c r="VUN323" s="14"/>
      <c r="VUO323" s="14"/>
      <c r="VUP323" s="14"/>
      <c r="VUQ323" s="14"/>
      <c r="VUR323" s="14"/>
      <c r="VUS323" s="14"/>
      <c r="VUT323" s="14"/>
      <c r="VUU323" s="14"/>
      <c r="VUV323" s="14"/>
      <c r="VUW323" s="14"/>
      <c r="VUX323" s="14"/>
      <c r="VUY323" s="14"/>
      <c r="VUZ323" s="14"/>
      <c r="VVA323" s="14"/>
      <c r="VVB323" s="14"/>
      <c r="VVC323" s="14"/>
      <c r="VVD323" s="14"/>
      <c r="VVE323" s="14"/>
      <c r="VVF323" s="14"/>
      <c r="VVG323" s="14"/>
      <c r="VVH323" s="14"/>
      <c r="VVI323" s="14"/>
      <c r="VVJ323" s="14"/>
      <c r="VVK323" s="14"/>
      <c r="VVL323" s="14"/>
      <c r="VVM323" s="14"/>
      <c r="VVN323" s="14"/>
      <c r="VVO323" s="14"/>
      <c r="VVP323" s="14"/>
      <c r="VVQ323" s="14"/>
      <c r="VVR323" s="14"/>
      <c r="VVS323" s="14"/>
      <c r="VVT323" s="14"/>
      <c r="VVU323" s="14"/>
      <c r="VVV323" s="14"/>
      <c r="VVW323" s="14"/>
      <c r="VVX323" s="14"/>
      <c r="VVY323" s="14"/>
      <c r="VVZ323" s="14"/>
      <c r="VWA323" s="14"/>
      <c r="VWB323" s="14"/>
      <c r="VWC323" s="14"/>
      <c r="VWD323" s="14"/>
      <c r="VWE323" s="14"/>
      <c r="VWF323" s="14"/>
      <c r="VWG323" s="14"/>
      <c r="VWH323" s="14"/>
      <c r="VWI323" s="14"/>
      <c r="VWJ323" s="14"/>
      <c r="VWK323" s="14"/>
      <c r="VWL323" s="14"/>
      <c r="VWM323" s="14"/>
      <c r="VWN323" s="14"/>
      <c r="VWO323" s="14"/>
      <c r="VWP323" s="14"/>
      <c r="VWQ323" s="14"/>
      <c r="VWR323" s="14"/>
      <c r="VWS323" s="14"/>
      <c r="VWT323" s="14"/>
      <c r="VWU323" s="14"/>
      <c r="VWV323" s="14"/>
      <c r="VWW323" s="14"/>
      <c r="VWX323" s="14"/>
      <c r="VWY323" s="14"/>
      <c r="VWZ323" s="14"/>
      <c r="VXA323" s="14"/>
      <c r="VXB323" s="14"/>
      <c r="VXC323" s="14"/>
      <c r="VXD323" s="14"/>
      <c r="VXE323" s="14"/>
      <c r="VXF323" s="14"/>
      <c r="VXG323" s="14"/>
      <c r="VXH323" s="14"/>
      <c r="VXI323" s="14"/>
      <c r="VXJ323" s="14"/>
      <c r="VXK323" s="14"/>
      <c r="VXL323" s="14"/>
      <c r="VXM323" s="14"/>
      <c r="VXN323" s="14"/>
      <c r="VXO323" s="14"/>
      <c r="VXP323" s="14"/>
      <c r="VXQ323" s="14"/>
      <c r="VXR323" s="14"/>
      <c r="VXS323" s="14"/>
      <c r="VXT323" s="14"/>
      <c r="VXU323" s="14"/>
      <c r="VXV323" s="14"/>
      <c r="VXW323" s="14"/>
      <c r="VXX323" s="14"/>
      <c r="VXY323" s="14"/>
      <c r="VXZ323" s="14"/>
      <c r="VYA323" s="14"/>
      <c r="VYB323" s="14"/>
      <c r="VYC323" s="14"/>
      <c r="VYD323" s="14"/>
      <c r="VYE323" s="14"/>
      <c r="VYF323" s="14"/>
      <c r="VYG323" s="14"/>
      <c r="VYH323" s="14"/>
      <c r="VYI323" s="14"/>
      <c r="VYJ323" s="14"/>
      <c r="VYK323" s="14"/>
      <c r="VYL323" s="14"/>
      <c r="VYM323" s="14"/>
      <c r="VYN323" s="14"/>
      <c r="VYO323" s="14"/>
      <c r="VYP323" s="14"/>
      <c r="VYQ323" s="14"/>
      <c r="VYR323" s="14"/>
      <c r="VYS323" s="14"/>
      <c r="VYT323" s="14"/>
      <c r="VYU323" s="14"/>
      <c r="VYV323" s="14"/>
      <c r="VYW323" s="14"/>
      <c r="VYX323" s="14"/>
      <c r="VYY323" s="14"/>
      <c r="VYZ323" s="14"/>
      <c r="VZA323" s="14"/>
      <c r="VZB323" s="14"/>
      <c r="VZC323" s="14"/>
      <c r="VZD323" s="14"/>
      <c r="VZE323" s="14"/>
      <c r="VZF323" s="14"/>
      <c r="VZG323" s="14"/>
      <c r="VZH323" s="14"/>
      <c r="VZI323" s="14"/>
      <c r="VZJ323" s="14"/>
      <c r="VZK323" s="14"/>
      <c r="VZL323" s="14"/>
      <c r="VZM323" s="14"/>
      <c r="VZN323" s="14"/>
      <c r="VZO323" s="14"/>
      <c r="VZP323" s="14"/>
      <c r="VZQ323" s="14"/>
      <c r="VZR323" s="14"/>
      <c r="VZS323" s="14"/>
      <c r="VZT323" s="14"/>
      <c r="VZU323" s="14"/>
      <c r="VZV323" s="14"/>
      <c r="VZW323" s="14"/>
      <c r="VZX323" s="14"/>
      <c r="VZY323" s="14"/>
      <c r="VZZ323" s="14"/>
      <c r="WAA323" s="14"/>
      <c r="WAB323" s="14"/>
      <c r="WAC323" s="14"/>
      <c r="WAD323" s="14"/>
      <c r="WAE323" s="14"/>
      <c r="WAF323" s="14"/>
      <c r="WAG323" s="14"/>
      <c r="WAH323" s="14"/>
      <c r="WAI323" s="14"/>
      <c r="WAJ323" s="14"/>
      <c r="WAK323" s="14"/>
      <c r="WAL323" s="14"/>
      <c r="WAM323" s="14"/>
      <c r="WAN323" s="14"/>
      <c r="WAO323" s="14"/>
      <c r="WAP323" s="14"/>
      <c r="WAQ323" s="14"/>
      <c r="WAR323" s="14"/>
      <c r="WAS323" s="14"/>
      <c r="WAT323" s="14"/>
      <c r="WAU323" s="14"/>
      <c r="WAV323" s="14"/>
      <c r="WAW323" s="14"/>
      <c r="WAX323" s="14"/>
      <c r="WAY323" s="14"/>
      <c r="WAZ323" s="14"/>
      <c r="WBA323" s="14"/>
      <c r="WBB323" s="14"/>
      <c r="WBC323" s="14"/>
      <c r="WBD323" s="14"/>
      <c r="WBE323" s="14"/>
      <c r="WBF323" s="14"/>
      <c r="WBG323" s="14"/>
      <c r="WBH323" s="14"/>
      <c r="WBI323" s="14"/>
      <c r="WBJ323" s="14"/>
      <c r="WBK323" s="14"/>
      <c r="WBL323" s="14"/>
      <c r="WBM323" s="14"/>
      <c r="WBN323" s="14"/>
      <c r="WBO323" s="14"/>
      <c r="WBP323" s="14"/>
      <c r="WBQ323" s="14"/>
      <c r="WBR323" s="14"/>
      <c r="WBS323" s="14"/>
      <c r="WBT323" s="14"/>
      <c r="WBU323" s="14"/>
      <c r="WBV323" s="14"/>
      <c r="WBW323" s="14"/>
      <c r="WBX323" s="14"/>
      <c r="WBY323" s="14"/>
      <c r="WBZ323" s="14"/>
      <c r="WCA323" s="14"/>
      <c r="WCB323" s="14"/>
      <c r="WCC323" s="14"/>
      <c r="WCD323" s="14"/>
      <c r="WCE323" s="14"/>
      <c r="WCF323" s="14"/>
      <c r="WCG323" s="14"/>
      <c r="WCH323" s="14"/>
      <c r="WCI323" s="14"/>
      <c r="WCJ323" s="14"/>
      <c r="WCK323" s="14"/>
      <c r="WCL323" s="14"/>
      <c r="WCM323" s="14"/>
      <c r="WCN323" s="14"/>
      <c r="WCO323" s="14"/>
      <c r="WCP323" s="14"/>
      <c r="WCQ323" s="14"/>
      <c r="WCR323" s="14"/>
      <c r="WCS323" s="14"/>
      <c r="WCT323" s="14"/>
      <c r="WCU323" s="14"/>
      <c r="WCV323" s="14"/>
      <c r="WCW323" s="14"/>
      <c r="WCX323" s="14"/>
      <c r="WCY323" s="14"/>
      <c r="WCZ323" s="14"/>
      <c r="WDA323" s="14"/>
      <c r="WDB323" s="14"/>
      <c r="WDC323" s="14"/>
      <c r="WDD323" s="14"/>
      <c r="WDE323" s="14"/>
      <c r="WDF323" s="14"/>
      <c r="WDG323" s="14"/>
      <c r="WDH323" s="14"/>
      <c r="WDI323" s="14"/>
      <c r="WDJ323" s="14"/>
      <c r="WDK323" s="14"/>
      <c r="WDL323" s="14"/>
      <c r="WDM323" s="14"/>
      <c r="WDN323" s="14"/>
      <c r="WDO323" s="14"/>
      <c r="WDP323" s="14"/>
      <c r="WDQ323" s="14"/>
      <c r="WDR323" s="14"/>
      <c r="WDS323" s="14"/>
      <c r="WDT323" s="14"/>
      <c r="WDU323" s="14"/>
      <c r="WDV323" s="14"/>
      <c r="WDW323" s="14"/>
      <c r="WDX323" s="14"/>
      <c r="WDY323" s="14"/>
      <c r="WDZ323" s="14"/>
      <c r="WEA323" s="14"/>
      <c r="WEB323" s="14"/>
      <c r="WEC323" s="14"/>
      <c r="WED323" s="14"/>
      <c r="WEE323" s="14"/>
      <c r="WEF323" s="14"/>
      <c r="WEG323" s="14"/>
      <c r="WEH323" s="14"/>
      <c r="WEI323" s="14"/>
      <c r="WEJ323" s="14"/>
      <c r="WEK323" s="14"/>
      <c r="WEL323" s="14"/>
      <c r="WEM323" s="14"/>
      <c r="WEN323" s="14"/>
      <c r="WEO323" s="14"/>
      <c r="WEP323" s="14"/>
      <c r="WEQ323" s="14"/>
      <c r="WER323" s="14"/>
      <c r="WES323" s="14"/>
      <c r="WET323" s="14"/>
      <c r="WEU323" s="14"/>
      <c r="WEV323" s="14"/>
      <c r="WEW323" s="14"/>
      <c r="WEX323" s="14"/>
      <c r="WEY323" s="14"/>
      <c r="WEZ323" s="14"/>
      <c r="WFA323" s="14"/>
      <c r="WFB323" s="14"/>
      <c r="WFC323" s="14"/>
      <c r="WFD323" s="14"/>
      <c r="WFE323" s="14"/>
      <c r="WFF323" s="14"/>
      <c r="WFG323" s="14"/>
      <c r="WFH323" s="14"/>
      <c r="WFI323" s="14"/>
      <c r="WFJ323" s="14"/>
      <c r="WFK323" s="14"/>
      <c r="WFL323" s="14"/>
      <c r="WFM323" s="14"/>
      <c r="WFN323" s="14"/>
      <c r="WFO323" s="14"/>
      <c r="WFP323" s="14"/>
      <c r="WFQ323" s="14"/>
      <c r="WFR323" s="14"/>
      <c r="WFS323" s="14"/>
      <c r="WFT323" s="14"/>
      <c r="WFU323" s="14"/>
      <c r="WFV323" s="14"/>
      <c r="WFW323" s="14"/>
      <c r="WFX323" s="14"/>
      <c r="WFY323" s="14"/>
      <c r="WFZ323" s="14"/>
      <c r="WGA323" s="14"/>
      <c r="WGB323" s="14"/>
      <c r="WGC323" s="14"/>
      <c r="WGD323" s="14"/>
      <c r="WGE323" s="14"/>
      <c r="WGF323" s="14"/>
      <c r="WGG323" s="14"/>
      <c r="WGH323" s="14"/>
      <c r="WGI323" s="14"/>
      <c r="WGJ323" s="14"/>
      <c r="WGK323" s="14"/>
      <c r="WGL323" s="14"/>
      <c r="WGM323" s="14"/>
      <c r="WGN323" s="14"/>
      <c r="WGO323" s="14"/>
      <c r="WGP323" s="14"/>
      <c r="WGQ323" s="14"/>
      <c r="WGR323" s="14"/>
      <c r="WGS323" s="14"/>
      <c r="WGT323" s="14"/>
      <c r="WGU323" s="14"/>
      <c r="WGV323" s="14"/>
      <c r="WGW323" s="14"/>
      <c r="WGX323" s="14"/>
      <c r="WGY323" s="14"/>
      <c r="WGZ323" s="14"/>
      <c r="WHA323" s="14"/>
      <c r="WHB323" s="14"/>
      <c r="WHC323" s="14"/>
      <c r="WHD323" s="14"/>
      <c r="WHE323" s="14"/>
      <c r="WHF323" s="14"/>
      <c r="WHG323" s="14"/>
      <c r="WHH323" s="14"/>
      <c r="WHI323" s="14"/>
      <c r="WHJ323" s="14"/>
      <c r="WHK323" s="14"/>
      <c r="WHL323" s="14"/>
      <c r="WHM323" s="14"/>
      <c r="WHN323" s="14"/>
      <c r="WHO323" s="14"/>
      <c r="WHP323" s="14"/>
      <c r="WHQ323" s="14"/>
      <c r="WHR323" s="14"/>
      <c r="WHS323" s="14"/>
      <c r="WHT323" s="14"/>
      <c r="WHU323" s="14"/>
      <c r="WHV323" s="14"/>
      <c r="WHW323" s="14"/>
      <c r="WHX323" s="14"/>
      <c r="WHY323" s="14"/>
      <c r="WHZ323" s="14"/>
      <c r="WIA323" s="14"/>
      <c r="WIB323" s="14"/>
      <c r="WIC323" s="14"/>
      <c r="WID323" s="14"/>
      <c r="WIE323" s="14"/>
      <c r="WIF323" s="14"/>
      <c r="WIG323" s="14"/>
      <c r="WIH323" s="14"/>
      <c r="WII323" s="14"/>
      <c r="WIJ323" s="14"/>
      <c r="WIK323" s="14"/>
      <c r="WIL323" s="14"/>
      <c r="WIM323" s="14"/>
      <c r="WIN323" s="14"/>
      <c r="WIO323" s="14"/>
      <c r="WIP323" s="14"/>
      <c r="WIQ323" s="14"/>
      <c r="WIR323" s="14"/>
      <c r="WIS323" s="14"/>
      <c r="WIT323" s="14"/>
      <c r="WIU323" s="14"/>
      <c r="WIV323" s="14"/>
      <c r="WIW323" s="14"/>
      <c r="WIX323" s="14"/>
      <c r="WIY323" s="14"/>
      <c r="WIZ323" s="14"/>
      <c r="WJA323" s="14"/>
      <c r="WJB323" s="14"/>
      <c r="WJC323" s="14"/>
      <c r="WJD323" s="14"/>
      <c r="WJE323" s="14"/>
      <c r="WJF323" s="14"/>
      <c r="WJG323" s="14"/>
      <c r="WJH323" s="14"/>
      <c r="WJI323" s="14"/>
      <c r="WJJ323" s="14"/>
      <c r="WJK323" s="14"/>
      <c r="WJL323" s="14"/>
      <c r="WJM323" s="14"/>
      <c r="WJN323" s="14"/>
      <c r="WJO323" s="14"/>
      <c r="WJP323" s="14"/>
      <c r="WJQ323" s="14"/>
      <c r="WJR323" s="14"/>
      <c r="WJS323" s="14"/>
      <c r="WJT323" s="14"/>
      <c r="WJU323" s="14"/>
      <c r="WJV323" s="14"/>
      <c r="WJW323" s="14"/>
      <c r="WJX323" s="14"/>
      <c r="WJY323" s="14"/>
      <c r="WJZ323" s="14"/>
      <c r="WKA323" s="14"/>
      <c r="WKB323" s="14"/>
      <c r="WKC323" s="14"/>
      <c r="WKD323" s="14"/>
      <c r="WKE323" s="14"/>
      <c r="WKF323" s="14"/>
      <c r="WKG323" s="14"/>
      <c r="WKH323" s="14"/>
      <c r="WKI323" s="14"/>
      <c r="WKJ323" s="14"/>
      <c r="WKK323" s="14"/>
      <c r="WKL323" s="14"/>
      <c r="WKM323" s="14"/>
      <c r="WKN323" s="14"/>
      <c r="WKO323" s="14"/>
      <c r="WKP323" s="14"/>
      <c r="WKQ323" s="14"/>
      <c r="WKR323" s="14"/>
      <c r="WKS323" s="14"/>
      <c r="WKT323" s="14"/>
      <c r="WKU323" s="14"/>
      <c r="WKV323" s="14"/>
      <c r="WKW323" s="14"/>
      <c r="WKX323" s="14"/>
      <c r="WKY323" s="14"/>
      <c r="WKZ323" s="14"/>
      <c r="WLA323" s="14"/>
      <c r="WLB323" s="14"/>
      <c r="WLC323" s="14"/>
      <c r="WLD323" s="14"/>
      <c r="WLE323" s="14"/>
      <c r="WLF323" s="14"/>
      <c r="WLG323" s="14"/>
      <c r="WLH323" s="14"/>
      <c r="WLI323" s="14"/>
      <c r="WLJ323" s="14"/>
      <c r="WLK323" s="14"/>
      <c r="WLL323" s="14"/>
      <c r="WLM323" s="14"/>
      <c r="WLN323" s="14"/>
      <c r="WLO323" s="14"/>
      <c r="WLP323" s="14"/>
      <c r="WLQ323" s="14"/>
      <c r="WLR323" s="14"/>
      <c r="WLS323" s="14"/>
      <c r="WLT323" s="14"/>
      <c r="WLU323" s="14"/>
      <c r="WLV323" s="14"/>
      <c r="WLW323" s="14"/>
      <c r="WLX323" s="14"/>
      <c r="WLY323" s="14"/>
      <c r="WLZ323" s="14"/>
      <c r="WMA323" s="14"/>
      <c r="WMB323" s="14"/>
      <c r="WMC323" s="14"/>
      <c r="WMD323" s="14"/>
      <c r="WME323" s="14"/>
      <c r="WMF323" s="14"/>
      <c r="WMG323" s="14"/>
      <c r="WMH323" s="14"/>
      <c r="WMI323" s="14"/>
      <c r="WMJ323" s="14"/>
      <c r="WMK323" s="14"/>
      <c r="WML323" s="14"/>
      <c r="WMM323" s="14"/>
      <c r="WMN323" s="14"/>
      <c r="WMO323" s="14"/>
      <c r="WMP323" s="14"/>
      <c r="WMQ323" s="14"/>
      <c r="WMR323" s="14"/>
      <c r="WMS323" s="14"/>
      <c r="WMT323" s="14"/>
      <c r="WMU323" s="14"/>
      <c r="WMV323" s="14"/>
      <c r="WMW323" s="14"/>
      <c r="WMX323" s="14"/>
      <c r="WMY323" s="14"/>
      <c r="WMZ323" s="14"/>
      <c r="WNA323" s="14"/>
      <c r="WNB323" s="14"/>
      <c r="WNC323" s="14"/>
      <c r="WND323" s="14"/>
      <c r="WNE323" s="14"/>
      <c r="WNF323" s="14"/>
      <c r="WNG323" s="14"/>
      <c r="WNH323" s="14"/>
      <c r="WNI323" s="14"/>
      <c r="WNJ323" s="14"/>
      <c r="WNK323" s="14"/>
      <c r="WNL323" s="14"/>
      <c r="WNM323" s="14"/>
      <c r="WNN323" s="14"/>
      <c r="WNO323" s="14"/>
      <c r="WNP323" s="14"/>
      <c r="WNQ323" s="14"/>
      <c r="WNR323" s="14"/>
      <c r="WNS323" s="14"/>
      <c r="WNT323" s="14"/>
      <c r="WNU323" s="14"/>
      <c r="WNV323" s="14"/>
      <c r="WNW323" s="14"/>
      <c r="WNX323" s="14"/>
      <c r="WNY323" s="14"/>
      <c r="WNZ323" s="14"/>
      <c r="WOA323" s="14"/>
      <c r="WOB323" s="14"/>
      <c r="WOC323" s="14"/>
      <c r="WOD323" s="14"/>
      <c r="WOE323" s="14"/>
      <c r="WOF323" s="14"/>
      <c r="WOG323" s="14"/>
      <c r="WOH323" s="14"/>
      <c r="WOI323" s="14"/>
      <c r="WOJ323" s="14"/>
      <c r="WOK323" s="14"/>
      <c r="WOL323" s="14"/>
      <c r="WOM323" s="14"/>
      <c r="WON323" s="14"/>
      <c r="WOO323" s="14"/>
      <c r="WOP323" s="14"/>
      <c r="WOQ323" s="14"/>
      <c r="WOR323" s="14"/>
      <c r="WOS323" s="14"/>
      <c r="WOT323" s="14"/>
      <c r="WOU323" s="14"/>
      <c r="WOV323" s="14"/>
      <c r="WOW323" s="14"/>
      <c r="WOX323" s="14"/>
      <c r="WOY323" s="14"/>
      <c r="WOZ323" s="14"/>
      <c r="WPA323" s="14"/>
      <c r="WPB323" s="14"/>
      <c r="WPC323" s="14"/>
      <c r="WPD323" s="14"/>
      <c r="WPE323" s="14"/>
      <c r="WPF323" s="14"/>
      <c r="WPG323" s="14"/>
      <c r="WPH323" s="14"/>
      <c r="WPI323" s="14"/>
      <c r="WPJ323" s="14"/>
      <c r="WPK323" s="14"/>
      <c r="WPL323" s="14"/>
      <c r="WPM323" s="14"/>
      <c r="WPN323" s="14"/>
      <c r="WPO323" s="14"/>
      <c r="WPP323" s="14"/>
      <c r="WPQ323" s="14"/>
      <c r="WPR323" s="14"/>
      <c r="WPS323" s="14"/>
      <c r="WPT323" s="14"/>
      <c r="WPU323" s="14"/>
      <c r="WPV323" s="14"/>
      <c r="WPW323" s="14"/>
      <c r="WPX323" s="14"/>
      <c r="WPY323" s="14"/>
      <c r="WPZ323" s="14"/>
      <c r="WQA323" s="14"/>
      <c r="WQB323" s="14"/>
      <c r="WQC323" s="14"/>
      <c r="WQD323" s="14"/>
      <c r="WQE323" s="14"/>
      <c r="WQF323" s="14"/>
      <c r="WQG323" s="14"/>
      <c r="WQH323" s="14"/>
      <c r="WQI323" s="14"/>
      <c r="WQJ323" s="14"/>
      <c r="WQK323" s="14"/>
      <c r="WQL323" s="14"/>
      <c r="WQM323" s="14"/>
      <c r="WQN323" s="14"/>
      <c r="WQO323" s="14"/>
      <c r="WQP323" s="14"/>
      <c r="WQQ323" s="14"/>
      <c r="WQR323" s="14"/>
      <c r="WQS323" s="14"/>
      <c r="WQT323" s="14"/>
      <c r="WQU323" s="14"/>
      <c r="WQV323" s="14"/>
      <c r="WQW323" s="14"/>
      <c r="WQX323" s="14"/>
      <c r="WQY323" s="14"/>
      <c r="WQZ323" s="14"/>
      <c r="WRA323" s="14"/>
      <c r="WRB323" s="14"/>
      <c r="WRC323" s="14"/>
      <c r="WRD323" s="14"/>
      <c r="WRE323" s="14"/>
      <c r="WRF323" s="14"/>
      <c r="WRG323" s="14"/>
      <c r="WRH323" s="14"/>
      <c r="WRI323" s="14"/>
      <c r="WRJ323" s="14"/>
      <c r="WRK323" s="14"/>
      <c r="WRL323" s="14"/>
      <c r="WRM323" s="14"/>
      <c r="WRN323" s="14"/>
      <c r="WRO323" s="14"/>
      <c r="WRP323" s="14"/>
      <c r="WRQ323" s="14"/>
      <c r="WRR323" s="14"/>
      <c r="WRS323" s="14"/>
      <c r="WRT323" s="14"/>
      <c r="WRU323" s="14"/>
      <c r="WRV323" s="14"/>
      <c r="WRW323" s="14"/>
      <c r="WRX323" s="14"/>
      <c r="WRY323" s="14"/>
      <c r="WRZ323" s="14"/>
      <c r="WSA323" s="14"/>
      <c r="WSB323" s="14"/>
      <c r="WSC323" s="14"/>
      <c r="WSD323" s="14"/>
      <c r="WSE323" s="14"/>
      <c r="WSF323" s="14"/>
      <c r="WSG323" s="14"/>
      <c r="WSH323" s="14"/>
      <c r="WSI323" s="14"/>
      <c r="WSJ323" s="14"/>
      <c r="WSK323" s="14"/>
      <c r="WSL323" s="14"/>
      <c r="WSM323" s="14"/>
      <c r="WSN323" s="14"/>
      <c r="WSO323" s="14"/>
      <c r="WSP323" s="14"/>
      <c r="WSQ323" s="14"/>
      <c r="WSR323" s="14"/>
      <c r="WSS323" s="14"/>
      <c r="WST323" s="14"/>
      <c r="WSU323" s="14"/>
      <c r="WSV323" s="14"/>
      <c r="WSW323" s="14"/>
      <c r="WSX323" s="14"/>
      <c r="WSY323" s="14"/>
      <c r="WSZ323" s="14"/>
      <c r="WTA323" s="14"/>
      <c r="WTB323" s="14"/>
      <c r="WTC323" s="14"/>
      <c r="WTD323" s="14"/>
      <c r="WTE323" s="14"/>
      <c r="WTF323" s="14"/>
      <c r="WTG323" s="14"/>
      <c r="WTH323" s="14"/>
      <c r="WTI323" s="14"/>
      <c r="WTJ323" s="14"/>
      <c r="WTK323" s="14"/>
      <c r="WTL323" s="14"/>
      <c r="WTM323" s="14"/>
      <c r="WTN323" s="14"/>
      <c r="WTO323" s="14"/>
      <c r="WTP323" s="14"/>
      <c r="WTQ323" s="14"/>
      <c r="WTR323" s="14"/>
      <c r="WTS323" s="14"/>
      <c r="WTT323" s="14"/>
      <c r="WTU323" s="14"/>
      <c r="WTV323" s="14"/>
      <c r="WTW323" s="14"/>
      <c r="WTX323" s="14"/>
      <c r="WTY323" s="14"/>
      <c r="WTZ323" s="14"/>
      <c r="WUA323" s="14"/>
      <c r="WUB323" s="14"/>
      <c r="WUC323" s="14"/>
      <c r="WUD323" s="14"/>
      <c r="WUE323" s="14"/>
      <c r="WUF323" s="14"/>
      <c r="WUG323" s="14"/>
      <c r="WUH323" s="14"/>
      <c r="WUI323" s="14"/>
      <c r="WUJ323" s="14"/>
      <c r="WUK323" s="14"/>
      <c r="WUL323" s="14"/>
      <c r="WUM323" s="14"/>
      <c r="WUN323" s="14"/>
      <c r="WUO323" s="14"/>
      <c r="WUP323" s="14"/>
      <c r="WUQ323" s="14"/>
      <c r="WUR323" s="14"/>
      <c r="WUS323" s="14"/>
      <c r="WUT323" s="14"/>
      <c r="WUU323" s="14"/>
      <c r="WUV323" s="14"/>
      <c r="WUW323" s="14"/>
      <c r="WUX323" s="14"/>
      <c r="WUY323" s="14"/>
      <c r="WUZ323" s="14"/>
      <c r="WVA323" s="14"/>
      <c r="WVB323" s="14"/>
      <c r="WVC323" s="14"/>
      <c r="WVD323" s="14"/>
      <c r="WVE323" s="14"/>
      <c r="WVF323" s="14"/>
      <c r="WVG323" s="14"/>
      <c r="WVH323" s="14"/>
      <c r="WVI323" s="14"/>
      <c r="WVJ323" s="14"/>
      <c r="WVK323" s="14"/>
      <c r="WVL323" s="14"/>
      <c r="WVM323" s="14"/>
      <c r="WVN323" s="14"/>
      <c r="WVO323" s="14"/>
      <c r="WVP323" s="14"/>
      <c r="WVQ323" s="14"/>
      <c r="WVR323" s="14"/>
      <c r="WVS323" s="14"/>
      <c r="WVT323" s="14"/>
      <c r="WVU323" s="14"/>
      <c r="WVV323" s="14"/>
      <c r="WVW323" s="14"/>
      <c r="WVX323" s="14"/>
      <c r="WVY323" s="14"/>
      <c r="WVZ323" s="14"/>
      <c r="WWA323" s="14"/>
      <c r="WWB323" s="14"/>
      <c r="WWC323" s="14"/>
      <c r="WWD323" s="14"/>
      <c r="WWE323" s="14"/>
      <c r="WWF323" s="14"/>
      <c r="WWG323" s="14"/>
      <c r="WWH323" s="14"/>
      <c r="WWI323" s="14"/>
      <c r="WWJ323" s="14"/>
      <c r="WWK323" s="14"/>
      <c r="WWL323" s="14"/>
      <c r="WWM323" s="14"/>
      <c r="WWN323" s="14"/>
      <c r="WWO323" s="14"/>
      <c r="WWP323" s="14"/>
      <c r="WWQ323" s="14"/>
      <c r="WWR323" s="14"/>
      <c r="WWS323" s="14"/>
      <c r="WWT323" s="14"/>
      <c r="WWU323" s="14"/>
      <c r="WWV323" s="14"/>
      <c r="WWW323" s="14"/>
      <c r="WWX323" s="14"/>
      <c r="WWY323" s="14"/>
      <c r="WWZ323" s="14"/>
      <c r="WXA323" s="14"/>
      <c r="WXB323" s="14"/>
      <c r="WXC323" s="14"/>
      <c r="WXD323" s="14"/>
      <c r="WXE323" s="14"/>
      <c r="WXF323" s="14"/>
      <c r="WXG323" s="14"/>
      <c r="WXH323" s="14"/>
      <c r="WXI323" s="14"/>
      <c r="WXJ323" s="14"/>
      <c r="WXK323" s="14"/>
      <c r="WXL323" s="14"/>
      <c r="WXM323" s="14"/>
      <c r="WXN323" s="14"/>
      <c r="WXO323" s="14"/>
      <c r="WXP323" s="14"/>
      <c r="WXQ323" s="14"/>
      <c r="WXR323" s="14"/>
      <c r="WXS323" s="14"/>
      <c r="WXT323" s="14"/>
      <c r="WXU323" s="14"/>
      <c r="WXV323" s="14"/>
      <c r="WXW323" s="14"/>
      <c r="WXX323" s="14"/>
      <c r="WXY323" s="14"/>
      <c r="WXZ323" s="14"/>
      <c r="WYA323" s="14"/>
      <c r="WYB323" s="14"/>
      <c r="WYC323" s="14"/>
      <c r="WYD323" s="14"/>
      <c r="WYE323" s="14"/>
      <c r="WYF323" s="14"/>
      <c r="WYG323" s="14"/>
      <c r="WYH323" s="14"/>
      <c r="WYI323" s="14"/>
      <c r="WYJ323" s="14"/>
      <c r="WYK323" s="14"/>
      <c r="WYL323" s="14"/>
      <c r="WYM323" s="14"/>
      <c r="WYN323" s="14"/>
      <c r="WYO323" s="14"/>
      <c r="WYP323" s="14"/>
      <c r="WYQ323" s="14"/>
      <c r="WYR323" s="14"/>
      <c r="WYS323" s="14"/>
      <c r="WYT323" s="14"/>
      <c r="WYU323" s="14"/>
      <c r="WYV323" s="14"/>
      <c r="WYW323" s="14"/>
      <c r="WYX323" s="14"/>
      <c r="WYY323" s="14"/>
      <c r="WYZ323" s="14"/>
      <c r="WZA323" s="14"/>
      <c r="WZB323" s="14"/>
      <c r="WZC323" s="14"/>
      <c r="WZD323" s="14"/>
      <c r="WZE323" s="14"/>
      <c r="WZF323" s="14"/>
      <c r="WZG323" s="14"/>
      <c r="WZH323" s="14"/>
      <c r="WZI323" s="14"/>
      <c r="WZJ323" s="14"/>
      <c r="WZK323" s="14"/>
      <c r="WZL323" s="14"/>
      <c r="WZM323" s="14"/>
      <c r="WZN323" s="14"/>
      <c r="WZO323" s="14"/>
      <c r="WZP323" s="14"/>
      <c r="WZQ323" s="14"/>
      <c r="WZR323" s="14"/>
      <c r="WZS323" s="14"/>
      <c r="WZT323" s="14"/>
      <c r="WZU323" s="14"/>
      <c r="WZV323" s="14"/>
      <c r="WZW323" s="14"/>
      <c r="WZX323" s="14"/>
      <c r="WZY323" s="14"/>
      <c r="WZZ323" s="14"/>
      <c r="XAA323" s="14"/>
      <c r="XAB323" s="14"/>
      <c r="XAC323" s="14"/>
      <c r="XAD323" s="14"/>
      <c r="XAE323" s="14"/>
      <c r="XAF323" s="14"/>
      <c r="XAG323" s="14"/>
      <c r="XAH323" s="14"/>
      <c r="XAI323" s="14"/>
      <c r="XAJ323" s="14"/>
      <c r="XAK323" s="14"/>
      <c r="XAL323" s="14"/>
      <c r="XAM323" s="14"/>
      <c r="XAN323" s="14"/>
      <c r="XAO323" s="14"/>
      <c r="XAP323" s="14"/>
      <c r="XAQ323" s="14"/>
      <c r="XAR323" s="14"/>
      <c r="XAS323" s="14"/>
      <c r="XAT323" s="14"/>
      <c r="XAU323" s="14"/>
      <c r="XAV323" s="14"/>
      <c r="XAW323" s="14"/>
      <c r="XAX323" s="14"/>
      <c r="XAY323" s="14"/>
      <c r="XAZ323" s="14"/>
      <c r="XBA323" s="14"/>
      <c r="XBB323" s="14"/>
      <c r="XBC323" s="14"/>
      <c r="XBD323" s="14"/>
      <c r="XBE323" s="14"/>
      <c r="XBF323" s="14"/>
      <c r="XBG323" s="14"/>
      <c r="XBH323" s="14"/>
      <c r="XBI323" s="14"/>
      <c r="XBJ323" s="14"/>
      <c r="XBK323" s="14"/>
      <c r="XBL323" s="14"/>
      <c r="XBM323" s="14"/>
      <c r="XBN323" s="14"/>
      <c r="XBO323" s="14"/>
      <c r="XBP323" s="14"/>
      <c r="XBQ323" s="14"/>
      <c r="XBR323" s="14"/>
      <c r="XBS323" s="14"/>
      <c r="XBT323" s="14"/>
      <c r="XBU323" s="14"/>
      <c r="XBV323" s="14"/>
      <c r="XBW323" s="14"/>
      <c r="XBX323" s="14"/>
      <c r="XBY323" s="14"/>
      <c r="XBZ323" s="14"/>
      <c r="XCA323" s="14"/>
      <c r="XCB323" s="14"/>
      <c r="XCC323" s="14"/>
      <c r="XCD323" s="14"/>
      <c r="XCE323" s="14"/>
      <c r="XCF323" s="14"/>
      <c r="XCG323" s="14"/>
      <c r="XCH323" s="14"/>
      <c r="XCI323" s="14"/>
      <c r="XCJ323" s="14"/>
      <c r="XCK323" s="14"/>
      <c r="XCL323" s="14"/>
      <c r="XCM323" s="14"/>
      <c r="XCN323" s="14"/>
      <c r="XCO323" s="14"/>
      <c r="XCP323" s="14"/>
      <c r="XCQ323" s="14"/>
      <c r="XCR323" s="14"/>
      <c r="XCS323" s="14"/>
      <c r="XCT323" s="14"/>
      <c r="XCU323" s="14"/>
      <c r="XCV323" s="14"/>
      <c r="XCW323" s="14"/>
      <c r="XCX323" s="14"/>
      <c r="XCY323" s="14"/>
      <c r="XCZ323" s="14"/>
      <c r="XDA323" s="14"/>
      <c r="XDB323" s="14"/>
      <c r="XDC323" s="14"/>
      <c r="XDD323" s="14"/>
      <c r="XDE323" s="14"/>
      <c r="XDF323" s="14"/>
      <c r="XDG323" s="14"/>
      <c r="XDH323" s="14"/>
      <c r="XDI323" s="14"/>
      <c r="XDJ323" s="14"/>
      <c r="XDK323" s="14"/>
      <c r="XDL323" s="14"/>
      <c r="XDM323" s="14"/>
      <c r="XDN323" s="14"/>
      <c r="XDO323" s="14"/>
      <c r="XDP323" s="14"/>
      <c r="XDQ323" s="14"/>
      <c r="XDR323" s="14"/>
      <c r="XDS323" s="14"/>
      <c r="XDT323" s="14"/>
      <c r="XDU323" s="14"/>
      <c r="XDV323" s="14"/>
      <c r="XDW323" s="14"/>
      <c r="XDX323" s="14"/>
      <c r="XDY323" s="14"/>
      <c r="XDZ323" s="14"/>
      <c r="XEA323" s="14"/>
      <c r="XEB323" s="14"/>
      <c r="XEC323" s="14"/>
      <c r="XED323" s="14"/>
      <c r="XEE323" s="14"/>
      <c r="XEF323" s="14"/>
      <c r="XEG323" s="14"/>
      <c r="XEH323" s="14"/>
      <c r="XEI323" s="14"/>
      <c r="XEJ323" s="14"/>
      <c r="XEK323" s="14"/>
      <c r="XEL323" s="14"/>
      <c r="XEM323" s="14"/>
      <c r="XEN323" s="14"/>
      <c r="XEO323" s="14"/>
      <c r="XEP323" s="14"/>
      <c r="XEQ323" s="14"/>
      <c r="XER323" s="14"/>
      <c r="XES323" s="14"/>
      <c r="XET323" s="14"/>
      <c r="XEU323" s="14"/>
    </row>
    <row r="324" spans="1:16375" ht="15" customHeight="1" x14ac:dyDescent="0.3">
      <c r="A324" s="59" t="s">
        <v>196</v>
      </c>
      <c r="B324" s="60">
        <v>45650</v>
      </c>
      <c r="C324" s="61" t="s">
        <v>536</v>
      </c>
      <c r="D324" s="62" t="s">
        <v>566</v>
      </c>
      <c r="E324" s="63">
        <v>24212000</v>
      </c>
      <c r="F324" s="63">
        <f t="shared" si="17"/>
        <v>1936960</v>
      </c>
      <c r="G324" s="64">
        <f t="shared" si="15"/>
        <v>26148960</v>
      </c>
      <c r="H324" s="65">
        <v>26148960</v>
      </c>
      <c r="I324" s="65"/>
      <c r="J324" s="66">
        <f t="shared" si="16"/>
        <v>0</v>
      </c>
      <c r="K324" s="67">
        <v>45772</v>
      </c>
      <c r="L324" s="94"/>
    </row>
    <row r="325" spans="1:16375" ht="15" customHeight="1" x14ac:dyDescent="0.3">
      <c r="A325" s="59" t="s">
        <v>196</v>
      </c>
      <c r="B325" s="60">
        <v>45650</v>
      </c>
      <c r="C325" s="61" t="s">
        <v>537</v>
      </c>
      <c r="D325" s="62" t="s">
        <v>567</v>
      </c>
      <c r="E325" s="63">
        <v>11330750</v>
      </c>
      <c r="F325" s="63">
        <f t="shared" si="17"/>
        <v>906460</v>
      </c>
      <c r="G325" s="64">
        <f t="shared" si="15"/>
        <v>12237210</v>
      </c>
      <c r="H325" s="65">
        <v>12237210</v>
      </c>
      <c r="I325" s="65"/>
      <c r="J325" s="66">
        <f t="shared" si="16"/>
        <v>0</v>
      </c>
      <c r="K325" s="67">
        <v>45772</v>
      </c>
      <c r="L325" s="94"/>
    </row>
    <row r="326" spans="1:16375" ht="15" customHeight="1" x14ac:dyDescent="0.3">
      <c r="A326" s="59" t="s">
        <v>203</v>
      </c>
      <c r="B326" s="60" t="s">
        <v>557</v>
      </c>
      <c r="C326" s="61" t="s">
        <v>538</v>
      </c>
      <c r="D326" s="62"/>
      <c r="E326" s="63">
        <v>8962750</v>
      </c>
      <c r="F326" s="63">
        <f t="shared" si="17"/>
        <v>717020</v>
      </c>
      <c r="G326" s="64">
        <f t="shared" si="15"/>
        <v>9679770</v>
      </c>
      <c r="H326" s="65">
        <v>9679770</v>
      </c>
      <c r="I326" s="65"/>
      <c r="J326" s="66">
        <f t="shared" si="16"/>
        <v>0</v>
      </c>
      <c r="K326" s="67">
        <v>45772</v>
      </c>
      <c r="L326" s="94"/>
    </row>
    <row r="327" spans="1:16375" ht="15" customHeight="1" x14ac:dyDescent="0.3">
      <c r="A327" s="59" t="s">
        <v>253</v>
      </c>
      <c r="B327" s="60" t="s">
        <v>557</v>
      </c>
      <c r="C327" s="61" t="s">
        <v>539</v>
      </c>
      <c r="D327" s="62"/>
      <c r="E327" s="63">
        <v>5356000</v>
      </c>
      <c r="F327" s="63">
        <f t="shared" si="17"/>
        <v>428480</v>
      </c>
      <c r="G327" s="64">
        <f t="shared" si="15"/>
        <v>5784480</v>
      </c>
      <c r="H327" s="65">
        <v>5784480</v>
      </c>
      <c r="I327" s="65"/>
      <c r="J327" s="66">
        <f t="shared" si="16"/>
        <v>0</v>
      </c>
      <c r="K327" s="67">
        <v>45772</v>
      </c>
      <c r="L327" s="94"/>
    </row>
    <row r="328" spans="1:16375" ht="15" customHeight="1" x14ac:dyDescent="0.3">
      <c r="A328" s="59" t="s">
        <v>253</v>
      </c>
      <c r="B328" s="60" t="s">
        <v>557</v>
      </c>
      <c r="C328" s="61" t="s">
        <v>540</v>
      </c>
      <c r="D328" s="62"/>
      <c r="E328" s="63">
        <v>37868000</v>
      </c>
      <c r="F328" s="63">
        <f t="shared" si="17"/>
        <v>3029440</v>
      </c>
      <c r="G328" s="64">
        <f t="shared" si="15"/>
        <v>40897440</v>
      </c>
      <c r="H328" s="65">
        <v>40897440</v>
      </c>
      <c r="I328" s="65"/>
      <c r="J328" s="66">
        <f t="shared" si="16"/>
        <v>0</v>
      </c>
      <c r="K328" s="67">
        <v>45772</v>
      </c>
      <c r="L328" s="94"/>
    </row>
    <row r="329" spans="1:16375" ht="15" customHeight="1" x14ac:dyDescent="0.3">
      <c r="A329" s="59" t="s">
        <v>196</v>
      </c>
      <c r="B329" s="60">
        <v>45664</v>
      </c>
      <c r="C329" s="61" t="s">
        <v>541</v>
      </c>
      <c r="D329" s="62" t="s">
        <v>604</v>
      </c>
      <c r="E329" s="63">
        <v>4280000</v>
      </c>
      <c r="F329" s="63">
        <f t="shared" si="17"/>
        <v>342400</v>
      </c>
      <c r="G329" s="64">
        <f t="shared" ref="G329:G391" si="18">E329+F329</f>
        <v>4622400</v>
      </c>
      <c r="H329" s="65">
        <v>4622400</v>
      </c>
      <c r="I329" s="65"/>
      <c r="J329" s="66">
        <f t="shared" si="16"/>
        <v>0</v>
      </c>
      <c r="K329" s="67">
        <v>45772</v>
      </c>
      <c r="L329" s="94"/>
    </row>
    <row r="330" spans="1:16375" ht="15" customHeight="1" x14ac:dyDescent="0.3">
      <c r="A330" s="59" t="s">
        <v>196</v>
      </c>
      <c r="B330" s="60" t="s">
        <v>558</v>
      </c>
      <c r="C330" s="61" t="s">
        <v>542</v>
      </c>
      <c r="D330" s="62"/>
      <c r="E330" s="63">
        <v>3736000</v>
      </c>
      <c r="F330" s="63">
        <f t="shared" si="17"/>
        <v>298880</v>
      </c>
      <c r="G330" s="64">
        <f t="shared" si="18"/>
        <v>4034880</v>
      </c>
      <c r="H330" s="65">
        <v>4034880</v>
      </c>
      <c r="I330" s="65"/>
      <c r="J330" s="66">
        <f t="shared" ref="J330:J392" si="19">G330-H330</f>
        <v>0</v>
      </c>
      <c r="K330" s="67">
        <v>45772</v>
      </c>
      <c r="L330" s="94"/>
    </row>
    <row r="331" spans="1:16375" ht="15" customHeight="1" x14ac:dyDescent="0.3">
      <c r="A331" s="59" t="s">
        <v>203</v>
      </c>
      <c r="B331" s="60" t="s">
        <v>558</v>
      </c>
      <c r="C331" s="61" t="s">
        <v>543</v>
      </c>
      <c r="D331" s="62"/>
      <c r="E331" s="63">
        <v>1866750</v>
      </c>
      <c r="F331" s="63">
        <f t="shared" si="17"/>
        <v>149340</v>
      </c>
      <c r="G331" s="64">
        <f t="shared" si="18"/>
        <v>2016090</v>
      </c>
      <c r="H331" s="65">
        <v>2016090</v>
      </c>
      <c r="I331" s="65"/>
      <c r="J331" s="66">
        <f t="shared" si="19"/>
        <v>0</v>
      </c>
      <c r="K331" s="67">
        <v>45772</v>
      </c>
      <c r="L331" s="94"/>
    </row>
    <row r="332" spans="1:16375" ht="15" customHeight="1" x14ac:dyDescent="0.3">
      <c r="A332" s="59" t="s">
        <v>203</v>
      </c>
      <c r="B332" s="60" t="s">
        <v>559</v>
      </c>
      <c r="C332" s="61" t="s">
        <v>544</v>
      </c>
      <c r="D332" s="62"/>
      <c r="E332" s="63">
        <v>10400000</v>
      </c>
      <c r="F332" s="63">
        <f t="shared" si="17"/>
        <v>832000</v>
      </c>
      <c r="G332" s="64">
        <f t="shared" si="18"/>
        <v>11232000</v>
      </c>
      <c r="H332" s="65">
        <v>11232000</v>
      </c>
      <c r="I332" s="65"/>
      <c r="J332" s="66">
        <f t="shared" si="19"/>
        <v>0</v>
      </c>
      <c r="K332" s="67">
        <v>45772</v>
      </c>
      <c r="L332" s="94"/>
    </row>
    <row r="333" spans="1:16375" ht="15" customHeight="1" x14ac:dyDescent="0.3">
      <c r="A333" s="59" t="s">
        <v>196</v>
      </c>
      <c r="B333" s="60">
        <v>45663</v>
      </c>
      <c r="C333" s="61" t="s">
        <v>545</v>
      </c>
      <c r="D333" s="62" t="s">
        <v>602</v>
      </c>
      <c r="E333" s="63">
        <v>3316000</v>
      </c>
      <c r="F333" s="63">
        <f t="shared" si="17"/>
        <v>265280</v>
      </c>
      <c r="G333" s="64">
        <f t="shared" si="18"/>
        <v>3581280</v>
      </c>
      <c r="H333" s="65">
        <v>3581280</v>
      </c>
      <c r="I333" s="65"/>
      <c r="J333" s="66">
        <f t="shared" si="19"/>
        <v>0</v>
      </c>
      <c r="K333" s="67">
        <v>45772</v>
      </c>
      <c r="L333" s="94"/>
    </row>
    <row r="334" spans="1:16375" ht="15" customHeight="1" x14ac:dyDescent="0.3">
      <c r="A334" s="59" t="s">
        <v>196</v>
      </c>
      <c r="B334" s="60">
        <v>45664</v>
      </c>
      <c r="C334" s="61" t="s">
        <v>546</v>
      </c>
      <c r="D334" s="62" t="s">
        <v>605</v>
      </c>
      <c r="E334" s="63">
        <v>2500000</v>
      </c>
      <c r="F334" s="63">
        <f t="shared" si="17"/>
        <v>200000</v>
      </c>
      <c r="G334" s="64">
        <f t="shared" si="18"/>
        <v>2700000</v>
      </c>
      <c r="H334" s="65">
        <v>2700000</v>
      </c>
      <c r="I334" s="65"/>
      <c r="J334" s="66">
        <f t="shared" si="19"/>
        <v>0</v>
      </c>
      <c r="K334" s="67">
        <v>45772</v>
      </c>
      <c r="L334" s="94"/>
    </row>
    <row r="335" spans="1:16375" ht="15" customHeight="1" x14ac:dyDescent="0.3">
      <c r="A335" s="59" t="s">
        <v>253</v>
      </c>
      <c r="B335" s="60" t="s">
        <v>560</v>
      </c>
      <c r="C335" s="61" t="s">
        <v>547</v>
      </c>
      <c r="D335" s="62"/>
      <c r="E335" s="63">
        <v>8246000</v>
      </c>
      <c r="F335" s="63">
        <f t="shared" si="17"/>
        <v>659680</v>
      </c>
      <c r="G335" s="64">
        <f t="shared" si="18"/>
        <v>8905680</v>
      </c>
      <c r="H335" s="65">
        <v>8905680</v>
      </c>
      <c r="I335" s="65"/>
      <c r="J335" s="66">
        <f t="shared" si="19"/>
        <v>0</v>
      </c>
      <c r="K335" s="67">
        <v>45772</v>
      </c>
      <c r="L335" s="94"/>
    </row>
    <row r="336" spans="1:16375" ht="15" customHeight="1" x14ac:dyDescent="0.3">
      <c r="A336" s="59" t="s">
        <v>196</v>
      </c>
      <c r="B336" s="60">
        <v>45663</v>
      </c>
      <c r="C336" s="61" t="s">
        <v>548</v>
      </c>
      <c r="D336" s="62" t="s">
        <v>601</v>
      </c>
      <c r="E336" s="63">
        <v>3800000</v>
      </c>
      <c r="F336" s="63">
        <f t="shared" si="17"/>
        <v>304000</v>
      </c>
      <c r="G336" s="64">
        <f t="shared" si="18"/>
        <v>4104000</v>
      </c>
      <c r="H336" s="65">
        <v>4104000</v>
      </c>
      <c r="I336" s="65"/>
      <c r="J336" s="66">
        <f t="shared" si="19"/>
        <v>0</v>
      </c>
      <c r="K336" s="67">
        <v>45772</v>
      </c>
      <c r="L336" s="94"/>
    </row>
    <row r="337" spans="1:12" ht="15" customHeight="1" x14ac:dyDescent="0.3">
      <c r="A337" s="59" t="s">
        <v>203</v>
      </c>
      <c r="B337" s="60" t="s">
        <v>560</v>
      </c>
      <c r="C337" s="61" t="s">
        <v>549</v>
      </c>
      <c r="D337" s="62"/>
      <c r="E337" s="63">
        <v>12996000</v>
      </c>
      <c r="F337" s="63">
        <f t="shared" si="17"/>
        <v>1039680</v>
      </c>
      <c r="G337" s="64">
        <f t="shared" si="18"/>
        <v>14035680</v>
      </c>
      <c r="H337" s="65">
        <v>14035680</v>
      </c>
      <c r="I337" s="65"/>
      <c r="J337" s="66">
        <f t="shared" si="19"/>
        <v>0</v>
      </c>
      <c r="K337" s="67">
        <v>45772</v>
      </c>
      <c r="L337" s="94"/>
    </row>
    <row r="338" spans="1:12" ht="15" customHeight="1" x14ac:dyDescent="0.3">
      <c r="A338" s="59" t="s">
        <v>253</v>
      </c>
      <c r="B338" s="60" t="s">
        <v>561</v>
      </c>
      <c r="C338" s="61" t="s">
        <v>550</v>
      </c>
      <c r="D338" s="62"/>
      <c r="E338" s="63">
        <v>5480000</v>
      </c>
      <c r="F338" s="63">
        <f t="shared" si="17"/>
        <v>438400</v>
      </c>
      <c r="G338" s="64">
        <f t="shared" si="18"/>
        <v>5918400</v>
      </c>
      <c r="H338" s="65">
        <v>5918400</v>
      </c>
      <c r="I338" s="65"/>
      <c r="J338" s="66">
        <f t="shared" si="19"/>
        <v>0</v>
      </c>
      <c r="K338" s="67">
        <v>45772</v>
      </c>
      <c r="L338" s="94"/>
    </row>
    <row r="339" spans="1:12" ht="15" customHeight="1" x14ac:dyDescent="0.3">
      <c r="A339" s="59" t="s">
        <v>196</v>
      </c>
      <c r="B339" s="60">
        <v>45664</v>
      </c>
      <c r="C339" s="61" t="s">
        <v>551</v>
      </c>
      <c r="D339" s="62" t="s">
        <v>600</v>
      </c>
      <c r="E339" s="63">
        <v>15200000</v>
      </c>
      <c r="F339" s="63">
        <f t="shared" si="17"/>
        <v>1216000</v>
      </c>
      <c r="G339" s="64">
        <f t="shared" si="18"/>
        <v>16416000</v>
      </c>
      <c r="H339" s="65">
        <v>16416000</v>
      </c>
      <c r="I339" s="65"/>
      <c r="J339" s="66">
        <f t="shared" si="19"/>
        <v>0</v>
      </c>
      <c r="K339" s="67">
        <v>45772</v>
      </c>
      <c r="L339" s="94"/>
    </row>
    <row r="340" spans="1:12" ht="15" customHeight="1" x14ac:dyDescent="0.3">
      <c r="A340" s="59" t="s">
        <v>203</v>
      </c>
      <c r="B340" s="60" t="s">
        <v>562</v>
      </c>
      <c r="C340" s="61" t="s">
        <v>552</v>
      </c>
      <c r="D340" s="62"/>
      <c r="E340" s="63">
        <v>19494000</v>
      </c>
      <c r="F340" s="63">
        <f t="shared" si="17"/>
        <v>1559520</v>
      </c>
      <c r="G340" s="64">
        <f t="shared" si="18"/>
        <v>21053520</v>
      </c>
      <c r="H340" s="65">
        <v>21053520</v>
      </c>
      <c r="I340" s="65"/>
      <c r="J340" s="66">
        <f t="shared" si="19"/>
        <v>0</v>
      </c>
      <c r="K340" s="67">
        <v>45772</v>
      </c>
      <c r="L340" s="94"/>
    </row>
    <row r="341" spans="1:12" ht="15" customHeight="1" x14ac:dyDescent="0.3">
      <c r="A341" s="59" t="s">
        <v>253</v>
      </c>
      <c r="B341" s="60" t="s">
        <v>562</v>
      </c>
      <c r="C341" s="61" t="s">
        <v>553</v>
      </c>
      <c r="D341" s="62"/>
      <c r="E341" s="63">
        <v>12312000</v>
      </c>
      <c r="F341" s="63">
        <f t="shared" si="17"/>
        <v>984960</v>
      </c>
      <c r="G341" s="64">
        <f t="shared" si="18"/>
        <v>13296960</v>
      </c>
      <c r="H341" s="65">
        <v>13296960</v>
      </c>
      <c r="I341" s="65"/>
      <c r="J341" s="66">
        <f t="shared" si="19"/>
        <v>0</v>
      </c>
      <c r="K341" s="67">
        <v>45772</v>
      </c>
      <c r="L341" s="94"/>
    </row>
    <row r="342" spans="1:12" ht="15" customHeight="1" x14ac:dyDescent="0.3">
      <c r="A342" s="59" t="s">
        <v>253</v>
      </c>
      <c r="B342" s="60" t="s">
        <v>562</v>
      </c>
      <c r="C342" s="61" t="s">
        <v>554</v>
      </c>
      <c r="D342" s="62"/>
      <c r="E342" s="63">
        <v>19494000</v>
      </c>
      <c r="F342" s="63">
        <f t="shared" si="17"/>
        <v>1559520</v>
      </c>
      <c r="G342" s="64">
        <f t="shared" si="18"/>
        <v>21053520</v>
      </c>
      <c r="H342" s="65">
        <v>21053520</v>
      </c>
      <c r="I342" s="65"/>
      <c r="J342" s="66">
        <f t="shared" si="19"/>
        <v>0</v>
      </c>
      <c r="K342" s="67">
        <v>45772</v>
      </c>
      <c r="L342" s="94"/>
    </row>
    <row r="343" spans="1:12" ht="15" customHeight="1" x14ac:dyDescent="0.3">
      <c r="A343" s="59" t="s">
        <v>196</v>
      </c>
      <c r="B343" s="60">
        <v>45671</v>
      </c>
      <c r="C343" s="61" t="s">
        <v>568</v>
      </c>
      <c r="D343" s="62" t="s">
        <v>598</v>
      </c>
      <c r="E343" s="63">
        <v>21375000</v>
      </c>
      <c r="F343" s="63">
        <f t="shared" si="17"/>
        <v>1710000</v>
      </c>
      <c r="G343" s="64">
        <f t="shared" si="18"/>
        <v>23085000</v>
      </c>
      <c r="H343" s="65">
        <v>23085000</v>
      </c>
      <c r="I343" s="65"/>
      <c r="J343" s="66">
        <f t="shared" si="19"/>
        <v>0</v>
      </c>
      <c r="K343" s="67">
        <v>45772</v>
      </c>
      <c r="L343" s="94"/>
    </row>
    <row r="344" spans="1:12" ht="15" customHeight="1" x14ac:dyDescent="0.3">
      <c r="A344" s="59" t="s">
        <v>253</v>
      </c>
      <c r="B344" s="60" t="s">
        <v>582</v>
      </c>
      <c r="C344" s="61" t="s">
        <v>569</v>
      </c>
      <c r="D344" s="62"/>
      <c r="E344" s="63">
        <v>14896000</v>
      </c>
      <c r="F344" s="63">
        <f t="shared" si="17"/>
        <v>1191680</v>
      </c>
      <c r="G344" s="64">
        <f t="shared" si="18"/>
        <v>16087680</v>
      </c>
      <c r="H344" s="65">
        <v>16087680</v>
      </c>
      <c r="I344" s="65"/>
      <c r="J344" s="66">
        <f t="shared" si="19"/>
        <v>0</v>
      </c>
      <c r="K344" s="67">
        <v>45772</v>
      </c>
      <c r="L344" s="94"/>
    </row>
    <row r="345" spans="1:12" ht="15" customHeight="1" x14ac:dyDescent="0.3">
      <c r="A345" s="59" t="s">
        <v>203</v>
      </c>
      <c r="B345" s="60" t="s">
        <v>582</v>
      </c>
      <c r="C345" s="61" t="s">
        <v>570</v>
      </c>
      <c r="D345" s="62"/>
      <c r="E345" s="63">
        <v>19494000</v>
      </c>
      <c r="F345" s="63">
        <f t="shared" si="17"/>
        <v>1559520</v>
      </c>
      <c r="G345" s="64">
        <f t="shared" si="18"/>
        <v>21053520</v>
      </c>
      <c r="H345" s="65">
        <v>21053520</v>
      </c>
      <c r="I345" s="65"/>
      <c r="J345" s="66">
        <f t="shared" si="19"/>
        <v>0</v>
      </c>
      <c r="K345" s="67">
        <v>45772</v>
      </c>
      <c r="L345" s="94"/>
    </row>
    <row r="346" spans="1:12" ht="15" customHeight="1" x14ac:dyDescent="0.3">
      <c r="A346" s="59" t="s">
        <v>253</v>
      </c>
      <c r="B346" s="60">
        <v>45663</v>
      </c>
      <c r="C346" s="61" t="s">
        <v>571</v>
      </c>
      <c r="D346" s="62" t="s">
        <v>603</v>
      </c>
      <c r="E346" s="63">
        <v>21432000</v>
      </c>
      <c r="F346" s="63">
        <f t="shared" si="17"/>
        <v>1714560</v>
      </c>
      <c r="G346" s="64">
        <f t="shared" si="18"/>
        <v>23146560</v>
      </c>
      <c r="H346" s="65">
        <v>23146560</v>
      </c>
      <c r="I346" s="65"/>
      <c r="J346" s="66">
        <f t="shared" si="19"/>
        <v>0</v>
      </c>
      <c r="K346" s="67">
        <v>45772</v>
      </c>
      <c r="L346" s="94"/>
    </row>
    <row r="347" spans="1:12" ht="15" customHeight="1" x14ac:dyDescent="0.3">
      <c r="A347" s="59" t="s">
        <v>196</v>
      </c>
      <c r="B347" s="60">
        <v>45671</v>
      </c>
      <c r="C347" s="61" t="s">
        <v>572</v>
      </c>
      <c r="D347" s="62" t="s">
        <v>599</v>
      </c>
      <c r="E347" s="63">
        <v>5464000</v>
      </c>
      <c r="F347" s="63">
        <f t="shared" si="17"/>
        <v>437120</v>
      </c>
      <c r="G347" s="64">
        <f t="shared" si="18"/>
        <v>5901120</v>
      </c>
      <c r="H347" s="65">
        <v>5901120</v>
      </c>
      <c r="I347" s="65"/>
      <c r="J347" s="66">
        <f t="shared" si="19"/>
        <v>0</v>
      </c>
      <c r="K347" s="67">
        <v>45772</v>
      </c>
      <c r="L347" s="94"/>
    </row>
    <row r="348" spans="1:12" ht="15" customHeight="1" x14ac:dyDescent="0.3">
      <c r="A348" s="59" t="s">
        <v>203</v>
      </c>
      <c r="B348" s="60" t="s">
        <v>582</v>
      </c>
      <c r="C348" s="61" t="s">
        <v>573</v>
      </c>
      <c r="D348" s="62"/>
      <c r="E348" s="63">
        <v>4080000</v>
      </c>
      <c r="F348" s="63">
        <f t="shared" si="17"/>
        <v>326400</v>
      </c>
      <c r="G348" s="64">
        <f t="shared" si="18"/>
        <v>4406400</v>
      </c>
      <c r="H348" s="65">
        <v>4406400</v>
      </c>
      <c r="I348" s="65"/>
      <c r="J348" s="66">
        <f t="shared" si="19"/>
        <v>0</v>
      </c>
      <c r="K348" s="67">
        <v>45772</v>
      </c>
      <c r="L348" s="94"/>
    </row>
    <row r="349" spans="1:12" s="76" customFormat="1" ht="15" customHeight="1" x14ac:dyDescent="0.3">
      <c r="A349" s="68" t="s">
        <v>196</v>
      </c>
      <c r="B349" s="69" t="s">
        <v>583</v>
      </c>
      <c r="C349" s="70" t="s">
        <v>574</v>
      </c>
      <c r="D349" s="70"/>
      <c r="E349" s="71">
        <v>12996000</v>
      </c>
      <c r="F349" s="71"/>
      <c r="G349" s="72"/>
      <c r="H349" s="73"/>
      <c r="I349" s="73"/>
      <c r="J349" s="74">
        <f t="shared" si="19"/>
        <v>0</v>
      </c>
      <c r="K349" s="67" t="s">
        <v>405</v>
      </c>
      <c r="L349" s="94"/>
    </row>
    <row r="350" spans="1:12" ht="15" customHeight="1" x14ac:dyDescent="0.3">
      <c r="A350" s="59" t="s">
        <v>203</v>
      </c>
      <c r="B350" s="60" t="s">
        <v>584</v>
      </c>
      <c r="C350" s="61" t="s">
        <v>575</v>
      </c>
      <c r="D350" s="62"/>
      <c r="E350" s="63">
        <v>38361000</v>
      </c>
      <c r="F350" s="63">
        <f t="shared" si="17"/>
        <v>3068880</v>
      </c>
      <c r="G350" s="64">
        <f t="shared" si="18"/>
        <v>41429880</v>
      </c>
      <c r="H350" s="65">
        <v>41429880</v>
      </c>
      <c r="I350" s="65"/>
      <c r="J350" s="66">
        <f t="shared" si="19"/>
        <v>0</v>
      </c>
      <c r="K350" s="67">
        <v>45772</v>
      </c>
      <c r="L350" s="94"/>
    </row>
    <row r="351" spans="1:12" ht="15" customHeight="1" x14ac:dyDescent="0.3">
      <c r="A351" s="59" t="s">
        <v>253</v>
      </c>
      <c r="B351" s="60" t="s">
        <v>584</v>
      </c>
      <c r="C351" s="61" t="s">
        <v>576</v>
      </c>
      <c r="D351" s="62"/>
      <c r="E351" s="63">
        <v>38361000</v>
      </c>
      <c r="F351" s="63">
        <f t="shared" si="17"/>
        <v>3068880</v>
      </c>
      <c r="G351" s="64">
        <f t="shared" si="18"/>
        <v>41429880</v>
      </c>
      <c r="H351" s="65">
        <v>41429880</v>
      </c>
      <c r="I351" s="65"/>
      <c r="J351" s="66">
        <f t="shared" si="19"/>
        <v>0</v>
      </c>
      <c r="K351" s="67">
        <v>45772</v>
      </c>
      <c r="L351" s="94"/>
    </row>
    <row r="352" spans="1:12" ht="15" customHeight="1" x14ac:dyDescent="0.3">
      <c r="A352" s="59" t="s">
        <v>196</v>
      </c>
      <c r="B352" s="60" t="s">
        <v>584</v>
      </c>
      <c r="C352" s="62" t="s">
        <v>577</v>
      </c>
      <c r="D352" s="62"/>
      <c r="E352" s="63">
        <v>61351000</v>
      </c>
      <c r="F352" s="63"/>
      <c r="G352" s="64"/>
      <c r="H352" s="65"/>
      <c r="I352" s="65"/>
      <c r="J352" s="66">
        <f t="shared" si="19"/>
        <v>0</v>
      </c>
      <c r="K352" s="67" t="s">
        <v>405</v>
      </c>
      <c r="L352" s="94"/>
    </row>
    <row r="353" spans="1:12" ht="15" customHeight="1" x14ac:dyDescent="0.3">
      <c r="A353" s="59" t="s">
        <v>196</v>
      </c>
      <c r="B353" s="60">
        <v>45673</v>
      </c>
      <c r="C353" s="61" t="s">
        <v>578</v>
      </c>
      <c r="D353" s="62" t="s">
        <v>606</v>
      </c>
      <c r="E353" s="63">
        <v>29681500</v>
      </c>
      <c r="F353" s="63">
        <f t="shared" si="17"/>
        <v>2374520</v>
      </c>
      <c r="G353" s="64">
        <f t="shared" si="18"/>
        <v>32056020</v>
      </c>
      <c r="H353" s="65">
        <v>32056020</v>
      </c>
      <c r="I353" s="65"/>
      <c r="J353" s="66">
        <f t="shared" si="19"/>
        <v>0</v>
      </c>
      <c r="K353" s="67">
        <v>45772</v>
      </c>
      <c r="L353" s="94"/>
    </row>
    <row r="354" spans="1:12" ht="15" customHeight="1" x14ac:dyDescent="0.3">
      <c r="A354" s="59" t="s">
        <v>253</v>
      </c>
      <c r="B354" s="60" t="s">
        <v>585</v>
      </c>
      <c r="C354" s="61" t="s">
        <v>579</v>
      </c>
      <c r="D354" s="62"/>
      <c r="E354" s="63">
        <v>7570750</v>
      </c>
      <c r="F354" s="63">
        <f t="shared" si="17"/>
        <v>605660</v>
      </c>
      <c r="G354" s="64">
        <f t="shared" si="18"/>
        <v>8176410</v>
      </c>
      <c r="H354" s="65">
        <v>8176410</v>
      </c>
      <c r="I354" s="65"/>
      <c r="J354" s="66">
        <f t="shared" si="19"/>
        <v>0</v>
      </c>
      <c r="K354" s="67">
        <v>45772</v>
      </c>
      <c r="L354" s="94"/>
    </row>
    <row r="355" spans="1:12" ht="15" customHeight="1" x14ac:dyDescent="0.3">
      <c r="A355" s="59" t="s">
        <v>203</v>
      </c>
      <c r="B355" s="60" t="s">
        <v>585</v>
      </c>
      <c r="C355" s="61" t="s">
        <v>580</v>
      </c>
      <c r="D355" s="62"/>
      <c r="E355" s="63">
        <v>20594500</v>
      </c>
      <c r="F355" s="63">
        <f t="shared" si="17"/>
        <v>1647560</v>
      </c>
      <c r="G355" s="64">
        <f t="shared" si="18"/>
        <v>22242060</v>
      </c>
      <c r="H355" s="65">
        <v>22242060</v>
      </c>
      <c r="I355" s="65"/>
      <c r="J355" s="66">
        <f t="shared" si="19"/>
        <v>0</v>
      </c>
      <c r="K355" s="67">
        <v>45772</v>
      </c>
      <c r="L355" s="94"/>
    </row>
    <row r="356" spans="1:12" ht="15" customHeight="1" x14ac:dyDescent="0.3">
      <c r="A356" s="59" t="s">
        <v>196</v>
      </c>
      <c r="B356" s="60">
        <v>45705</v>
      </c>
      <c r="C356" s="61" t="s">
        <v>581</v>
      </c>
      <c r="D356" s="62" t="s">
        <v>630</v>
      </c>
      <c r="E356" s="63">
        <v>3316000</v>
      </c>
      <c r="F356" s="63">
        <f t="shared" si="17"/>
        <v>265280</v>
      </c>
      <c r="G356" s="64">
        <f t="shared" si="18"/>
        <v>3581280</v>
      </c>
      <c r="H356" s="65">
        <v>3581280</v>
      </c>
      <c r="I356" s="65"/>
      <c r="J356" s="66">
        <f t="shared" si="19"/>
        <v>0</v>
      </c>
      <c r="K356" s="67">
        <v>45772</v>
      </c>
      <c r="L356" s="94"/>
    </row>
    <row r="357" spans="1:12" ht="15" customHeight="1" x14ac:dyDescent="0.3">
      <c r="A357" s="59" t="s">
        <v>203</v>
      </c>
      <c r="B357" s="60" t="s">
        <v>595</v>
      </c>
      <c r="C357" s="61" t="s">
        <v>586</v>
      </c>
      <c r="D357" s="62"/>
      <c r="E357" s="63">
        <v>3240000</v>
      </c>
      <c r="F357" s="63">
        <f t="shared" si="17"/>
        <v>259200</v>
      </c>
      <c r="G357" s="64">
        <f t="shared" si="18"/>
        <v>3499200</v>
      </c>
      <c r="H357" s="65">
        <v>3499200</v>
      </c>
      <c r="I357" s="65"/>
      <c r="J357" s="66">
        <f t="shared" si="19"/>
        <v>0</v>
      </c>
      <c r="K357" s="67">
        <v>45772</v>
      </c>
      <c r="L357" s="94"/>
    </row>
    <row r="358" spans="1:12" ht="15" customHeight="1" x14ac:dyDescent="0.3">
      <c r="A358" s="59" t="s">
        <v>253</v>
      </c>
      <c r="B358" s="60" t="s">
        <v>595</v>
      </c>
      <c r="C358" s="62" t="s">
        <v>587</v>
      </c>
      <c r="D358" s="62"/>
      <c r="E358" s="63">
        <v>10800000</v>
      </c>
      <c r="F358" s="63"/>
      <c r="G358" s="64"/>
      <c r="H358" s="65"/>
      <c r="I358" s="65"/>
      <c r="J358" s="66">
        <f t="shared" si="19"/>
        <v>0</v>
      </c>
      <c r="K358" s="67" t="s">
        <v>405</v>
      </c>
      <c r="L358" s="94"/>
    </row>
    <row r="359" spans="1:12" ht="15" customHeight="1" x14ac:dyDescent="0.3">
      <c r="A359" s="59" t="s">
        <v>196</v>
      </c>
      <c r="B359" s="60" t="s">
        <v>595</v>
      </c>
      <c r="C359" s="62" t="s">
        <v>588</v>
      </c>
      <c r="D359" s="62"/>
      <c r="E359" s="63">
        <v>10800000</v>
      </c>
      <c r="F359" s="63"/>
      <c r="G359" s="64"/>
      <c r="H359" s="65"/>
      <c r="I359" s="65"/>
      <c r="J359" s="66">
        <f t="shared" si="19"/>
        <v>0</v>
      </c>
      <c r="K359" s="67" t="s">
        <v>405</v>
      </c>
      <c r="L359" s="94"/>
    </row>
    <row r="360" spans="1:12" ht="15" customHeight="1" x14ac:dyDescent="0.3">
      <c r="A360" s="59" t="s">
        <v>203</v>
      </c>
      <c r="B360" s="60" t="s">
        <v>596</v>
      </c>
      <c r="C360" s="61" t="s">
        <v>137</v>
      </c>
      <c r="D360" s="62"/>
      <c r="E360" s="63">
        <v>5365500</v>
      </c>
      <c r="F360" s="63">
        <f t="shared" si="17"/>
        <v>429240</v>
      </c>
      <c r="G360" s="64">
        <f t="shared" si="18"/>
        <v>5794740</v>
      </c>
      <c r="H360" s="65">
        <v>5794740</v>
      </c>
      <c r="I360" s="65"/>
      <c r="J360" s="66">
        <f t="shared" si="19"/>
        <v>0</v>
      </c>
      <c r="K360" s="67">
        <v>45772</v>
      </c>
      <c r="L360" s="94"/>
    </row>
    <row r="361" spans="1:12" ht="15" customHeight="1" x14ac:dyDescent="0.3">
      <c r="A361" s="59" t="s">
        <v>196</v>
      </c>
      <c r="B361" s="60" t="s">
        <v>596</v>
      </c>
      <c r="C361" s="61" t="s">
        <v>589</v>
      </c>
      <c r="D361" s="62"/>
      <c r="E361" s="63">
        <v>21281500</v>
      </c>
      <c r="F361" s="63">
        <f t="shared" si="17"/>
        <v>1702520</v>
      </c>
      <c r="G361" s="64">
        <f t="shared" si="18"/>
        <v>22984020</v>
      </c>
      <c r="H361" s="65">
        <v>22984020</v>
      </c>
      <c r="I361" s="65"/>
      <c r="J361" s="66">
        <f t="shared" si="19"/>
        <v>0</v>
      </c>
      <c r="K361" s="67">
        <v>45772</v>
      </c>
      <c r="L361" s="94"/>
    </row>
    <row r="362" spans="1:12" ht="15" customHeight="1" x14ac:dyDescent="0.3">
      <c r="A362" s="59" t="s">
        <v>253</v>
      </c>
      <c r="B362" s="60" t="s">
        <v>596</v>
      </c>
      <c r="C362" s="61" t="s">
        <v>590</v>
      </c>
      <c r="D362" s="62"/>
      <c r="E362" s="63">
        <v>6354750</v>
      </c>
      <c r="F362" s="63">
        <f t="shared" si="17"/>
        <v>508380</v>
      </c>
      <c r="G362" s="64">
        <f t="shared" si="18"/>
        <v>6863130</v>
      </c>
      <c r="H362" s="65">
        <v>6863130</v>
      </c>
      <c r="I362" s="65"/>
      <c r="J362" s="66">
        <f t="shared" si="19"/>
        <v>0</v>
      </c>
      <c r="K362" s="67">
        <v>45772</v>
      </c>
      <c r="L362" s="94"/>
    </row>
    <row r="363" spans="1:12" ht="15" customHeight="1" x14ac:dyDescent="0.3">
      <c r="A363" s="59" t="s">
        <v>253</v>
      </c>
      <c r="B363" s="60" t="s">
        <v>596</v>
      </c>
      <c r="C363" s="61" t="s">
        <v>591</v>
      </c>
      <c r="D363" s="62"/>
      <c r="E363" s="63">
        <v>3200000</v>
      </c>
      <c r="F363" s="63">
        <f t="shared" si="17"/>
        <v>256000</v>
      </c>
      <c r="G363" s="64">
        <f t="shared" si="18"/>
        <v>3456000</v>
      </c>
      <c r="H363" s="65">
        <v>3456000</v>
      </c>
      <c r="I363" s="65"/>
      <c r="J363" s="66">
        <f t="shared" si="19"/>
        <v>0</v>
      </c>
      <c r="K363" s="67">
        <v>45772</v>
      </c>
      <c r="L363" s="94"/>
    </row>
    <row r="364" spans="1:12" ht="15" customHeight="1" x14ac:dyDescent="0.3">
      <c r="A364" s="59" t="s">
        <v>196</v>
      </c>
      <c r="B364" s="60">
        <v>45672</v>
      </c>
      <c r="C364" s="62" t="s">
        <v>592</v>
      </c>
      <c r="D364" s="62" t="s">
        <v>607</v>
      </c>
      <c r="E364" s="63">
        <v>60205300</v>
      </c>
      <c r="F364" s="63">
        <f t="shared" si="17"/>
        <v>4816424</v>
      </c>
      <c r="G364" s="64">
        <f t="shared" si="18"/>
        <v>65021724</v>
      </c>
      <c r="H364" s="65">
        <v>65021724</v>
      </c>
      <c r="I364" s="65"/>
      <c r="J364" s="66">
        <f t="shared" si="19"/>
        <v>0</v>
      </c>
      <c r="K364" s="67">
        <v>45772</v>
      </c>
      <c r="L364" s="94"/>
    </row>
    <row r="365" spans="1:12" ht="15" customHeight="1" x14ac:dyDescent="0.3">
      <c r="A365" s="59" t="s">
        <v>253</v>
      </c>
      <c r="B365" s="60" t="s">
        <v>596</v>
      </c>
      <c r="C365" s="61" t="s">
        <v>138</v>
      </c>
      <c r="D365" s="62"/>
      <c r="E365" s="63">
        <v>5400000</v>
      </c>
      <c r="F365" s="63">
        <f t="shared" si="17"/>
        <v>432000</v>
      </c>
      <c r="G365" s="64">
        <f t="shared" si="18"/>
        <v>5832000</v>
      </c>
      <c r="H365" s="65">
        <v>5832000</v>
      </c>
      <c r="I365" s="65"/>
      <c r="J365" s="66">
        <f t="shared" si="19"/>
        <v>0</v>
      </c>
      <c r="K365" s="67">
        <v>45772</v>
      </c>
      <c r="L365" s="94"/>
    </row>
    <row r="366" spans="1:12" ht="15" customHeight="1" x14ac:dyDescent="0.3">
      <c r="A366" s="59" t="s">
        <v>196</v>
      </c>
      <c r="B366" s="60" t="s">
        <v>596</v>
      </c>
      <c r="C366" s="61" t="s">
        <v>593</v>
      </c>
      <c r="D366" s="62"/>
      <c r="E366" s="63">
        <v>5400000</v>
      </c>
      <c r="F366" s="63">
        <f t="shared" si="17"/>
        <v>432000</v>
      </c>
      <c r="G366" s="64">
        <f t="shared" si="18"/>
        <v>5832000</v>
      </c>
      <c r="H366" s="65">
        <v>5832000</v>
      </c>
      <c r="I366" s="65"/>
      <c r="J366" s="66">
        <f t="shared" si="19"/>
        <v>0</v>
      </c>
      <c r="K366" s="67">
        <v>45772</v>
      </c>
      <c r="L366" s="94"/>
    </row>
    <row r="367" spans="1:12" ht="15" customHeight="1" x14ac:dyDescent="0.3">
      <c r="A367" s="59" t="s">
        <v>196</v>
      </c>
      <c r="B367" s="60" t="s">
        <v>597</v>
      </c>
      <c r="C367" s="61" t="s">
        <v>594</v>
      </c>
      <c r="D367" s="62"/>
      <c r="E367" s="63">
        <v>5700000</v>
      </c>
      <c r="F367" s="63">
        <f t="shared" si="17"/>
        <v>456000</v>
      </c>
      <c r="G367" s="64">
        <f t="shared" si="18"/>
        <v>6156000</v>
      </c>
      <c r="H367" s="65">
        <v>6156000</v>
      </c>
      <c r="I367" s="65"/>
      <c r="J367" s="66">
        <f t="shared" si="19"/>
        <v>0</v>
      </c>
      <c r="K367" s="67">
        <v>45772</v>
      </c>
      <c r="L367" s="94"/>
    </row>
    <row r="368" spans="1:12" ht="15" customHeight="1" x14ac:dyDescent="0.3">
      <c r="A368" s="59" t="s">
        <v>203</v>
      </c>
      <c r="B368" s="60" t="s">
        <v>618</v>
      </c>
      <c r="C368" s="61" t="s">
        <v>608</v>
      </c>
      <c r="D368" s="62"/>
      <c r="E368" s="63">
        <v>8010000</v>
      </c>
      <c r="F368" s="63">
        <f t="shared" si="17"/>
        <v>640800</v>
      </c>
      <c r="G368" s="64">
        <f t="shared" si="18"/>
        <v>8650800</v>
      </c>
      <c r="H368" s="65">
        <v>8650800</v>
      </c>
      <c r="I368" s="65"/>
      <c r="J368" s="66">
        <f t="shared" si="19"/>
        <v>0</v>
      </c>
      <c r="K368" s="67">
        <v>45772</v>
      </c>
      <c r="L368" s="94"/>
    </row>
    <row r="369" spans="1:12" ht="15" customHeight="1" x14ac:dyDescent="0.3">
      <c r="A369" s="59" t="s">
        <v>196</v>
      </c>
      <c r="B369" s="60" t="s">
        <v>618</v>
      </c>
      <c r="C369" s="61" t="s">
        <v>609</v>
      </c>
      <c r="D369" s="62"/>
      <c r="E369" s="63">
        <v>15530000</v>
      </c>
      <c r="F369" s="63">
        <f t="shared" si="17"/>
        <v>1242400</v>
      </c>
      <c r="G369" s="64">
        <f t="shared" si="18"/>
        <v>16772400</v>
      </c>
      <c r="H369" s="65">
        <v>16772400</v>
      </c>
      <c r="I369" s="65"/>
      <c r="J369" s="66">
        <f t="shared" si="19"/>
        <v>0</v>
      </c>
      <c r="K369" s="67">
        <v>45772</v>
      </c>
      <c r="L369" s="94"/>
    </row>
    <row r="370" spans="1:12" ht="15" customHeight="1" x14ac:dyDescent="0.3">
      <c r="A370" s="59" t="s">
        <v>253</v>
      </c>
      <c r="B370" s="60" t="s">
        <v>618</v>
      </c>
      <c r="C370" s="61" t="s">
        <v>610</v>
      </c>
      <c r="D370" s="62"/>
      <c r="E370" s="63">
        <v>10605000</v>
      </c>
      <c r="F370" s="63">
        <f t="shared" si="17"/>
        <v>848400</v>
      </c>
      <c r="G370" s="64">
        <f t="shared" si="18"/>
        <v>11453400</v>
      </c>
      <c r="H370" s="65">
        <v>11453400</v>
      </c>
      <c r="I370" s="65"/>
      <c r="J370" s="66">
        <f t="shared" si="19"/>
        <v>0</v>
      </c>
      <c r="K370" s="67">
        <v>45772</v>
      </c>
      <c r="L370" s="94"/>
    </row>
    <row r="371" spans="1:12" ht="15" customHeight="1" x14ac:dyDescent="0.3">
      <c r="A371" s="59" t="s">
        <v>196</v>
      </c>
      <c r="B371" s="60" t="s">
        <v>619</v>
      </c>
      <c r="C371" s="61" t="s">
        <v>611</v>
      </c>
      <c r="D371" s="62"/>
      <c r="E371" s="63">
        <v>12720000</v>
      </c>
      <c r="F371" s="63">
        <f t="shared" si="17"/>
        <v>1017600</v>
      </c>
      <c r="G371" s="64">
        <f t="shared" si="18"/>
        <v>13737600</v>
      </c>
      <c r="H371" s="65">
        <v>13737600</v>
      </c>
      <c r="I371" s="65"/>
      <c r="J371" s="66">
        <f t="shared" si="19"/>
        <v>0</v>
      </c>
      <c r="K371" s="67">
        <v>45772</v>
      </c>
      <c r="L371" s="94"/>
    </row>
    <row r="372" spans="1:12" ht="15" customHeight="1" x14ac:dyDescent="0.3">
      <c r="A372" s="59" t="s">
        <v>203</v>
      </c>
      <c r="B372" s="60">
        <v>45700</v>
      </c>
      <c r="C372" s="62" t="s">
        <v>612</v>
      </c>
      <c r="D372" s="62" t="s">
        <v>623</v>
      </c>
      <c r="E372" s="63">
        <v>12970000</v>
      </c>
      <c r="F372" s="63">
        <f t="shared" si="17"/>
        <v>1037600</v>
      </c>
      <c r="G372" s="64">
        <f t="shared" si="18"/>
        <v>14007600</v>
      </c>
      <c r="H372" s="65">
        <v>14007600</v>
      </c>
      <c r="I372" s="65"/>
      <c r="J372" s="66">
        <f t="shared" si="19"/>
        <v>0</v>
      </c>
      <c r="K372" s="67">
        <v>45772</v>
      </c>
      <c r="L372" s="94"/>
    </row>
    <row r="373" spans="1:12" ht="15" customHeight="1" x14ac:dyDescent="0.3">
      <c r="A373" s="59" t="s">
        <v>253</v>
      </c>
      <c r="B373" s="60" t="s">
        <v>619</v>
      </c>
      <c r="C373" s="61" t="s">
        <v>613</v>
      </c>
      <c r="D373" s="62"/>
      <c r="E373" s="63">
        <v>13605000</v>
      </c>
      <c r="F373" s="63">
        <f t="shared" si="17"/>
        <v>1088400</v>
      </c>
      <c r="G373" s="64">
        <f t="shared" si="18"/>
        <v>14693400</v>
      </c>
      <c r="H373" s="65">
        <v>14693400</v>
      </c>
      <c r="I373" s="65"/>
      <c r="J373" s="66">
        <f t="shared" si="19"/>
        <v>0</v>
      </c>
      <c r="K373" s="67">
        <v>45772</v>
      </c>
      <c r="L373" s="94"/>
    </row>
    <row r="374" spans="1:12" ht="15" customHeight="1" x14ac:dyDescent="0.3">
      <c r="A374" s="59" t="s">
        <v>196</v>
      </c>
      <c r="B374" s="60" t="s">
        <v>620</v>
      </c>
      <c r="C374" s="61" t="s">
        <v>614</v>
      </c>
      <c r="D374" s="62"/>
      <c r="E374" s="63">
        <v>13880000</v>
      </c>
      <c r="F374" s="63">
        <f t="shared" si="17"/>
        <v>1110400</v>
      </c>
      <c r="G374" s="64">
        <f t="shared" si="18"/>
        <v>14990400</v>
      </c>
      <c r="H374" s="65">
        <v>14990400</v>
      </c>
      <c r="I374" s="65"/>
      <c r="J374" s="66">
        <f t="shared" si="19"/>
        <v>0</v>
      </c>
      <c r="K374" s="67">
        <v>45772</v>
      </c>
      <c r="L374" s="94"/>
    </row>
    <row r="375" spans="1:12" ht="15" customHeight="1" x14ac:dyDescent="0.3">
      <c r="A375" s="59" t="s">
        <v>203</v>
      </c>
      <c r="B375" s="60" t="s">
        <v>621</v>
      </c>
      <c r="C375" s="61" t="s">
        <v>615</v>
      </c>
      <c r="D375" s="62"/>
      <c r="E375" s="63">
        <v>6965000</v>
      </c>
      <c r="F375" s="63">
        <f t="shared" si="17"/>
        <v>557200</v>
      </c>
      <c r="G375" s="64">
        <f t="shared" si="18"/>
        <v>7522200</v>
      </c>
      <c r="H375" s="65">
        <v>7522200</v>
      </c>
      <c r="I375" s="65"/>
      <c r="J375" s="66">
        <f t="shared" si="19"/>
        <v>0</v>
      </c>
      <c r="K375" s="67">
        <v>45772</v>
      </c>
      <c r="L375" s="94"/>
    </row>
    <row r="376" spans="1:12" ht="15" customHeight="1" x14ac:dyDescent="0.3">
      <c r="A376" s="59" t="s">
        <v>253</v>
      </c>
      <c r="B376" s="60" t="s">
        <v>621</v>
      </c>
      <c r="C376" s="61" t="s">
        <v>616</v>
      </c>
      <c r="D376" s="62"/>
      <c r="E376" s="63">
        <v>12965000</v>
      </c>
      <c r="F376" s="63">
        <f t="shared" si="17"/>
        <v>1037200</v>
      </c>
      <c r="G376" s="64">
        <f t="shared" si="18"/>
        <v>14002200</v>
      </c>
      <c r="H376" s="65">
        <v>14002200</v>
      </c>
      <c r="I376" s="65"/>
      <c r="J376" s="66">
        <f t="shared" si="19"/>
        <v>0</v>
      </c>
      <c r="K376" s="67">
        <v>45772</v>
      </c>
      <c r="L376" s="94"/>
    </row>
    <row r="377" spans="1:12" ht="15" customHeight="1" x14ac:dyDescent="0.3">
      <c r="A377" s="59" t="s">
        <v>196</v>
      </c>
      <c r="B377" s="60" t="s">
        <v>622</v>
      </c>
      <c r="C377" s="61" t="s">
        <v>617</v>
      </c>
      <c r="D377" s="62"/>
      <c r="E377" s="63">
        <v>4970000</v>
      </c>
      <c r="F377" s="63">
        <f t="shared" si="17"/>
        <v>397600</v>
      </c>
      <c r="G377" s="64">
        <f t="shared" si="18"/>
        <v>5367600</v>
      </c>
      <c r="H377" s="65">
        <v>5367600</v>
      </c>
      <c r="I377" s="65"/>
      <c r="J377" s="66">
        <f t="shared" si="19"/>
        <v>0</v>
      </c>
      <c r="K377" s="67">
        <v>45772</v>
      </c>
      <c r="L377" s="94"/>
    </row>
    <row r="378" spans="1:12" ht="15" customHeight="1" x14ac:dyDescent="0.3">
      <c r="A378" s="59" t="s">
        <v>196</v>
      </c>
      <c r="B378" s="60">
        <v>45702</v>
      </c>
      <c r="C378" s="61" t="s">
        <v>624</v>
      </c>
      <c r="D378" s="62"/>
      <c r="E378" s="63">
        <v>2045000</v>
      </c>
      <c r="F378" s="63">
        <f t="shared" si="17"/>
        <v>163600</v>
      </c>
      <c r="G378" s="64">
        <f t="shared" si="18"/>
        <v>2208600</v>
      </c>
      <c r="H378" s="65">
        <v>2208600</v>
      </c>
      <c r="I378" s="65"/>
      <c r="J378" s="66">
        <f t="shared" si="19"/>
        <v>0</v>
      </c>
      <c r="K378" s="67">
        <v>45772</v>
      </c>
      <c r="L378" s="94"/>
    </row>
    <row r="379" spans="1:12" ht="15" customHeight="1" x14ac:dyDescent="0.3">
      <c r="A379" s="59" t="s">
        <v>253</v>
      </c>
      <c r="B379" s="60" t="s">
        <v>628</v>
      </c>
      <c r="C379" s="62" t="s">
        <v>625</v>
      </c>
      <c r="D379" s="62"/>
      <c r="E379" s="63">
        <v>-780000</v>
      </c>
      <c r="F379" s="63">
        <f t="shared" ref="F379:F406" si="20">+E379*0.08</f>
        <v>-62400</v>
      </c>
      <c r="G379" s="64">
        <f t="shared" si="18"/>
        <v>-842400</v>
      </c>
      <c r="H379" s="65">
        <v>-842400</v>
      </c>
      <c r="I379" s="65"/>
      <c r="J379" s="66">
        <f t="shared" si="19"/>
        <v>0</v>
      </c>
      <c r="K379" s="67">
        <v>45772</v>
      </c>
      <c r="L379" s="94"/>
    </row>
    <row r="380" spans="1:12" ht="15" customHeight="1" x14ac:dyDescent="0.3">
      <c r="A380" s="59" t="s">
        <v>253</v>
      </c>
      <c r="B380" s="60" t="s">
        <v>628</v>
      </c>
      <c r="C380" s="62" t="s">
        <v>626</v>
      </c>
      <c r="D380" s="62"/>
      <c r="E380" s="63">
        <v>-128000</v>
      </c>
      <c r="F380" s="63">
        <f t="shared" si="20"/>
        <v>-10240</v>
      </c>
      <c r="G380" s="64">
        <f t="shared" si="18"/>
        <v>-138240</v>
      </c>
      <c r="H380" s="65">
        <v>-138240</v>
      </c>
      <c r="I380" s="65"/>
      <c r="J380" s="66">
        <f t="shared" si="19"/>
        <v>0</v>
      </c>
      <c r="K380" s="67">
        <v>45772</v>
      </c>
      <c r="L380" s="94"/>
    </row>
    <row r="381" spans="1:12" ht="15" customHeight="1" x14ac:dyDescent="0.3">
      <c r="A381" s="59" t="s">
        <v>253</v>
      </c>
      <c r="B381" s="60" t="s">
        <v>629</v>
      </c>
      <c r="C381" s="62" t="s">
        <v>627</v>
      </c>
      <c r="D381" s="62"/>
      <c r="E381" s="63">
        <v>-1020000</v>
      </c>
      <c r="F381" s="63">
        <f t="shared" si="20"/>
        <v>-81600</v>
      </c>
      <c r="G381" s="64">
        <f t="shared" si="18"/>
        <v>-1101600</v>
      </c>
      <c r="H381" s="65">
        <v>-1101600</v>
      </c>
      <c r="I381" s="65"/>
      <c r="J381" s="66">
        <f t="shared" si="19"/>
        <v>0</v>
      </c>
      <c r="K381" s="67">
        <v>45772</v>
      </c>
      <c r="L381" s="94"/>
    </row>
    <row r="382" spans="1:12" ht="15" customHeight="1" x14ac:dyDescent="0.3">
      <c r="A382" s="59" t="s">
        <v>253</v>
      </c>
      <c r="B382" s="60">
        <v>45706</v>
      </c>
      <c r="C382" s="61" t="s">
        <v>631</v>
      </c>
      <c r="D382" s="62"/>
      <c r="E382" s="63">
        <v>13205000</v>
      </c>
      <c r="F382" s="63">
        <f t="shared" si="20"/>
        <v>1056400</v>
      </c>
      <c r="G382" s="64">
        <f t="shared" si="18"/>
        <v>14261400</v>
      </c>
      <c r="H382" s="65">
        <v>14261400</v>
      </c>
      <c r="I382" s="65"/>
      <c r="J382" s="66">
        <f t="shared" si="19"/>
        <v>0</v>
      </c>
      <c r="K382" s="67">
        <v>45772</v>
      </c>
      <c r="L382" s="94"/>
    </row>
    <row r="383" spans="1:12" ht="15" customHeight="1" x14ac:dyDescent="0.3">
      <c r="A383" s="59" t="s">
        <v>203</v>
      </c>
      <c r="B383" s="60">
        <v>45708</v>
      </c>
      <c r="C383" s="61" t="s">
        <v>632</v>
      </c>
      <c r="D383" s="62"/>
      <c r="E383" s="63">
        <v>6120000</v>
      </c>
      <c r="F383" s="63">
        <f t="shared" si="20"/>
        <v>489600</v>
      </c>
      <c r="G383" s="64">
        <f t="shared" si="18"/>
        <v>6609600</v>
      </c>
      <c r="H383" s="65">
        <v>6609600</v>
      </c>
      <c r="I383" s="65"/>
      <c r="J383" s="66">
        <f t="shared" si="19"/>
        <v>0</v>
      </c>
      <c r="K383" s="67">
        <v>45772</v>
      </c>
      <c r="L383" s="94"/>
    </row>
    <row r="384" spans="1:12" ht="15" customHeight="1" x14ac:dyDescent="0.3">
      <c r="A384" s="59" t="s">
        <v>253</v>
      </c>
      <c r="B384" s="60">
        <v>45709</v>
      </c>
      <c r="C384" s="61" t="s">
        <v>633</v>
      </c>
      <c r="D384" s="62"/>
      <c r="E384" s="63">
        <v>5605000</v>
      </c>
      <c r="F384" s="63">
        <f t="shared" si="20"/>
        <v>448400</v>
      </c>
      <c r="G384" s="64">
        <f t="shared" si="18"/>
        <v>6053400</v>
      </c>
      <c r="H384" s="65">
        <v>6053400</v>
      </c>
      <c r="I384" s="65"/>
      <c r="J384" s="66">
        <f t="shared" si="19"/>
        <v>0</v>
      </c>
      <c r="K384" s="67">
        <v>45772</v>
      </c>
      <c r="L384" s="94"/>
    </row>
    <row r="385" spans="1:12" ht="15" customHeight="1" x14ac:dyDescent="0.3">
      <c r="A385" s="59" t="s">
        <v>203</v>
      </c>
      <c r="B385" s="60">
        <v>45715</v>
      </c>
      <c r="C385" s="61" t="s">
        <v>634</v>
      </c>
      <c r="D385" s="62"/>
      <c r="E385" s="63">
        <v>2925000</v>
      </c>
      <c r="F385" s="63">
        <f t="shared" si="20"/>
        <v>234000</v>
      </c>
      <c r="G385" s="64">
        <f t="shared" si="18"/>
        <v>3159000</v>
      </c>
      <c r="H385" s="65">
        <v>3159000</v>
      </c>
      <c r="I385" s="65"/>
      <c r="J385" s="66">
        <f t="shared" si="19"/>
        <v>0</v>
      </c>
      <c r="K385" s="67">
        <v>45772</v>
      </c>
      <c r="L385" s="94"/>
    </row>
    <row r="386" spans="1:12" ht="15" customHeight="1" x14ac:dyDescent="0.3">
      <c r="A386" s="59" t="s">
        <v>196</v>
      </c>
      <c r="B386" s="60">
        <v>45715</v>
      </c>
      <c r="C386" s="61" t="s">
        <v>635</v>
      </c>
      <c r="D386" s="62"/>
      <c r="E386" s="63">
        <v>3840000</v>
      </c>
      <c r="F386" s="63">
        <f t="shared" si="20"/>
        <v>307200</v>
      </c>
      <c r="G386" s="64">
        <f t="shared" si="18"/>
        <v>4147200</v>
      </c>
      <c r="H386" s="65">
        <v>4147200</v>
      </c>
      <c r="I386" s="65"/>
      <c r="J386" s="66">
        <f t="shared" si="19"/>
        <v>0</v>
      </c>
      <c r="K386" s="67">
        <v>45772</v>
      </c>
      <c r="L386" s="94"/>
    </row>
    <row r="387" spans="1:12" ht="15" customHeight="1" x14ac:dyDescent="0.3">
      <c r="A387" s="59" t="s">
        <v>203</v>
      </c>
      <c r="B387" s="60" t="s">
        <v>649</v>
      </c>
      <c r="C387" s="61" t="s">
        <v>637</v>
      </c>
      <c r="D387" s="62"/>
      <c r="E387" s="63">
        <v>3080000</v>
      </c>
      <c r="F387" s="63">
        <f t="shared" si="20"/>
        <v>246400</v>
      </c>
      <c r="G387" s="64">
        <f t="shared" si="18"/>
        <v>3326400</v>
      </c>
      <c r="H387" s="65">
        <v>3326400</v>
      </c>
      <c r="I387" s="65"/>
      <c r="J387" s="66">
        <f t="shared" si="19"/>
        <v>0</v>
      </c>
      <c r="K387" s="67">
        <v>45772</v>
      </c>
      <c r="L387" s="94"/>
    </row>
    <row r="388" spans="1:12" ht="15" customHeight="1" x14ac:dyDescent="0.3">
      <c r="A388" s="59" t="s">
        <v>196</v>
      </c>
      <c r="B388" s="60" t="s">
        <v>649</v>
      </c>
      <c r="C388" s="61" t="s">
        <v>638</v>
      </c>
      <c r="D388" s="62"/>
      <c r="E388" s="63">
        <v>3840000</v>
      </c>
      <c r="F388" s="63">
        <f t="shared" si="20"/>
        <v>307200</v>
      </c>
      <c r="G388" s="64">
        <f t="shared" si="18"/>
        <v>4147200</v>
      </c>
      <c r="H388" s="65">
        <v>4147200</v>
      </c>
      <c r="I388" s="65"/>
      <c r="J388" s="66">
        <f t="shared" si="19"/>
        <v>0</v>
      </c>
      <c r="K388" s="67">
        <v>45772</v>
      </c>
      <c r="L388" s="94"/>
    </row>
    <row r="389" spans="1:12" ht="15" customHeight="1" x14ac:dyDescent="0.3">
      <c r="A389" s="59" t="s">
        <v>253</v>
      </c>
      <c r="B389" s="60" t="s">
        <v>649</v>
      </c>
      <c r="C389" s="61" t="s">
        <v>639</v>
      </c>
      <c r="D389" s="62"/>
      <c r="E389" s="63">
        <v>2650000</v>
      </c>
      <c r="F389" s="63">
        <f t="shared" si="20"/>
        <v>212000</v>
      </c>
      <c r="G389" s="64">
        <f t="shared" si="18"/>
        <v>2862000</v>
      </c>
      <c r="H389" s="65">
        <v>2862000</v>
      </c>
      <c r="I389" s="65"/>
      <c r="J389" s="66">
        <f t="shared" si="19"/>
        <v>0</v>
      </c>
      <c r="K389" s="67">
        <v>45772</v>
      </c>
      <c r="L389" s="94"/>
    </row>
    <row r="390" spans="1:12" ht="15" customHeight="1" x14ac:dyDescent="0.3">
      <c r="A390" s="59" t="s">
        <v>203</v>
      </c>
      <c r="B390" s="60" t="s">
        <v>650</v>
      </c>
      <c r="C390" s="61" t="s">
        <v>640</v>
      </c>
      <c r="D390" s="62"/>
      <c r="E390" s="63">
        <v>2970000</v>
      </c>
      <c r="F390" s="63">
        <f t="shared" si="20"/>
        <v>237600</v>
      </c>
      <c r="G390" s="64">
        <f t="shared" si="18"/>
        <v>3207600</v>
      </c>
      <c r="H390" s="65">
        <v>3207600</v>
      </c>
      <c r="I390" s="65"/>
      <c r="J390" s="66">
        <f t="shared" si="19"/>
        <v>0</v>
      </c>
      <c r="K390" s="67">
        <v>45772</v>
      </c>
      <c r="L390" s="94"/>
    </row>
    <row r="391" spans="1:12" ht="15" customHeight="1" x14ac:dyDescent="0.3">
      <c r="A391" s="59" t="s">
        <v>203</v>
      </c>
      <c r="B391" s="60" t="s">
        <v>651</v>
      </c>
      <c r="C391" s="61" t="s">
        <v>641</v>
      </c>
      <c r="D391" s="62"/>
      <c r="E391" s="63">
        <v>9050000</v>
      </c>
      <c r="F391" s="63">
        <f t="shared" si="20"/>
        <v>724000</v>
      </c>
      <c r="G391" s="64">
        <f t="shared" si="18"/>
        <v>9774000</v>
      </c>
      <c r="H391" s="65">
        <v>9774000</v>
      </c>
      <c r="I391" s="65"/>
      <c r="J391" s="66">
        <f t="shared" si="19"/>
        <v>0</v>
      </c>
      <c r="K391" s="67">
        <v>45772</v>
      </c>
      <c r="L391" s="94"/>
    </row>
    <row r="392" spans="1:12" ht="15" customHeight="1" x14ac:dyDescent="0.3">
      <c r="A392" s="59" t="s">
        <v>253</v>
      </c>
      <c r="B392" s="60" t="s">
        <v>652</v>
      </c>
      <c r="C392" s="61" t="s">
        <v>642</v>
      </c>
      <c r="D392" s="62"/>
      <c r="E392" s="63">
        <v>2285000</v>
      </c>
      <c r="F392" s="63">
        <f t="shared" si="20"/>
        <v>182800</v>
      </c>
      <c r="G392" s="64">
        <f t="shared" ref="G392:G406" si="21">E392+F392</f>
        <v>2467800</v>
      </c>
      <c r="H392" s="65">
        <v>2467800</v>
      </c>
      <c r="I392" s="65"/>
      <c r="J392" s="66">
        <f t="shared" si="19"/>
        <v>0</v>
      </c>
      <c r="K392" s="67">
        <v>45772</v>
      </c>
      <c r="L392" s="94"/>
    </row>
    <row r="393" spans="1:12" ht="15" customHeight="1" x14ac:dyDescent="0.3">
      <c r="A393" s="59" t="s">
        <v>253</v>
      </c>
      <c r="B393" s="60" t="s">
        <v>653</v>
      </c>
      <c r="C393" s="61" t="s">
        <v>643</v>
      </c>
      <c r="D393" s="62"/>
      <c r="E393" s="63">
        <v>2285000</v>
      </c>
      <c r="F393" s="63">
        <f t="shared" si="20"/>
        <v>182800</v>
      </c>
      <c r="G393" s="64">
        <f t="shared" si="21"/>
        <v>2467800</v>
      </c>
      <c r="H393" s="65">
        <v>2467800</v>
      </c>
      <c r="I393" s="65"/>
      <c r="J393" s="66">
        <f t="shared" ref="J393:J406" si="22">G393-H393</f>
        <v>0</v>
      </c>
      <c r="K393" s="67">
        <v>45772</v>
      </c>
      <c r="L393" s="94"/>
    </row>
    <row r="394" spans="1:12" ht="15" customHeight="1" x14ac:dyDescent="0.3">
      <c r="A394" s="59" t="s">
        <v>196</v>
      </c>
      <c r="B394" s="60" t="s">
        <v>654</v>
      </c>
      <c r="C394" s="61" t="s">
        <v>644</v>
      </c>
      <c r="D394" s="62"/>
      <c r="E394" s="63">
        <v>4005000</v>
      </c>
      <c r="F394" s="63">
        <f t="shared" si="20"/>
        <v>320400</v>
      </c>
      <c r="G394" s="64">
        <f t="shared" si="21"/>
        <v>4325400</v>
      </c>
      <c r="H394" s="65">
        <v>4325400</v>
      </c>
      <c r="I394" s="65"/>
      <c r="J394" s="66">
        <f t="shared" si="22"/>
        <v>0</v>
      </c>
      <c r="K394" s="67">
        <v>45772</v>
      </c>
      <c r="L394" s="94"/>
    </row>
    <row r="395" spans="1:12" ht="15" customHeight="1" x14ac:dyDescent="0.3">
      <c r="A395" s="59" t="s">
        <v>203</v>
      </c>
      <c r="B395" s="60" t="s">
        <v>654</v>
      </c>
      <c r="C395" s="61" t="s">
        <v>645</v>
      </c>
      <c r="D395" s="62"/>
      <c r="E395" s="63">
        <v>3960000</v>
      </c>
      <c r="F395" s="63">
        <f t="shared" si="20"/>
        <v>316800</v>
      </c>
      <c r="G395" s="64">
        <f t="shared" si="21"/>
        <v>4276800</v>
      </c>
      <c r="H395" s="65">
        <v>4276800</v>
      </c>
      <c r="I395" s="65"/>
      <c r="J395" s="66">
        <f t="shared" si="22"/>
        <v>0</v>
      </c>
      <c r="K395" s="67">
        <v>45772</v>
      </c>
      <c r="L395" s="94"/>
    </row>
    <row r="396" spans="1:12" ht="15" customHeight="1" x14ac:dyDescent="0.3">
      <c r="A396" s="59" t="s">
        <v>196</v>
      </c>
      <c r="B396" s="60" t="s">
        <v>655</v>
      </c>
      <c r="C396" s="61" t="s">
        <v>646</v>
      </c>
      <c r="D396" s="62"/>
      <c r="E396" s="63">
        <v>2925000</v>
      </c>
      <c r="F396" s="63">
        <f t="shared" si="20"/>
        <v>234000</v>
      </c>
      <c r="G396" s="64">
        <f t="shared" si="21"/>
        <v>3159000</v>
      </c>
      <c r="H396" s="65">
        <v>3159000</v>
      </c>
      <c r="I396" s="65"/>
      <c r="J396" s="66">
        <f t="shared" si="22"/>
        <v>0</v>
      </c>
      <c r="K396" s="67">
        <v>45792</v>
      </c>
      <c r="L396" s="94"/>
    </row>
    <row r="397" spans="1:12" ht="15" customHeight="1" x14ac:dyDescent="0.3">
      <c r="A397" s="59" t="s">
        <v>253</v>
      </c>
      <c r="B397" s="60" t="s">
        <v>655</v>
      </c>
      <c r="C397" s="61" t="s">
        <v>657</v>
      </c>
      <c r="D397" s="62"/>
      <c r="E397" s="63">
        <v>-9752000</v>
      </c>
      <c r="F397" s="63">
        <f t="shared" si="20"/>
        <v>-780160</v>
      </c>
      <c r="G397" s="64">
        <f t="shared" si="21"/>
        <v>-10532160</v>
      </c>
      <c r="H397" s="65">
        <v>-10532160</v>
      </c>
      <c r="I397" s="65"/>
      <c r="J397" s="66">
        <f t="shared" si="22"/>
        <v>0</v>
      </c>
      <c r="K397" s="67">
        <v>45772</v>
      </c>
      <c r="L397" s="94"/>
    </row>
    <row r="398" spans="1:12" ht="15" customHeight="1" x14ac:dyDescent="0.3">
      <c r="A398" s="59" t="s">
        <v>253</v>
      </c>
      <c r="B398" s="60" t="s">
        <v>655</v>
      </c>
      <c r="C398" s="62" t="s">
        <v>658</v>
      </c>
      <c r="D398" s="62"/>
      <c r="E398" s="63">
        <v>-2641000</v>
      </c>
      <c r="F398" s="63">
        <f t="shared" si="20"/>
        <v>-211280</v>
      </c>
      <c r="G398" s="64">
        <f t="shared" si="21"/>
        <v>-2852280</v>
      </c>
      <c r="H398" s="65">
        <v>-2852280</v>
      </c>
      <c r="I398" s="65"/>
      <c r="J398" s="66">
        <f t="shared" si="22"/>
        <v>0</v>
      </c>
      <c r="K398" s="67">
        <v>45772</v>
      </c>
      <c r="L398" s="94"/>
    </row>
    <row r="399" spans="1:12" ht="15" customHeight="1" x14ac:dyDescent="0.3">
      <c r="A399" s="59" t="s">
        <v>253</v>
      </c>
      <c r="B399" s="60" t="s">
        <v>655</v>
      </c>
      <c r="C399" s="62" t="s">
        <v>659</v>
      </c>
      <c r="D399" s="62"/>
      <c r="E399" s="63">
        <v>-3312000</v>
      </c>
      <c r="F399" s="63">
        <f t="shared" si="20"/>
        <v>-264960</v>
      </c>
      <c r="G399" s="64">
        <f t="shared" si="21"/>
        <v>-3576960</v>
      </c>
      <c r="H399" s="65">
        <v>-3576960</v>
      </c>
      <c r="I399" s="65"/>
      <c r="J399" s="66">
        <f t="shared" si="22"/>
        <v>0</v>
      </c>
      <c r="K399" s="67">
        <v>45772</v>
      </c>
      <c r="L399" s="94"/>
    </row>
    <row r="400" spans="1:12" ht="15" customHeight="1" x14ac:dyDescent="0.3">
      <c r="A400" s="59" t="s">
        <v>196</v>
      </c>
      <c r="B400" s="60" t="s">
        <v>656</v>
      </c>
      <c r="C400" s="62" t="s">
        <v>207</v>
      </c>
      <c r="D400" s="62"/>
      <c r="E400" s="63">
        <v>2925000</v>
      </c>
      <c r="F400" s="63"/>
      <c r="G400" s="64"/>
      <c r="H400" s="65"/>
      <c r="I400" s="65"/>
      <c r="J400" s="66">
        <f t="shared" si="22"/>
        <v>0</v>
      </c>
      <c r="K400" s="67" t="s">
        <v>181</v>
      </c>
      <c r="L400" s="94"/>
    </row>
    <row r="401" spans="1:12" ht="15" customHeight="1" x14ac:dyDescent="0.3">
      <c r="A401" s="59" t="s">
        <v>196</v>
      </c>
      <c r="B401" s="60" t="s">
        <v>656</v>
      </c>
      <c r="C401" s="61" t="s">
        <v>647</v>
      </c>
      <c r="D401" s="62"/>
      <c r="E401" s="63">
        <v>2925000</v>
      </c>
      <c r="F401" s="63">
        <f t="shared" si="20"/>
        <v>234000</v>
      </c>
      <c r="G401" s="64">
        <f t="shared" si="21"/>
        <v>3159000</v>
      </c>
      <c r="H401" s="65">
        <v>3159000</v>
      </c>
      <c r="I401" s="65"/>
      <c r="J401" s="66">
        <f t="shared" si="22"/>
        <v>0</v>
      </c>
      <c r="K401" s="67">
        <v>45792</v>
      </c>
      <c r="L401" s="94"/>
    </row>
    <row r="402" spans="1:12" ht="15" customHeight="1" x14ac:dyDescent="0.3">
      <c r="A402" s="59" t="s">
        <v>203</v>
      </c>
      <c r="B402" s="60" t="s">
        <v>656</v>
      </c>
      <c r="C402" s="62" t="s">
        <v>648</v>
      </c>
      <c r="D402" s="62"/>
      <c r="E402" s="63">
        <v>1965000</v>
      </c>
      <c r="F402" s="63">
        <f t="shared" si="20"/>
        <v>157200</v>
      </c>
      <c r="G402" s="64">
        <f t="shared" si="21"/>
        <v>2122200</v>
      </c>
      <c r="H402" s="65">
        <v>2122200</v>
      </c>
      <c r="I402" s="65"/>
      <c r="J402" s="66">
        <f t="shared" si="22"/>
        <v>0</v>
      </c>
      <c r="K402" s="67">
        <v>45792</v>
      </c>
      <c r="L402" s="94"/>
    </row>
    <row r="403" spans="1:12" ht="15" customHeight="1" x14ac:dyDescent="0.3">
      <c r="A403" s="59" t="s">
        <v>253</v>
      </c>
      <c r="B403" s="60" t="s">
        <v>664</v>
      </c>
      <c r="C403" s="61" t="s">
        <v>660</v>
      </c>
      <c r="D403" s="62"/>
      <c r="E403" s="63">
        <v>3965000</v>
      </c>
      <c r="F403" s="63">
        <f t="shared" si="20"/>
        <v>317200</v>
      </c>
      <c r="G403" s="64">
        <f t="shared" si="21"/>
        <v>4282200</v>
      </c>
      <c r="H403" s="65">
        <v>4282200</v>
      </c>
      <c r="I403" s="65"/>
      <c r="J403" s="66">
        <f t="shared" si="22"/>
        <v>0</v>
      </c>
      <c r="K403" s="67">
        <v>45792</v>
      </c>
      <c r="L403" s="94"/>
    </row>
    <row r="404" spans="1:12" ht="15" customHeight="1" x14ac:dyDescent="0.3">
      <c r="A404" s="59" t="s">
        <v>196</v>
      </c>
      <c r="B404" s="60" t="s">
        <v>664</v>
      </c>
      <c r="C404" s="61" t="s">
        <v>661</v>
      </c>
      <c r="D404" s="62"/>
      <c r="E404" s="63">
        <v>3720000</v>
      </c>
      <c r="F404" s="63">
        <f t="shared" si="20"/>
        <v>297600</v>
      </c>
      <c r="G404" s="64">
        <f t="shared" si="21"/>
        <v>4017600</v>
      </c>
      <c r="H404" s="65">
        <v>4017600</v>
      </c>
      <c r="I404" s="65"/>
      <c r="J404" s="66">
        <f t="shared" si="22"/>
        <v>0</v>
      </c>
      <c r="K404" s="67">
        <v>45792</v>
      </c>
      <c r="L404" s="94"/>
    </row>
    <row r="405" spans="1:12" ht="15" customHeight="1" x14ac:dyDescent="0.3">
      <c r="A405" s="59" t="s">
        <v>196</v>
      </c>
      <c r="B405" s="60" t="s">
        <v>665</v>
      </c>
      <c r="C405" s="61" t="s">
        <v>662</v>
      </c>
      <c r="D405" s="62"/>
      <c r="E405" s="63">
        <v>3720000</v>
      </c>
      <c r="F405" s="63">
        <f t="shared" si="20"/>
        <v>297600</v>
      </c>
      <c r="G405" s="64">
        <f t="shared" si="21"/>
        <v>4017600</v>
      </c>
      <c r="H405" s="65">
        <v>4017600</v>
      </c>
      <c r="I405" s="65"/>
      <c r="J405" s="66">
        <f t="shared" si="22"/>
        <v>0</v>
      </c>
      <c r="K405" s="67">
        <v>45792</v>
      </c>
      <c r="L405" s="94"/>
    </row>
    <row r="406" spans="1:12" ht="15" customHeight="1" x14ac:dyDescent="0.3">
      <c r="A406" s="59" t="s">
        <v>253</v>
      </c>
      <c r="B406" s="60" t="s">
        <v>665</v>
      </c>
      <c r="C406" s="61" t="s">
        <v>663</v>
      </c>
      <c r="D406" s="62"/>
      <c r="E406" s="63">
        <v>3965000</v>
      </c>
      <c r="F406" s="63">
        <f t="shared" si="20"/>
        <v>317200</v>
      </c>
      <c r="G406" s="64">
        <f t="shared" si="21"/>
        <v>4282200</v>
      </c>
      <c r="H406" s="65">
        <v>4282200</v>
      </c>
      <c r="I406" s="65"/>
      <c r="J406" s="66">
        <f t="shared" si="22"/>
        <v>0</v>
      </c>
      <c r="K406" s="67">
        <v>45792</v>
      </c>
      <c r="L406" s="94"/>
    </row>
    <row r="407" spans="1:12" ht="15" customHeight="1" x14ac:dyDescent="0.3">
      <c r="A407" s="59" t="s">
        <v>203</v>
      </c>
      <c r="B407" s="60" t="s">
        <v>677</v>
      </c>
      <c r="C407" s="61" t="s">
        <v>666</v>
      </c>
      <c r="D407" s="62"/>
      <c r="E407" s="63">
        <v>4050000</v>
      </c>
      <c r="F407" s="63">
        <f t="shared" ref="F407:F455" si="23">+E407*0.08</f>
        <v>324000</v>
      </c>
      <c r="G407" s="64">
        <f t="shared" ref="G407:G455" si="24">E407+F407</f>
        <v>4374000</v>
      </c>
      <c r="H407" s="65">
        <v>4374000</v>
      </c>
      <c r="I407" s="65"/>
      <c r="J407" s="66">
        <f t="shared" ref="J407:J461" si="25">G407-H407</f>
        <v>0</v>
      </c>
      <c r="K407" s="67">
        <v>45792</v>
      </c>
      <c r="L407" s="94"/>
    </row>
    <row r="408" spans="1:12" ht="15" customHeight="1" x14ac:dyDescent="0.3">
      <c r="A408" s="59" t="s">
        <v>196</v>
      </c>
      <c r="B408" s="60" t="s">
        <v>677</v>
      </c>
      <c r="C408" s="61" t="s">
        <v>667</v>
      </c>
      <c r="D408" s="62"/>
      <c r="E408" s="63">
        <v>2925000</v>
      </c>
      <c r="F408" s="63">
        <f t="shared" si="23"/>
        <v>234000</v>
      </c>
      <c r="G408" s="64">
        <f t="shared" si="24"/>
        <v>3159000</v>
      </c>
      <c r="H408" s="65">
        <v>3159000</v>
      </c>
      <c r="I408" s="65"/>
      <c r="J408" s="66">
        <f t="shared" si="25"/>
        <v>0</v>
      </c>
      <c r="K408" s="67">
        <v>45792</v>
      </c>
      <c r="L408" s="94"/>
    </row>
    <row r="409" spans="1:12" ht="15" customHeight="1" x14ac:dyDescent="0.3">
      <c r="A409" s="59" t="s">
        <v>196</v>
      </c>
      <c r="B409" s="60" t="s">
        <v>678</v>
      </c>
      <c r="C409" s="61" t="s">
        <v>668</v>
      </c>
      <c r="D409" s="62"/>
      <c r="E409" s="63">
        <v>8212500</v>
      </c>
      <c r="F409" s="63">
        <f t="shared" si="23"/>
        <v>657000</v>
      </c>
      <c r="G409" s="64">
        <f t="shared" si="24"/>
        <v>8869500</v>
      </c>
      <c r="H409" s="65">
        <v>8869500</v>
      </c>
      <c r="I409" s="65"/>
      <c r="J409" s="66">
        <f t="shared" si="25"/>
        <v>0</v>
      </c>
      <c r="K409" s="67">
        <v>45792</v>
      </c>
      <c r="L409" s="94"/>
    </row>
    <row r="410" spans="1:12" ht="15" customHeight="1" x14ac:dyDescent="0.3">
      <c r="A410" s="59" t="s">
        <v>203</v>
      </c>
      <c r="B410" s="60" t="s">
        <v>678</v>
      </c>
      <c r="C410" s="61" t="s">
        <v>669</v>
      </c>
      <c r="D410" s="62"/>
      <c r="E410" s="63">
        <v>5308500</v>
      </c>
      <c r="F410" s="63">
        <f t="shared" si="23"/>
        <v>424680</v>
      </c>
      <c r="G410" s="64">
        <f t="shared" si="24"/>
        <v>5733180</v>
      </c>
      <c r="H410" s="65">
        <v>5733180</v>
      </c>
      <c r="I410" s="65"/>
      <c r="J410" s="66">
        <f t="shared" si="25"/>
        <v>0</v>
      </c>
      <c r="K410" s="67">
        <v>45792</v>
      </c>
      <c r="L410" s="94"/>
    </row>
    <row r="411" spans="1:12" ht="15" customHeight="1" x14ac:dyDescent="0.3">
      <c r="A411" s="59" t="s">
        <v>253</v>
      </c>
      <c r="B411" s="60" t="s">
        <v>678</v>
      </c>
      <c r="C411" s="61" t="s">
        <v>670</v>
      </c>
      <c r="D411" s="62"/>
      <c r="E411" s="63">
        <v>6070500</v>
      </c>
      <c r="F411" s="63">
        <f t="shared" si="23"/>
        <v>485640</v>
      </c>
      <c r="G411" s="64">
        <f t="shared" si="24"/>
        <v>6556140</v>
      </c>
      <c r="H411" s="65">
        <v>6556140</v>
      </c>
      <c r="I411" s="65"/>
      <c r="J411" s="66">
        <f t="shared" si="25"/>
        <v>0</v>
      </c>
      <c r="K411" s="67">
        <v>45792</v>
      </c>
      <c r="L411" s="94"/>
    </row>
    <row r="412" spans="1:12" ht="15" customHeight="1" x14ac:dyDescent="0.3">
      <c r="A412" s="59" t="s">
        <v>253</v>
      </c>
      <c r="B412" s="60" t="s">
        <v>679</v>
      </c>
      <c r="C412" s="61" t="s">
        <v>671</v>
      </c>
      <c r="D412" s="62"/>
      <c r="E412" s="63">
        <v>3976500</v>
      </c>
      <c r="F412" s="63">
        <f t="shared" si="23"/>
        <v>318120</v>
      </c>
      <c r="G412" s="64">
        <f t="shared" si="24"/>
        <v>4294620</v>
      </c>
      <c r="H412" s="65">
        <v>4294620</v>
      </c>
      <c r="I412" s="65"/>
      <c r="J412" s="66">
        <f t="shared" si="25"/>
        <v>0</v>
      </c>
      <c r="K412" s="67">
        <v>45792</v>
      </c>
      <c r="L412" s="94"/>
    </row>
    <row r="413" spans="1:12" ht="15" customHeight="1" x14ac:dyDescent="0.3">
      <c r="A413" s="59" t="s">
        <v>203</v>
      </c>
      <c r="B413" s="60" t="s">
        <v>679</v>
      </c>
      <c r="C413" s="62" t="s">
        <v>393</v>
      </c>
      <c r="D413" s="62"/>
      <c r="E413" s="63">
        <v>5934000</v>
      </c>
      <c r="F413" s="63">
        <f t="shared" si="23"/>
        <v>474720</v>
      </c>
      <c r="G413" s="64">
        <f t="shared" si="24"/>
        <v>6408720</v>
      </c>
      <c r="H413" s="65">
        <v>6408720</v>
      </c>
      <c r="I413" s="65"/>
      <c r="J413" s="66">
        <f t="shared" si="25"/>
        <v>0</v>
      </c>
      <c r="K413" s="67">
        <v>45792</v>
      </c>
      <c r="L413" s="94"/>
    </row>
    <row r="414" spans="1:12" ht="15" customHeight="1" x14ac:dyDescent="0.3">
      <c r="A414" s="59" t="s">
        <v>196</v>
      </c>
      <c r="B414" s="60" t="s">
        <v>679</v>
      </c>
      <c r="C414" s="61" t="s">
        <v>672</v>
      </c>
      <c r="D414" s="62"/>
      <c r="E414" s="63">
        <v>3400500</v>
      </c>
      <c r="F414" s="63">
        <f t="shared" si="23"/>
        <v>272040</v>
      </c>
      <c r="G414" s="64">
        <f t="shared" si="24"/>
        <v>3672540</v>
      </c>
      <c r="H414" s="65">
        <v>3672540</v>
      </c>
      <c r="I414" s="65"/>
      <c r="J414" s="66">
        <f t="shared" si="25"/>
        <v>0</v>
      </c>
      <c r="K414" s="67">
        <v>45792</v>
      </c>
      <c r="L414" s="94"/>
    </row>
    <row r="415" spans="1:12" ht="15" customHeight="1" x14ac:dyDescent="0.3">
      <c r="A415" s="59" t="s">
        <v>203</v>
      </c>
      <c r="B415" s="60" t="s">
        <v>679</v>
      </c>
      <c r="C415" s="62" t="s">
        <v>673</v>
      </c>
      <c r="D415" s="62"/>
      <c r="E415" s="63">
        <v>-3619500</v>
      </c>
      <c r="F415" s="63">
        <f t="shared" si="23"/>
        <v>-289560</v>
      </c>
      <c r="G415" s="64">
        <f t="shared" si="24"/>
        <v>-3909060</v>
      </c>
      <c r="H415" s="65">
        <v>-3909060</v>
      </c>
      <c r="I415" s="65"/>
      <c r="J415" s="66">
        <f t="shared" si="25"/>
        <v>0</v>
      </c>
      <c r="K415" s="67">
        <v>45772</v>
      </c>
      <c r="L415" s="94"/>
    </row>
    <row r="416" spans="1:12" ht="15" customHeight="1" x14ac:dyDescent="0.3">
      <c r="A416" s="59" t="s">
        <v>203</v>
      </c>
      <c r="B416" s="60" t="s">
        <v>679</v>
      </c>
      <c r="C416" s="62" t="s">
        <v>674</v>
      </c>
      <c r="D416" s="62"/>
      <c r="E416" s="63">
        <v>-175000</v>
      </c>
      <c r="F416" s="63">
        <f t="shared" si="23"/>
        <v>-14000</v>
      </c>
      <c r="G416" s="64">
        <f t="shared" si="24"/>
        <v>-189000</v>
      </c>
      <c r="H416" s="65">
        <v>-189000</v>
      </c>
      <c r="I416" s="65"/>
      <c r="J416" s="66">
        <f t="shared" si="25"/>
        <v>0</v>
      </c>
      <c r="K416" s="67">
        <v>45772</v>
      </c>
      <c r="L416" s="94"/>
    </row>
    <row r="417" spans="1:12" ht="15" customHeight="1" x14ac:dyDescent="0.3">
      <c r="A417" s="59" t="s">
        <v>203</v>
      </c>
      <c r="B417" s="60" t="s">
        <v>680</v>
      </c>
      <c r="C417" s="62" t="s">
        <v>675</v>
      </c>
      <c r="D417" s="62"/>
      <c r="E417" s="63">
        <v>-1600000</v>
      </c>
      <c r="F417" s="63">
        <f t="shared" si="23"/>
        <v>-128000</v>
      </c>
      <c r="G417" s="64">
        <f t="shared" si="24"/>
        <v>-1728000</v>
      </c>
      <c r="H417" s="65">
        <v>-1728000</v>
      </c>
      <c r="I417" s="65"/>
      <c r="J417" s="66">
        <f t="shared" si="25"/>
        <v>0</v>
      </c>
      <c r="K417" s="67">
        <v>45772</v>
      </c>
      <c r="L417" s="94"/>
    </row>
    <row r="418" spans="1:12" ht="15" customHeight="1" x14ac:dyDescent="0.3">
      <c r="A418" s="59" t="s">
        <v>203</v>
      </c>
      <c r="B418" s="60" t="s">
        <v>680</v>
      </c>
      <c r="C418" s="62" t="s">
        <v>676</v>
      </c>
      <c r="D418" s="62"/>
      <c r="E418" s="63">
        <v>-4100000</v>
      </c>
      <c r="F418" s="63">
        <f t="shared" si="23"/>
        <v>-328000</v>
      </c>
      <c r="G418" s="64">
        <f t="shared" si="24"/>
        <v>-4428000</v>
      </c>
      <c r="H418" s="65">
        <v>-4428000</v>
      </c>
      <c r="I418" s="65"/>
      <c r="J418" s="66">
        <f t="shared" si="25"/>
        <v>0</v>
      </c>
      <c r="K418" s="67">
        <v>45772</v>
      </c>
      <c r="L418" s="94"/>
    </row>
    <row r="419" spans="1:12" ht="15" customHeight="1" x14ac:dyDescent="0.3">
      <c r="A419" s="59" t="s">
        <v>253</v>
      </c>
      <c r="B419" s="60" t="s">
        <v>694</v>
      </c>
      <c r="C419" s="62" t="s">
        <v>681</v>
      </c>
      <c r="D419" s="62"/>
      <c r="E419" s="63">
        <v>3976500</v>
      </c>
      <c r="F419" s="63">
        <f t="shared" si="23"/>
        <v>318120</v>
      </c>
      <c r="G419" s="64">
        <f t="shared" si="24"/>
        <v>4294620</v>
      </c>
      <c r="H419" s="65">
        <v>4294620</v>
      </c>
      <c r="I419" s="65"/>
      <c r="J419" s="66">
        <f t="shared" si="25"/>
        <v>0</v>
      </c>
      <c r="K419" s="67">
        <v>45821</v>
      </c>
      <c r="L419" s="94"/>
    </row>
    <row r="420" spans="1:12" ht="15" customHeight="1" x14ac:dyDescent="0.3">
      <c r="A420" s="59" t="s">
        <v>203</v>
      </c>
      <c r="B420" s="60" t="s">
        <v>694</v>
      </c>
      <c r="C420" s="62" t="s">
        <v>682</v>
      </c>
      <c r="D420" s="62"/>
      <c r="E420" s="63">
        <v>5934000</v>
      </c>
      <c r="F420" s="63">
        <f t="shared" si="23"/>
        <v>474720</v>
      </c>
      <c r="G420" s="64">
        <f t="shared" si="24"/>
        <v>6408720</v>
      </c>
      <c r="H420" s="65">
        <v>6408720</v>
      </c>
      <c r="I420" s="65"/>
      <c r="J420" s="66">
        <f t="shared" si="25"/>
        <v>0</v>
      </c>
      <c r="K420" s="67">
        <v>45792</v>
      </c>
      <c r="L420" s="94"/>
    </row>
    <row r="421" spans="1:12" ht="15" customHeight="1" x14ac:dyDescent="0.3">
      <c r="A421" s="59" t="s">
        <v>196</v>
      </c>
      <c r="B421" s="60" t="s">
        <v>694</v>
      </c>
      <c r="C421" s="62" t="s">
        <v>683</v>
      </c>
      <c r="D421" s="62"/>
      <c r="E421" s="63">
        <v>6286500</v>
      </c>
      <c r="F421" s="63"/>
      <c r="G421" s="64"/>
      <c r="H421" s="65"/>
      <c r="I421" s="65"/>
      <c r="J421" s="66">
        <f t="shared" si="25"/>
        <v>0</v>
      </c>
      <c r="K421" s="67" t="s">
        <v>181</v>
      </c>
      <c r="L421" s="94"/>
    </row>
    <row r="422" spans="1:12" ht="15" customHeight="1" x14ac:dyDescent="0.3">
      <c r="A422" s="59" t="s">
        <v>196</v>
      </c>
      <c r="B422" s="60" t="s">
        <v>695</v>
      </c>
      <c r="C422" s="62" t="s">
        <v>684</v>
      </c>
      <c r="D422" s="62"/>
      <c r="E422" s="63">
        <v>2344500</v>
      </c>
      <c r="F422" s="63">
        <f t="shared" si="23"/>
        <v>187560</v>
      </c>
      <c r="G422" s="64">
        <f t="shared" si="24"/>
        <v>2532060</v>
      </c>
      <c r="H422" s="65">
        <v>2532060</v>
      </c>
      <c r="I422" s="65"/>
      <c r="J422" s="66">
        <f t="shared" si="25"/>
        <v>0</v>
      </c>
      <c r="K422" s="67">
        <v>45792</v>
      </c>
      <c r="L422" s="94"/>
    </row>
    <row r="423" spans="1:12" ht="15" customHeight="1" x14ac:dyDescent="0.3">
      <c r="A423" s="59" t="s">
        <v>253</v>
      </c>
      <c r="B423" s="60" t="s">
        <v>695</v>
      </c>
      <c r="C423" s="62" t="s">
        <v>685</v>
      </c>
      <c r="D423" s="62"/>
      <c r="E423" s="63">
        <v>1480500</v>
      </c>
      <c r="F423" s="63">
        <f t="shared" si="23"/>
        <v>118440</v>
      </c>
      <c r="G423" s="64">
        <f t="shared" si="24"/>
        <v>1598940</v>
      </c>
      <c r="H423" s="65">
        <v>1598940</v>
      </c>
      <c r="I423" s="65"/>
      <c r="J423" s="66">
        <f t="shared" si="25"/>
        <v>0</v>
      </c>
      <c r="K423" s="67">
        <v>45821</v>
      </c>
      <c r="L423" s="94"/>
    </row>
    <row r="424" spans="1:12" ht="15" customHeight="1" x14ac:dyDescent="0.3">
      <c r="A424" s="59" t="s">
        <v>203</v>
      </c>
      <c r="B424" s="60" t="s">
        <v>695</v>
      </c>
      <c r="C424" s="62" t="s">
        <v>686</v>
      </c>
      <c r="D424" s="62"/>
      <c r="E424" s="63">
        <v>1632000</v>
      </c>
      <c r="F424" s="63">
        <f t="shared" si="23"/>
        <v>130560</v>
      </c>
      <c r="G424" s="64">
        <f t="shared" si="24"/>
        <v>1762560</v>
      </c>
      <c r="H424" s="65">
        <v>1762560</v>
      </c>
      <c r="I424" s="65"/>
      <c r="J424" s="66">
        <f t="shared" si="25"/>
        <v>0</v>
      </c>
      <c r="K424" s="67">
        <v>45821</v>
      </c>
      <c r="L424" s="94"/>
    </row>
    <row r="425" spans="1:12" ht="15" customHeight="1" x14ac:dyDescent="0.3">
      <c r="A425" s="59" t="s">
        <v>196</v>
      </c>
      <c r="B425" s="60" t="s">
        <v>695</v>
      </c>
      <c r="C425" s="62" t="s">
        <v>687</v>
      </c>
      <c r="D425" s="62"/>
      <c r="E425" s="63">
        <v>10327500</v>
      </c>
      <c r="F425" s="63">
        <f t="shared" si="23"/>
        <v>826200</v>
      </c>
      <c r="G425" s="64">
        <f t="shared" si="24"/>
        <v>11153700</v>
      </c>
      <c r="H425" s="65">
        <v>11153700</v>
      </c>
      <c r="I425" s="65"/>
      <c r="J425" s="66">
        <f t="shared" si="25"/>
        <v>0</v>
      </c>
      <c r="K425" s="67">
        <v>45792</v>
      </c>
      <c r="L425" s="94"/>
    </row>
    <row r="426" spans="1:12" ht="15" customHeight="1" x14ac:dyDescent="0.3">
      <c r="A426" s="59" t="s">
        <v>203</v>
      </c>
      <c r="B426" s="60" t="s">
        <v>695</v>
      </c>
      <c r="C426" s="62" t="s">
        <v>688</v>
      </c>
      <c r="D426" s="62"/>
      <c r="E426" s="63">
        <v>3442500</v>
      </c>
      <c r="F426" s="63">
        <f t="shared" si="23"/>
        <v>275400</v>
      </c>
      <c r="G426" s="64">
        <f t="shared" si="24"/>
        <v>3717900</v>
      </c>
      <c r="H426" s="65">
        <v>3717900</v>
      </c>
      <c r="I426" s="65"/>
      <c r="J426" s="66">
        <f t="shared" si="25"/>
        <v>0</v>
      </c>
      <c r="K426" s="67">
        <v>45821</v>
      </c>
      <c r="L426" s="94"/>
    </row>
    <row r="427" spans="1:12" ht="15" customHeight="1" x14ac:dyDescent="0.3">
      <c r="A427" s="59" t="s">
        <v>253</v>
      </c>
      <c r="B427" s="60" t="s">
        <v>695</v>
      </c>
      <c r="C427" s="62" t="s">
        <v>689</v>
      </c>
      <c r="D427" s="62"/>
      <c r="E427" s="63">
        <v>10327500</v>
      </c>
      <c r="F427" s="63">
        <f t="shared" si="23"/>
        <v>826200</v>
      </c>
      <c r="G427" s="64">
        <f t="shared" si="24"/>
        <v>11153700</v>
      </c>
      <c r="H427" s="65">
        <v>11153700</v>
      </c>
      <c r="I427" s="65"/>
      <c r="J427" s="66">
        <f t="shared" si="25"/>
        <v>0</v>
      </c>
      <c r="K427" s="67">
        <v>45821</v>
      </c>
      <c r="L427" s="94"/>
    </row>
    <row r="428" spans="1:12" ht="15" customHeight="1" x14ac:dyDescent="0.3">
      <c r="A428" s="59" t="s">
        <v>196</v>
      </c>
      <c r="B428" s="60" t="s">
        <v>696</v>
      </c>
      <c r="C428" s="62" t="s">
        <v>690</v>
      </c>
      <c r="D428" s="62"/>
      <c r="E428" s="63">
        <v>3442500</v>
      </c>
      <c r="F428" s="63">
        <f t="shared" si="23"/>
        <v>275400</v>
      </c>
      <c r="G428" s="64">
        <f t="shared" si="24"/>
        <v>3717900</v>
      </c>
      <c r="H428" s="65">
        <v>3717900</v>
      </c>
      <c r="I428" s="65"/>
      <c r="J428" s="66">
        <f t="shared" si="25"/>
        <v>0</v>
      </c>
      <c r="K428" s="67">
        <v>45821</v>
      </c>
      <c r="L428" s="94"/>
    </row>
    <row r="429" spans="1:12" ht="15" customHeight="1" x14ac:dyDescent="0.3">
      <c r="A429" s="59" t="s">
        <v>253</v>
      </c>
      <c r="B429" s="60" t="s">
        <v>696</v>
      </c>
      <c r="C429" s="62" t="s">
        <v>691</v>
      </c>
      <c r="D429" s="62"/>
      <c r="E429" s="63">
        <v>1480500</v>
      </c>
      <c r="F429" s="63">
        <f t="shared" si="23"/>
        <v>118440</v>
      </c>
      <c r="G429" s="64">
        <f t="shared" si="24"/>
        <v>1598940</v>
      </c>
      <c r="H429" s="65">
        <v>1598940</v>
      </c>
      <c r="I429" s="65"/>
      <c r="J429" s="66">
        <f t="shared" si="25"/>
        <v>0</v>
      </c>
      <c r="K429" s="67">
        <v>45821</v>
      </c>
      <c r="L429" s="94"/>
    </row>
    <row r="430" spans="1:12" ht="15" customHeight="1" x14ac:dyDescent="0.3">
      <c r="A430" s="59" t="s">
        <v>253</v>
      </c>
      <c r="B430" s="60" t="s">
        <v>696</v>
      </c>
      <c r="C430" s="62" t="s">
        <v>692</v>
      </c>
      <c r="D430" s="62"/>
      <c r="E430" s="63">
        <v>3442500</v>
      </c>
      <c r="F430" s="63">
        <f t="shared" si="23"/>
        <v>275400</v>
      </c>
      <c r="G430" s="64">
        <f t="shared" si="24"/>
        <v>3717900</v>
      </c>
      <c r="H430" s="65">
        <v>3717900</v>
      </c>
      <c r="I430" s="65"/>
      <c r="J430" s="66">
        <f t="shared" si="25"/>
        <v>0</v>
      </c>
      <c r="K430" s="67">
        <v>45821</v>
      </c>
      <c r="L430" s="94"/>
    </row>
    <row r="431" spans="1:12" ht="15" customHeight="1" x14ac:dyDescent="0.3">
      <c r="A431" s="59" t="s">
        <v>203</v>
      </c>
      <c r="B431" s="60" t="s">
        <v>696</v>
      </c>
      <c r="C431" s="62" t="s">
        <v>693</v>
      </c>
      <c r="D431" s="62"/>
      <c r="E431" s="63">
        <v>3442500</v>
      </c>
      <c r="F431" s="63">
        <f t="shared" si="23"/>
        <v>275400</v>
      </c>
      <c r="G431" s="64">
        <f t="shared" si="24"/>
        <v>3717900</v>
      </c>
      <c r="H431" s="65">
        <v>3717900</v>
      </c>
      <c r="I431" s="65"/>
      <c r="J431" s="66">
        <f t="shared" si="25"/>
        <v>0</v>
      </c>
      <c r="K431" s="67">
        <v>45821</v>
      </c>
      <c r="L431" s="94"/>
    </row>
    <row r="432" spans="1:12" ht="15" customHeight="1" x14ac:dyDescent="0.3">
      <c r="A432" s="59" t="s">
        <v>253</v>
      </c>
      <c r="B432" s="60" t="s">
        <v>807</v>
      </c>
      <c r="C432" s="62" t="s">
        <v>697</v>
      </c>
      <c r="D432" s="62"/>
      <c r="E432" s="63">
        <v>3442500</v>
      </c>
      <c r="F432" s="63">
        <f t="shared" si="23"/>
        <v>275400</v>
      </c>
      <c r="G432" s="64">
        <f t="shared" si="24"/>
        <v>3717900</v>
      </c>
      <c r="H432" s="65">
        <v>3717900</v>
      </c>
      <c r="I432" s="65"/>
      <c r="J432" s="66">
        <f t="shared" si="25"/>
        <v>0</v>
      </c>
      <c r="K432" s="67">
        <v>45821</v>
      </c>
      <c r="L432" s="94"/>
    </row>
    <row r="433" spans="1:12" ht="15" customHeight="1" x14ac:dyDescent="0.3">
      <c r="A433" s="59" t="s">
        <v>203</v>
      </c>
      <c r="B433" s="60" t="s">
        <v>807</v>
      </c>
      <c r="C433" s="62" t="s">
        <v>698</v>
      </c>
      <c r="D433" s="62"/>
      <c r="E433" s="63">
        <v>3442500</v>
      </c>
      <c r="F433" s="63">
        <f t="shared" si="23"/>
        <v>275400</v>
      </c>
      <c r="G433" s="64">
        <f t="shared" si="24"/>
        <v>3717900</v>
      </c>
      <c r="H433" s="65">
        <v>3717900</v>
      </c>
      <c r="I433" s="65"/>
      <c r="J433" s="66">
        <f t="shared" si="25"/>
        <v>0</v>
      </c>
      <c r="K433" s="67">
        <v>45821</v>
      </c>
      <c r="L433" s="94"/>
    </row>
    <row r="434" spans="1:12" ht="15" customHeight="1" x14ac:dyDescent="0.3">
      <c r="A434" s="59" t="s">
        <v>196</v>
      </c>
      <c r="B434" s="60" t="s">
        <v>807</v>
      </c>
      <c r="C434" s="62" t="s">
        <v>699</v>
      </c>
      <c r="D434" s="62"/>
      <c r="E434" s="63">
        <v>3442500</v>
      </c>
      <c r="F434" s="63">
        <f t="shared" si="23"/>
        <v>275400</v>
      </c>
      <c r="G434" s="64">
        <f t="shared" si="24"/>
        <v>3717900</v>
      </c>
      <c r="H434" s="65">
        <v>3717900</v>
      </c>
      <c r="I434" s="65"/>
      <c r="J434" s="66">
        <f t="shared" si="25"/>
        <v>0</v>
      </c>
      <c r="K434" s="67">
        <v>45821</v>
      </c>
      <c r="L434" s="94"/>
    </row>
    <row r="435" spans="1:12" ht="15" customHeight="1" x14ac:dyDescent="0.3">
      <c r="A435" s="59" t="s">
        <v>196</v>
      </c>
      <c r="B435" s="60" t="s">
        <v>808</v>
      </c>
      <c r="C435" s="62" t="s">
        <v>700</v>
      </c>
      <c r="D435" s="62"/>
      <c r="E435" s="63">
        <v>6885000</v>
      </c>
      <c r="F435" s="63">
        <f t="shared" si="23"/>
        <v>550800</v>
      </c>
      <c r="G435" s="64">
        <f t="shared" si="24"/>
        <v>7435800</v>
      </c>
      <c r="H435" s="65">
        <v>7435800</v>
      </c>
      <c r="I435" s="65"/>
      <c r="J435" s="66">
        <f t="shared" si="25"/>
        <v>0</v>
      </c>
      <c r="K435" s="67">
        <v>45821</v>
      </c>
      <c r="L435" s="94"/>
    </row>
    <row r="436" spans="1:12" ht="15" customHeight="1" x14ac:dyDescent="0.3">
      <c r="A436" s="59" t="s">
        <v>203</v>
      </c>
      <c r="B436" s="60">
        <v>45792</v>
      </c>
      <c r="C436" s="62" t="s">
        <v>701</v>
      </c>
      <c r="D436" s="62" t="s">
        <v>867</v>
      </c>
      <c r="E436" s="63">
        <v>5508000</v>
      </c>
      <c r="F436" s="63">
        <f t="shared" si="23"/>
        <v>440640</v>
      </c>
      <c r="G436" s="64">
        <f t="shared" si="24"/>
        <v>5948640</v>
      </c>
      <c r="H436" s="65">
        <v>5948640</v>
      </c>
      <c r="I436" s="65"/>
      <c r="J436" s="66">
        <f t="shared" si="25"/>
        <v>0</v>
      </c>
      <c r="K436" s="67">
        <v>45821</v>
      </c>
      <c r="L436" s="94"/>
    </row>
    <row r="437" spans="1:12" ht="15" customHeight="1" x14ac:dyDescent="0.3">
      <c r="A437" s="59" t="s">
        <v>253</v>
      </c>
      <c r="B437" s="60">
        <v>45806</v>
      </c>
      <c r="C437" s="62" t="s">
        <v>702</v>
      </c>
      <c r="D437" s="62" t="s">
        <v>869</v>
      </c>
      <c r="E437" s="63">
        <v>5508000</v>
      </c>
      <c r="F437" s="63">
        <f t="shared" si="23"/>
        <v>440640</v>
      </c>
      <c r="G437" s="64">
        <f t="shared" si="24"/>
        <v>5948640</v>
      </c>
      <c r="H437" s="65">
        <v>5948640</v>
      </c>
      <c r="I437" s="65"/>
      <c r="J437" s="66">
        <f t="shared" si="25"/>
        <v>0</v>
      </c>
      <c r="K437" s="67">
        <v>45821</v>
      </c>
      <c r="L437" s="94"/>
    </row>
    <row r="438" spans="1:12" ht="15" customHeight="1" x14ac:dyDescent="0.3">
      <c r="A438" s="59" t="s">
        <v>196</v>
      </c>
      <c r="B438" s="60" t="s">
        <v>809</v>
      </c>
      <c r="C438" s="62" t="s">
        <v>235</v>
      </c>
      <c r="D438" s="62"/>
      <c r="E438" s="63">
        <v>2065500</v>
      </c>
      <c r="F438" s="63">
        <f t="shared" si="23"/>
        <v>165240</v>
      </c>
      <c r="G438" s="64">
        <f t="shared" si="24"/>
        <v>2230740</v>
      </c>
      <c r="H438" s="65">
        <v>2230740</v>
      </c>
      <c r="I438" s="65"/>
      <c r="J438" s="66">
        <f t="shared" si="25"/>
        <v>0</v>
      </c>
      <c r="K438" s="67">
        <v>45821</v>
      </c>
      <c r="L438" s="94"/>
    </row>
    <row r="439" spans="1:12" ht="15" customHeight="1" x14ac:dyDescent="0.3">
      <c r="A439" s="59" t="s">
        <v>203</v>
      </c>
      <c r="B439" s="60">
        <v>45799</v>
      </c>
      <c r="C439" s="62" t="s">
        <v>703</v>
      </c>
      <c r="D439" s="62" t="s">
        <v>868</v>
      </c>
      <c r="E439" s="63">
        <v>1005000</v>
      </c>
      <c r="F439" s="63">
        <f t="shared" si="23"/>
        <v>80400</v>
      </c>
      <c r="G439" s="64">
        <f t="shared" si="24"/>
        <v>1085400</v>
      </c>
      <c r="H439" s="65">
        <v>1085400</v>
      </c>
      <c r="I439" s="65"/>
      <c r="J439" s="66">
        <f t="shared" si="25"/>
        <v>0</v>
      </c>
      <c r="K439" s="67">
        <v>45821</v>
      </c>
      <c r="L439" s="94"/>
    </row>
    <row r="440" spans="1:12" ht="15" customHeight="1" x14ac:dyDescent="0.3">
      <c r="A440" s="59" t="s">
        <v>253</v>
      </c>
      <c r="B440" s="60" t="s">
        <v>809</v>
      </c>
      <c r="C440" s="62" t="s">
        <v>104</v>
      </c>
      <c r="D440" s="62"/>
      <c r="E440" s="63">
        <v>2065500</v>
      </c>
      <c r="F440" s="63">
        <f t="shared" si="23"/>
        <v>165240</v>
      </c>
      <c r="G440" s="64">
        <f t="shared" si="24"/>
        <v>2230740</v>
      </c>
      <c r="H440" s="65">
        <v>2230740</v>
      </c>
      <c r="I440" s="65"/>
      <c r="J440" s="66">
        <f t="shared" si="25"/>
        <v>0</v>
      </c>
      <c r="K440" s="67">
        <v>45821</v>
      </c>
      <c r="L440" s="94"/>
    </row>
    <row r="441" spans="1:12" ht="15" customHeight="1" x14ac:dyDescent="0.3">
      <c r="A441" s="59" t="s">
        <v>196</v>
      </c>
      <c r="B441" s="60" t="s">
        <v>810</v>
      </c>
      <c r="C441" s="62" t="s">
        <v>704</v>
      </c>
      <c r="D441" s="62"/>
      <c r="E441" s="63">
        <v>3976500</v>
      </c>
      <c r="F441" s="63">
        <f t="shared" si="23"/>
        <v>318120</v>
      </c>
      <c r="G441" s="64">
        <f t="shared" si="24"/>
        <v>4294620</v>
      </c>
      <c r="H441" s="65">
        <v>4294620</v>
      </c>
      <c r="I441" s="65"/>
      <c r="J441" s="66">
        <f t="shared" si="25"/>
        <v>0</v>
      </c>
      <c r="K441" s="67">
        <v>45821</v>
      </c>
      <c r="L441" s="94"/>
    </row>
    <row r="442" spans="1:12" ht="15" customHeight="1" x14ac:dyDescent="0.3">
      <c r="A442" s="59" t="s">
        <v>203</v>
      </c>
      <c r="B442" s="60" t="s">
        <v>810</v>
      </c>
      <c r="C442" s="62" t="s">
        <v>705</v>
      </c>
      <c r="D442" s="62"/>
      <c r="E442" s="63">
        <v>2010000</v>
      </c>
      <c r="F442" s="63">
        <f t="shared" si="23"/>
        <v>160800</v>
      </c>
      <c r="G442" s="64">
        <f t="shared" si="24"/>
        <v>2170800</v>
      </c>
      <c r="H442" s="65">
        <v>2170800</v>
      </c>
      <c r="I442" s="65"/>
      <c r="J442" s="66">
        <f t="shared" si="25"/>
        <v>0</v>
      </c>
      <c r="K442" s="67">
        <v>45821</v>
      </c>
      <c r="L442" s="94"/>
    </row>
    <row r="443" spans="1:12" ht="15" customHeight="1" x14ac:dyDescent="0.3">
      <c r="A443" s="59" t="s">
        <v>196</v>
      </c>
      <c r="B443" s="60" t="s">
        <v>811</v>
      </c>
      <c r="C443" s="62" t="s">
        <v>706</v>
      </c>
      <c r="D443" s="62"/>
      <c r="E443" s="63">
        <v>5810000</v>
      </c>
      <c r="F443" s="63">
        <f t="shared" si="23"/>
        <v>464800</v>
      </c>
      <c r="G443" s="64">
        <f t="shared" si="24"/>
        <v>6274800</v>
      </c>
      <c r="H443" s="65">
        <v>6274800</v>
      </c>
      <c r="I443" s="65"/>
      <c r="J443" s="66">
        <f t="shared" si="25"/>
        <v>0</v>
      </c>
      <c r="K443" s="67">
        <v>45821</v>
      </c>
      <c r="L443" s="94"/>
    </row>
    <row r="444" spans="1:12" ht="15" customHeight="1" x14ac:dyDescent="0.3">
      <c r="A444" s="59" t="s">
        <v>203</v>
      </c>
      <c r="B444" s="60" t="s">
        <v>811</v>
      </c>
      <c r="C444" s="62" t="s">
        <v>707</v>
      </c>
      <c r="D444" s="62"/>
      <c r="E444" s="63">
        <v>960000</v>
      </c>
      <c r="F444" s="63">
        <f t="shared" si="23"/>
        <v>76800</v>
      </c>
      <c r="G444" s="64">
        <f t="shared" si="24"/>
        <v>1036800</v>
      </c>
      <c r="H444" s="65">
        <v>1036800</v>
      </c>
      <c r="I444" s="65"/>
      <c r="J444" s="66">
        <f t="shared" si="25"/>
        <v>0</v>
      </c>
      <c r="K444" s="67">
        <v>45821</v>
      </c>
      <c r="L444" s="94"/>
    </row>
    <row r="445" spans="1:12" ht="15" customHeight="1" x14ac:dyDescent="0.3">
      <c r="A445" s="59" t="s">
        <v>196</v>
      </c>
      <c r="B445" s="60" t="s">
        <v>812</v>
      </c>
      <c r="C445" s="62" t="s">
        <v>708</v>
      </c>
      <c r="D445" s="62"/>
      <c r="E445" s="63">
        <v>3960000</v>
      </c>
      <c r="F445" s="63">
        <f t="shared" si="23"/>
        <v>316800</v>
      </c>
      <c r="G445" s="64">
        <f t="shared" si="24"/>
        <v>4276800</v>
      </c>
      <c r="H445" s="65">
        <v>4276800</v>
      </c>
      <c r="I445" s="65"/>
      <c r="J445" s="66">
        <f t="shared" si="25"/>
        <v>0</v>
      </c>
      <c r="K445" s="67">
        <v>45853</v>
      </c>
      <c r="L445" s="94"/>
    </row>
    <row r="446" spans="1:12" ht="15" customHeight="1" x14ac:dyDescent="0.3">
      <c r="A446" s="59" t="s">
        <v>196</v>
      </c>
      <c r="B446" s="60" t="s">
        <v>813</v>
      </c>
      <c r="C446" s="62" t="s">
        <v>709</v>
      </c>
      <c r="D446" s="62"/>
      <c r="E446" s="63">
        <v>1005000</v>
      </c>
      <c r="F446" s="63">
        <f t="shared" si="23"/>
        <v>80400</v>
      </c>
      <c r="G446" s="64">
        <f t="shared" si="24"/>
        <v>1085400</v>
      </c>
      <c r="H446" s="65">
        <v>1085400</v>
      </c>
      <c r="I446" s="65"/>
      <c r="J446" s="66">
        <f t="shared" si="25"/>
        <v>0</v>
      </c>
      <c r="K446" s="67">
        <v>45853</v>
      </c>
      <c r="L446" s="94"/>
    </row>
    <row r="447" spans="1:12" ht="15" customHeight="1" x14ac:dyDescent="0.3">
      <c r="A447" s="59" t="s">
        <v>253</v>
      </c>
      <c r="B447" s="60" t="s">
        <v>814</v>
      </c>
      <c r="C447" s="62" t="s">
        <v>710</v>
      </c>
      <c r="D447" s="62"/>
      <c r="E447" s="63">
        <v>2685000</v>
      </c>
      <c r="F447" s="63">
        <f t="shared" si="23"/>
        <v>214800</v>
      </c>
      <c r="G447" s="64">
        <f t="shared" si="24"/>
        <v>2899800</v>
      </c>
      <c r="H447" s="65">
        <v>2899800</v>
      </c>
      <c r="I447" s="65"/>
      <c r="J447" s="66">
        <f t="shared" si="25"/>
        <v>0</v>
      </c>
      <c r="K447" s="67">
        <v>45853</v>
      </c>
      <c r="L447" s="94"/>
    </row>
    <row r="448" spans="1:12" ht="15" customHeight="1" x14ac:dyDescent="0.3">
      <c r="A448" s="59" t="s">
        <v>203</v>
      </c>
      <c r="B448" s="60" t="s">
        <v>814</v>
      </c>
      <c r="C448" s="62" t="s">
        <v>711</v>
      </c>
      <c r="D448" s="62"/>
      <c r="E448" s="63">
        <v>7925000</v>
      </c>
      <c r="F448" s="63">
        <f t="shared" si="23"/>
        <v>634000</v>
      </c>
      <c r="G448" s="64">
        <f t="shared" si="24"/>
        <v>8559000</v>
      </c>
      <c r="H448" s="65">
        <v>8559000</v>
      </c>
      <c r="I448" s="65"/>
      <c r="J448" s="66">
        <f t="shared" si="25"/>
        <v>0</v>
      </c>
      <c r="K448" s="67">
        <v>45853</v>
      </c>
      <c r="L448" s="94"/>
    </row>
    <row r="449" spans="1:12" ht="15" customHeight="1" x14ac:dyDescent="0.3">
      <c r="A449" s="59" t="s">
        <v>196</v>
      </c>
      <c r="B449" s="60" t="s">
        <v>814</v>
      </c>
      <c r="C449" s="62" t="s">
        <v>712</v>
      </c>
      <c r="D449" s="62"/>
      <c r="E449" s="63">
        <v>2560000</v>
      </c>
      <c r="F449" s="63">
        <f t="shared" si="23"/>
        <v>204800</v>
      </c>
      <c r="G449" s="64">
        <f t="shared" si="24"/>
        <v>2764800</v>
      </c>
      <c r="H449" s="65">
        <v>2764800</v>
      </c>
      <c r="I449" s="65"/>
      <c r="J449" s="66">
        <f t="shared" si="25"/>
        <v>0</v>
      </c>
      <c r="K449" s="67">
        <v>45853</v>
      </c>
      <c r="L449" s="94"/>
    </row>
    <row r="450" spans="1:12" ht="15" customHeight="1" x14ac:dyDescent="0.3">
      <c r="A450" s="59" t="s">
        <v>203</v>
      </c>
      <c r="B450" s="60" t="s">
        <v>815</v>
      </c>
      <c r="C450" s="62" t="s">
        <v>713</v>
      </c>
      <c r="D450" s="62"/>
      <c r="E450" s="63">
        <v>960000</v>
      </c>
      <c r="F450" s="63">
        <f t="shared" si="23"/>
        <v>76800</v>
      </c>
      <c r="G450" s="64">
        <f t="shared" si="24"/>
        <v>1036800</v>
      </c>
      <c r="H450" s="65">
        <v>1036800</v>
      </c>
      <c r="I450" s="65"/>
      <c r="J450" s="66">
        <f t="shared" si="25"/>
        <v>0</v>
      </c>
      <c r="K450" s="67">
        <v>45853</v>
      </c>
      <c r="L450" s="94"/>
    </row>
    <row r="451" spans="1:12" ht="15" customHeight="1" x14ac:dyDescent="0.3">
      <c r="A451" s="59" t="s">
        <v>203</v>
      </c>
      <c r="B451" s="60" t="s">
        <v>816</v>
      </c>
      <c r="C451" s="62" t="s">
        <v>714</v>
      </c>
      <c r="D451" s="62"/>
      <c r="E451" s="63">
        <v>960000</v>
      </c>
      <c r="F451" s="63">
        <f t="shared" si="23"/>
        <v>76800</v>
      </c>
      <c r="G451" s="64">
        <f t="shared" si="24"/>
        <v>1036800</v>
      </c>
      <c r="H451" s="65">
        <v>1036800</v>
      </c>
      <c r="I451" s="65"/>
      <c r="J451" s="66">
        <f t="shared" si="25"/>
        <v>0</v>
      </c>
      <c r="K451" s="67">
        <v>45853</v>
      </c>
      <c r="L451" s="94"/>
    </row>
    <row r="452" spans="1:12" ht="15" customHeight="1" x14ac:dyDescent="0.3">
      <c r="A452" s="59" t="s">
        <v>196</v>
      </c>
      <c r="B452" s="60" t="s">
        <v>816</v>
      </c>
      <c r="C452" s="62" t="s">
        <v>715</v>
      </c>
      <c r="D452" s="62"/>
      <c r="E452" s="63">
        <v>2040000</v>
      </c>
      <c r="F452" s="63">
        <f t="shared" si="23"/>
        <v>163200</v>
      </c>
      <c r="G452" s="64">
        <f t="shared" si="24"/>
        <v>2203200</v>
      </c>
      <c r="H452" s="65">
        <v>2203200</v>
      </c>
      <c r="I452" s="65"/>
      <c r="J452" s="66">
        <f t="shared" si="25"/>
        <v>0</v>
      </c>
      <c r="K452" s="67">
        <v>45853</v>
      </c>
      <c r="L452" s="94"/>
    </row>
    <row r="453" spans="1:12" ht="15" customHeight="1" x14ac:dyDescent="0.3">
      <c r="A453" s="59" t="s">
        <v>253</v>
      </c>
      <c r="B453" s="60">
        <v>45833</v>
      </c>
      <c r="C453" s="62" t="s">
        <v>447</v>
      </c>
      <c r="D453" s="62" t="s">
        <v>870</v>
      </c>
      <c r="E453" s="63">
        <v>7920000</v>
      </c>
      <c r="F453" s="63">
        <f t="shared" si="23"/>
        <v>633600</v>
      </c>
      <c r="G453" s="64">
        <f t="shared" si="24"/>
        <v>8553600</v>
      </c>
      <c r="H453" s="65">
        <v>8553600</v>
      </c>
      <c r="I453" s="65"/>
      <c r="J453" s="66">
        <f t="shared" si="25"/>
        <v>0</v>
      </c>
      <c r="K453" s="67">
        <v>45915</v>
      </c>
      <c r="L453" s="94"/>
    </row>
    <row r="454" spans="1:12" ht="15" customHeight="1" x14ac:dyDescent="0.3">
      <c r="A454" s="59" t="s">
        <v>203</v>
      </c>
      <c r="B454" s="60" t="s">
        <v>817</v>
      </c>
      <c r="C454" s="62" t="s">
        <v>716</v>
      </c>
      <c r="D454" s="62"/>
      <c r="E454" s="63">
        <v>7520000</v>
      </c>
      <c r="F454" s="63">
        <f t="shared" si="23"/>
        <v>601600</v>
      </c>
      <c r="G454" s="64">
        <f t="shared" si="24"/>
        <v>8121600</v>
      </c>
      <c r="H454" s="65">
        <v>8121600</v>
      </c>
      <c r="I454" s="65"/>
      <c r="J454" s="66">
        <f t="shared" si="25"/>
        <v>0</v>
      </c>
      <c r="K454" s="67">
        <v>45853</v>
      </c>
      <c r="L454" s="94"/>
    </row>
    <row r="455" spans="1:12" ht="15" customHeight="1" x14ac:dyDescent="0.3">
      <c r="A455" s="59" t="s">
        <v>196</v>
      </c>
      <c r="B455" s="60" t="s">
        <v>817</v>
      </c>
      <c r="C455" s="62" t="s">
        <v>717</v>
      </c>
      <c r="D455" s="62"/>
      <c r="E455" s="63">
        <v>10720000</v>
      </c>
      <c r="F455" s="63">
        <f t="shared" si="23"/>
        <v>857600</v>
      </c>
      <c r="G455" s="64">
        <f t="shared" si="24"/>
        <v>11577600</v>
      </c>
      <c r="H455" s="65">
        <v>11577600</v>
      </c>
      <c r="I455" s="65"/>
      <c r="J455" s="66">
        <f t="shared" si="25"/>
        <v>0</v>
      </c>
      <c r="K455" s="67">
        <v>45853</v>
      </c>
      <c r="L455" s="94"/>
    </row>
    <row r="456" spans="1:12" ht="15" customHeight="1" x14ac:dyDescent="0.3">
      <c r="A456" s="59" t="s">
        <v>253</v>
      </c>
      <c r="B456" s="60" t="s">
        <v>818</v>
      </c>
      <c r="C456" s="62" t="s">
        <v>718</v>
      </c>
      <c r="D456" s="62"/>
      <c r="E456" s="63">
        <v>2650000</v>
      </c>
      <c r="F456" s="63">
        <f t="shared" ref="F456:F519" si="26">+E456*0.08</f>
        <v>212000</v>
      </c>
      <c r="G456" s="64">
        <f t="shared" ref="G456:G519" si="27">E456+F456</f>
        <v>2862000</v>
      </c>
      <c r="H456" s="65">
        <v>2862000</v>
      </c>
      <c r="I456" s="65"/>
      <c r="J456" s="66">
        <f t="shared" si="25"/>
        <v>0</v>
      </c>
      <c r="K456" s="67">
        <v>45853</v>
      </c>
      <c r="L456" s="94"/>
    </row>
    <row r="457" spans="1:12" ht="15" customHeight="1" x14ac:dyDescent="0.3">
      <c r="A457" s="59" t="s">
        <v>203</v>
      </c>
      <c r="B457" s="60" t="s">
        <v>818</v>
      </c>
      <c r="C457" s="62" t="s">
        <v>719</v>
      </c>
      <c r="D457" s="62"/>
      <c r="E457" s="63">
        <v>3050000</v>
      </c>
      <c r="F457" s="63">
        <f t="shared" si="26"/>
        <v>244000</v>
      </c>
      <c r="G457" s="64">
        <f t="shared" si="27"/>
        <v>3294000</v>
      </c>
      <c r="H457" s="65">
        <v>3294000</v>
      </c>
      <c r="I457" s="65"/>
      <c r="J457" s="66">
        <f t="shared" si="25"/>
        <v>0</v>
      </c>
      <c r="K457" s="67">
        <v>45853</v>
      </c>
      <c r="L457" s="94"/>
    </row>
    <row r="458" spans="1:12" ht="15" customHeight="1" x14ac:dyDescent="0.3">
      <c r="A458" s="59" t="s">
        <v>196</v>
      </c>
      <c r="B458" s="60" t="s">
        <v>818</v>
      </c>
      <c r="C458" s="62" t="s">
        <v>720</v>
      </c>
      <c r="D458" s="62"/>
      <c r="E458" s="63">
        <v>1280000</v>
      </c>
      <c r="F458" s="63">
        <f t="shared" si="26"/>
        <v>102400</v>
      </c>
      <c r="G458" s="64">
        <f t="shared" si="27"/>
        <v>1382400</v>
      </c>
      <c r="H458" s="65">
        <v>1382400</v>
      </c>
      <c r="I458" s="65"/>
      <c r="J458" s="66">
        <f t="shared" si="25"/>
        <v>0</v>
      </c>
      <c r="K458" s="67">
        <v>45853</v>
      </c>
      <c r="L458" s="94"/>
    </row>
    <row r="459" spans="1:12" ht="15" customHeight="1" x14ac:dyDescent="0.3">
      <c r="A459" s="59" t="s">
        <v>196</v>
      </c>
      <c r="B459" s="60" t="s">
        <v>819</v>
      </c>
      <c r="C459" s="62" t="s">
        <v>721</v>
      </c>
      <c r="D459" s="62"/>
      <c r="E459" s="63">
        <v>1920000</v>
      </c>
      <c r="F459" s="63">
        <f t="shared" si="26"/>
        <v>153600</v>
      </c>
      <c r="G459" s="64">
        <f t="shared" si="27"/>
        <v>2073600</v>
      </c>
      <c r="H459" s="65">
        <v>2073600</v>
      </c>
      <c r="I459" s="65"/>
      <c r="J459" s="66">
        <f t="shared" si="25"/>
        <v>0</v>
      </c>
      <c r="K459" s="67">
        <v>45853</v>
      </c>
      <c r="L459" s="94"/>
    </row>
    <row r="460" spans="1:12" ht="15" customHeight="1" x14ac:dyDescent="0.3">
      <c r="A460" s="59" t="s">
        <v>203</v>
      </c>
      <c r="B460" s="60" t="s">
        <v>820</v>
      </c>
      <c r="C460" s="62" t="s">
        <v>722</v>
      </c>
      <c r="D460" s="62"/>
      <c r="E460" s="63">
        <v>1920000</v>
      </c>
      <c r="F460" s="63">
        <f t="shared" si="26"/>
        <v>153600</v>
      </c>
      <c r="G460" s="64">
        <f t="shared" si="27"/>
        <v>2073600</v>
      </c>
      <c r="H460" s="65">
        <v>2073600</v>
      </c>
      <c r="I460" s="65"/>
      <c r="J460" s="66">
        <f t="shared" si="25"/>
        <v>0</v>
      </c>
      <c r="K460" s="67">
        <v>45884</v>
      </c>
      <c r="L460" s="94"/>
    </row>
    <row r="461" spans="1:12" ht="15" customHeight="1" x14ac:dyDescent="0.3">
      <c r="A461" s="59" t="s">
        <v>253</v>
      </c>
      <c r="B461" s="60" t="s">
        <v>820</v>
      </c>
      <c r="C461" s="62" t="s">
        <v>723</v>
      </c>
      <c r="D461" s="62"/>
      <c r="E461" s="63">
        <v>4330000</v>
      </c>
      <c r="F461" s="63">
        <f t="shared" si="26"/>
        <v>346400</v>
      </c>
      <c r="G461" s="64">
        <f t="shared" si="27"/>
        <v>4676400</v>
      </c>
      <c r="H461" s="65">
        <v>4676400</v>
      </c>
      <c r="I461" s="65"/>
      <c r="J461" s="66">
        <f t="shared" si="25"/>
        <v>0</v>
      </c>
      <c r="K461" s="67">
        <v>45884</v>
      </c>
      <c r="L461" s="94"/>
    </row>
    <row r="462" spans="1:12" ht="15" customHeight="1" x14ac:dyDescent="0.3">
      <c r="A462" s="59" t="s">
        <v>253</v>
      </c>
      <c r="B462" s="60">
        <v>45862</v>
      </c>
      <c r="C462" s="62" t="s">
        <v>724</v>
      </c>
      <c r="D462" s="62" t="s">
        <v>871</v>
      </c>
      <c r="E462" s="63">
        <v>2730000</v>
      </c>
      <c r="F462" s="63">
        <f t="shared" si="26"/>
        <v>218400</v>
      </c>
      <c r="G462" s="64">
        <f t="shared" si="27"/>
        <v>2948400</v>
      </c>
      <c r="H462" s="65">
        <v>2948400</v>
      </c>
      <c r="I462" s="65"/>
      <c r="J462" s="66">
        <f t="shared" ref="J462:J496" si="28">G462-H462</f>
        <v>0</v>
      </c>
      <c r="K462" s="67">
        <v>45884</v>
      </c>
      <c r="L462" s="94"/>
    </row>
    <row r="463" spans="1:12" ht="15" customHeight="1" x14ac:dyDescent="0.3">
      <c r="A463" s="59" t="s">
        <v>203</v>
      </c>
      <c r="B463" s="60" t="s">
        <v>821</v>
      </c>
      <c r="C463" s="62" t="s">
        <v>725</v>
      </c>
      <c r="D463" s="62"/>
      <c r="E463" s="63">
        <v>2040000</v>
      </c>
      <c r="F463" s="63">
        <f t="shared" si="26"/>
        <v>163200</v>
      </c>
      <c r="G463" s="64">
        <f t="shared" si="27"/>
        <v>2203200</v>
      </c>
      <c r="H463" s="65">
        <v>2203200</v>
      </c>
      <c r="I463" s="65"/>
      <c r="J463" s="66">
        <f t="shared" si="28"/>
        <v>0</v>
      </c>
      <c r="K463" s="67">
        <v>45884</v>
      </c>
      <c r="L463" s="94"/>
    </row>
    <row r="464" spans="1:12" ht="15" customHeight="1" x14ac:dyDescent="0.3">
      <c r="A464" s="59" t="s">
        <v>253</v>
      </c>
      <c r="B464" s="60" t="s">
        <v>822</v>
      </c>
      <c r="C464" s="62" t="s">
        <v>726</v>
      </c>
      <c r="D464" s="62"/>
      <c r="E464" s="63">
        <v>2855000</v>
      </c>
      <c r="F464" s="63">
        <f t="shared" si="26"/>
        <v>228400</v>
      </c>
      <c r="G464" s="64">
        <f t="shared" si="27"/>
        <v>3083400</v>
      </c>
      <c r="H464" s="65">
        <v>3083400</v>
      </c>
      <c r="I464" s="65"/>
      <c r="J464" s="66">
        <f t="shared" si="28"/>
        <v>0</v>
      </c>
      <c r="K464" s="67">
        <v>45884</v>
      </c>
      <c r="L464" s="94"/>
    </row>
    <row r="465" spans="1:12" ht="15" customHeight="1" x14ac:dyDescent="0.3">
      <c r="A465" s="59" t="s">
        <v>196</v>
      </c>
      <c r="B465" s="60" t="s">
        <v>822</v>
      </c>
      <c r="C465" s="62" t="s">
        <v>727</v>
      </c>
      <c r="D465" s="62"/>
      <c r="E465" s="63">
        <v>1005000</v>
      </c>
      <c r="F465" s="63">
        <f t="shared" si="26"/>
        <v>80400</v>
      </c>
      <c r="G465" s="64">
        <f t="shared" si="27"/>
        <v>1085400</v>
      </c>
      <c r="H465" s="65">
        <v>1085400</v>
      </c>
      <c r="I465" s="65"/>
      <c r="J465" s="66">
        <f t="shared" si="28"/>
        <v>0</v>
      </c>
      <c r="K465" s="67">
        <v>45884</v>
      </c>
      <c r="L465" s="94"/>
    </row>
    <row r="466" spans="1:12" ht="15" customHeight="1" x14ac:dyDescent="0.3">
      <c r="A466" s="59" t="s">
        <v>203</v>
      </c>
      <c r="B466" s="60">
        <v>45867</v>
      </c>
      <c r="C466" s="62" t="s">
        <v>728</v>
      </c>
      <c r="D466" s="62" t="s">
        <v>872</v>
      </c>
      <c r="E466" s="63">
        <v>8900000</v>
      </c>
      <c r="F466" s="63">
        <f t="shared" si="26"/>
        <v>712000</v>
      </c>
      <c r="G466" s="64">
        <f t="shared" si="27"/>
        <v>9612000</v>
      </c>
      <c r="H466" s="65">
        <v>9612000</v>
      </c>
      <c r="I466" s="65"/>
      <c r="J466" s="66">
        <f t="shared" si="28"/>
        <v>0</v>
      </c>
      <c r="K466" s="67">
        <v>45915</v>
      </c>
      <c r="L466" s="94"/>
    </row>
    <row r="467" spans="1:12" ht="15" customHeight="1" x14ac:dyDescent="0.3">
      <c r="A467" s="59" t="s">
        <v>253</v>
      </c>
      <c r="B467" s="60" t="s">
        <v>823</v>
      </c>
      <c r="C467" s="62" t="s">
        <v>729</v>
      </c>
      <c r="D467" s="62"/>
      <c r="E467" s="63">
        <v>5885000</v>
      </c>
      <c r="F467" s="63">
        <f t="shared" si="26"/>
        <v>470800</v>
      </c>
      <c r="G467" s="64">
        <f t="shared" si="27"/>
        <v>6355800</v>
      </c>
      <c r="H467" s="65">
        <v>6355800</v>
      </c>
      <c r="I467" s="65"/>
      <c r="J467" s="66">
        <f t="shared" si="28"/>
        <v>0</v>
      </c>
      <c r="K467" s="67">
        <v>45884</v>
      </c>
      <c r="L467" s="94"/>
    </row>
    <row r="468" spans="1:12" ht="15" customHeight="1" x14ac:dyDescent="0.3">
      <c r="A468" s="59" t="s">
        <v>203</v>
      </c>
      <c r="B468" s="60" t="s">
        <v>823</v>
      </c>
      <c r="C468" s="62" t="s">
        <v>730</v>
      </c>
      <c r="D468" s="62"/>
      <c r="E468" s="63">
        <v>7050000</v>
      </c>
      <c r="F468" s="63">
        <f t="shared" si="26"/>
        <v>564000</v>
      </c>
      <c r="G468" s="64">
        <f t="shared" si="27"/>
        <v>7614000</v>
      </c>
      <c r="H468" s="65">
        <v>7614000</v>
      </c>
      <c r="I468" s="65"/>
      <c r="J468" s="66">
        <f t="shared" si="28"/>
        <v>0</v>
      </c>
      <c r="K468" s="67">
        <v>45884</v>
      </c>
      <c r="L468" s="94"/>
    </row>
    <row r="469" spans="1:12" ht="15" customHeight="1" x14ac:dyDescent="0.3">
      <c r="A469" s="59" t="s">
        <v>196</v>
      </c>
      <c r="B469" s="60" t="s">
        <v>823</v>
      </c>
      <c r="C469" s="62" t="s">
        <v>731</v>
      </c>
      <c r="D469" s="62"/>
      <c r="E469" s="63">
        <v>810000</v>
      </c>
      <c r="F469" s="63">
        <f t="shared" si="26"/>
        <v>64800</v>
      </c>
      <c r="G469" s="64">
        <f t="shared" si="27"/>
        <v>874800</v>
      </c>
      <c r="H469" s="65">
        <v>874800</v>
      </c>
      <c r="I469" s="65"/>
      <c r="J469" s="66">
        <f t="shared" si="28"/>
        <v>0</v>
      </c>
      <c r="K469" s="67">
        <v>45884</v>
      </c>
      <c r="L469" s="94"/>
    </row>
    <row r="470" spans="1:12" ht="15" customHeight="1" x14ac:dyDescent="0.3">
      <c r="A470" s="59" t="s">
        <v>253</v>
      </c>
      <c r="B470" s="60" t="s">
        <v>824</v>
      </c>
      <c r="C470" s="62" t="s">
        <v>732</v>
      </c>
      <c r="D470" s="62"/>
      <c r="E470" s="63">
        <v>4720000</v>
      </c>
      <c r="F470" s="63">
        <f t="shared" si="26"/>
        <v>377600</v>
      </c>
      <c r="G470" s="64">
        <f t="shared" si="27"/>
        <v>5097600</v>
      </c>
      <c r="H470" s="65">
        <v>5097600</v>
      </c>
      <c r="I470" s="65"/>
      <c r="J470" s="66">
        <f t="shared" si="28"/>
        <v>0</v>
      </c>
      <c r="K470" s="67">
        <v>45884</v>
      </c>
      <c r="L470" s="94"/>
    </row>
    <row r="471" spans="1:12" ht="15" customHeight="1" x14ac:dyDescent="0.3">
      <c r="A471" s="59" t="s">
        <v>196</v>
      </c>
      <c r="B471" s="60" t="s">
        <v>825</v>
      </c>
      <c r="C471" s="62" t="s">
        <v>733</v>
      </c>
      <c r="D471" s="62"/>
      <c r="E471" s="63">
        <v>4880000</v>
      </c>
      <c r="F471" s="63">
        <f t="shared" si="26"/>
        <v>390400</v>
      </c>
      <c r="G471" s="64">
        <f t="shared" si="27"/>
        <v>5270400</v>
      </c>
      <c r="H471" s="65">
        <v>5270400</v>
      </c>
      <c r="I471" s="65"/>
      <c r="J471" s="66">
        <f t="shared" si="28"/>
        <v>0</v>
      </c>
      <c r="K471" s="67">
        <v>45884</v>
      </c>
      <c r="L471" s="94"/>
    </row>
    <row r="472" spans="1:12" ht="15" customHeight="1" x14ac:dyDescent="0.3">
      <c r="A472" s="59" t="s">
        <v>203</v>
      </c>
      <c r="B472" s="60" t="s">
        <v>825</v>
      </c>
      <c r="C472" s="62" t="s">
        <v>734</v>
      </c>
      <c r="D472" s="62"/>
      <c r="E472" s="63">
        <v>5760000</v>
      </c>
      <c r="F472" s="63">
        <f t="shared" si="26"/>
        <v>460800</v>
      </c>
      <c r="G472" s="64">
        <f t="shared" si="27"/>
        <v>6220800</v>
      </c>
      <c r="H472" s="65">
        <v>6220800</v>
      </c>
      <c r="I472" s="65"/>
      <c r="J472" s="66">
        <f t="shared" si="28"/>
        <v>0</v>
      </c>
      <c r="K472" s="67">
        <v>45884</v>
      </c>
      <c r="L472" s="94"/>
    </row>
    <row r="473" spans="1:12" ht="15" customHeight="1" x14ac:dyDescent="0.3">
      <c r="A473" s="59" t="s">
        <v>253</v>
      </c>
      <c r="B473" s="60" t="s">
        <v>825</v>
      </c>
      <c r="C473" s="62" t="s">
        <v>735</v>
      </c>
      <c r="D473" s="62"/>
      <c r="E473" s="63">
        <v>4720000</v>
      </c>
      <c r="F473" s="63">
        <f t="shared" si="26"/>
        <v>377600</v>
      </c>
      <c r="G473" s="64">
        <f t="shared" si="27"/>
        <v>5097600</v>
      </c>
      <c r="H473" s="65">
        <v>5097600</v>
      </c>
      <c r="I473" s="65"/>
      <c r="J473" s="66">
        <f t="shared" si="28"/>
        <v>0</v>
      </c>
      <c r="K473" s="67">
        <v>45884</v>
      </c>
      <c r="L473" s="94"/>
    </row>
    <row r="474" spans="1:12" ht="15" customHeight="1" x14ac:dyDescent="0.3">
      <c r="A474" s="59" t="s">
        <v>196</v>
      </c>
      <c r="B474" s="60" t="s">
        <v>826</v>
      </c>
      <c r="C474" s="62" t="s">
        <v>736</v>
      </c>
      <c r="D474" s="62"/>
      <c r="E474" s="63">
        <v>5625000</v>
      </c>
      <c r="F474" s="63">
        <f t="shared" si="26"/>
        <v>450000</v>
      </c>
      <c r="G474" s="64">
        <f t="shared" si="27"/>
        <v>6075000</v>
      </c>
      <c r="H474" s="65">
        <v>6075000</v>
      </c>
      <c r="I474" s="65"/>
      <c r="J474" s="66">
        <f t="shared" si="28"/>
        <v>0</v>
      </c>
      <c r="K474" s="67">
        <v>45884</v>
      </c>
      <c r="L474" s="94"/>
    </row>
    <row r="475" spans="1:12" ht="15" customHeight="1" x14ac:dyDescent="0.3">
      <c r="A475" s="59" t="s">
        <v>253</v>
      </c>
      <c r="B475" s="60" t="s">
        <v>827</v>
      </c>
      <c r="C475" s="62" t="s">
        <v>737</v>
      </c>
      <c r="D475" s="62"/>
      <c r="E475" s="63">
        <v>2455000</v>
      </c>
      <c r="F475" s="63">
        <f t="shared" si="26"/>
        <v>196400</v>
      </c>
      <c r="G475" s="64">
        <f t="shared" si="27"/>
        <v>2651400</v>
      </c>
      <c r="H475" s="65">
        <v>2651400</v>
      </c>
      <c r="I475" s="65"/>
      <c r="J475" s="66">
        <f t="shared" si="28"/>
        <v>0</v>
      </c>
      <c r="K475" s="67">
        <v>45884</v>
      </c>
      <c r="L475" s="94"/>
    </row>
    <row r="476" spans="1:12" ht="15" customHeight="1" x14ac:dyDescent="0.3">
      <c r="A476" s="59" t="s">
        <v>203</v>
      </c>
      <c r="B476" s="60" t="s">
        <v>828</v>
      </c>
      <c r="C476" s="62" t="s">
        <v>738</v>
      </c>
      <c r="D476" s="62"/>
      <c r="E476" s="63">
        <v>5620000</v>
      </c>
      <c r="F476" s="63">
        <f t="shared" si="26"/>
        <v>449600</v>
      </c>
      <c r="G476" s="64">
        <f t="shared" si="27"/>
        <v>6069600</v>
      </c>
      <c r="H476" s="65">
        <v>6069600</v>
      </c>
      <c r="I476" s="65"/>
      <c r="J476" s="66">
        <f t="shared" si="28"/>
        <v>0</v>
      </c>
      <c r="K476" s="67">
        <v>45915</v>
      </c>
      <c r="L476" s="94"/>
    </row>
    <row r="477" spans="1:12" ht="15" customHeight="1" x14ac:dyDescent="0.3">
      <c r="A477" s="59" t="s">
        <v>196</v>
      </c>
      <c r="B477" s="60" t="s">
        <v>828</v>
      </c>
      <c r="C477" s="62" t="s">
        <v>739</v>
      </c>
      <c r="D477" s="62"/>
      <c r="E477" s="63">
        <v>2680000</v>
      </c>
      <c r="F477" s="63">
        <f t="shared" si="26"/>
        <v>214400</v>
      </c>
      <c r="G477" s="64">
        <f t="shared" si="27"/>
        <v>2894400</v>
      </c>
      <c r="H477" s="65">
        <v>2894400</v>
      </c>
      <c r="I477" s="65"/>
      <c r="J477" s="66">
        <f t="shared" si="28"/>
        <v>0</v>
      </c>
      <c r="K477" s="67">
        <v>45915</v>
      </c>
      <c r="L477" s="94"/>
    </row>
    <row r="478" spans="1:12" ht="15" customHeight="1" x14ac:dyDescent="0.3">
      <c r="A478" s="59" t="s">
        <v>203</v>
      </c>
      <c r="B478" s="60" t="s">
        <v>829</v>
      </c>
      <c r="C478" s="62" t="s">
        <v>740</v>
      </c>
      <c r="D478" s="62"/>
      <c r="E478" s="63">
        <v>9620000</v>
      </c>
      <c r="F478" s="63">
        <f t="shared" si="26"/>
        <v>769600</v>
      </c>
      <c r="G478" s="64">
        <f t="shared" si="27"/>
        <v>10389600</v>
      </c>
      <c r="H478" s="65">
        <v>10389600</v>
      </c>
      <c r="I478" s="65"/>
      <c r="J478" s="66">
        <f t="shared" si="28"/>
        <v>0</v>
      </c>
      <c r="K478" s="67">
        <v>45915</v>
      </c>
      <c r="L478" s="94"/>
    </row>
    <row r="479" spans="1:12" ht="15" customHeight="1" x14ac:dyDescent="0.3">
      <c r="A479" s="59" t="s">
        <v>196</v>
      </c>
      <c r="B479" s="60" t="s">
        <v>829</v>
      </c>
      <c r="C479" s="62" t="s">
        <v>741</v>
      </c>
      <c r="D479" s="62"/>
      <c r="E479" s="63">
        <v>4600000</v>
      </c>
      <c r="F479" s="63">
        <f t="shared" si="26"/>
        <v>368000</v>
      </c>
      <c r="G479" s="64">
        <f t="shared" si="27"/>
        <v>4968000</v>
      </c>
      <c r="H479" s="65">
        <v>4968000</v>
      </c>
      <c r="I479" s="65"/>
      <c r="J479" s="66">
        <f t="shared" si="28"/>
        <v>0</v>
      </c>
      <c r="K479" s="67">
        <v>45915</v>
      </c>
      <c r="L479" s="94"/>
    </row>
    <row r="480" spans="1:12" ht="15" customHeight="1" x14ac:dyDescent="0.3">
      <c r="A480" s="59" t="s">
        <v>253</v>
      </c>
      <c r="B480" s="60">
        <v>45891</v>
      </c>
      <c r="C480" s="62" t="s">
        <v>742</v>
      </c>
      <c r="D480" s="62" t="s">
        <v>874</v>
      </c>
      <c r="E480" s="63">
        <v>8478000</v>
      </c>
      <c r="F480" s="63">
        <f t="shared" si="26"/>
        <v>678240</v>
      </c>
      <c r="G480" s="64">
        <f t="shared" si="27"/>
        <v>9156240</v>
      </c>
      <c r="H480" s="65">
        <v>9156240</v>
      </c>
      <c r="I480" s="65"/>
      <c r="J480" s="66">
        <f t="shared" si="28"/>
        <v>0</v>
      </c>
      <c r="K480" s="67">
        <v>45915</v>
      </c>
      <c r="L480" s="94"/>
    </row>
    <row r="481" spans="1:12" ht="15" customHeight="1" x14ac:dyDescent="0.3">
      <c r="A481" s="59" t="s">
        <v>203</v>
      </c>
      <c r="B481" s="60" t="s">
        <v>830</v>
      </c>
      <c r="C481" s="62" t="s">
        <v>743</v>
      </c>
      <c r="D481" s="62"/>
      <c r="E481" s="63">
        <v>2040000</v>
      </c>
      <c r="F481" s="63">
        <f t="shared" si="26"/>
        <v>163200</v>
      </c>
      <c r="G481" s="64">
        <f t="shared" si="27"/>
        <v>2203200</v>
      </c>
      <c r="H481" s="65">
        <v>2203200</v>
      </c>
      <c r="I481" s="65"/>
      <c r="J481" s="66">
        <f t="shared" si="28"/>
        <v>0</v>
      </c>
      <c r="K481" s="67">
        <v>45915</v>
      </c>
      <c r="L481" s="94"/>
    </row>
    <row r="482" spans="1:12" ht="15" customHeight="1" x14ac:dyDescent="0.3">
      <c r="A482" s="59" t="s">
        <v>203</v>
      </c>
      <c r="B482" s="60" t="s">
        <v>831</v>
      </c>
      <c r="C482" s="62" t="s">
        <v>744</v>
      </c>
      <c r="D482" s="62"/>
      <c r="E482" s="63">
        <v>-544000</v>
      </c>
      <c r="F482" s="63">
        <f t="shared" si="26"/>
        <v>-43520</v>
      </c>
      <c r="G482" s="64">
        <f t="shared" si="27"/>
        <v>-587520</v>
      </c>
      <c r="H482" s="65">
        <v>-587520</v>
      </c>
      <c r="I482" s="65"/>
      <c r="J482" s="66">
        <f t="shared" si="28"/>
        <v>0</v>
      </c>
      <c r="K482" s="67">
        <v>45884</v>
      </c>
      <c r="L482" s="94"/>
    </row>
    <row r="483" spans="1:12" ht="15" customHeight="1" x14ac:dyDescent="0.3">
      <c r="A483" s="59" t="s">
        <v>203</v>
      </c>
      <c r="B483" s="60" t="s">
        <v>831</v>
      </c>
      <c r="C483" s="62" t="s">
        <v>745</v>
      </c>
      <c r="D483" s="62"/>
      <c r="E483" s="63">
        <v>-1280000</v>
      </c>
      <c r="F483" s="63">
        <f t="shared" si="26"/>
        <v>-102400</v>
      </c>
      <c r="G483" s="64">
        <f t="shared" si="27"/>
        <v>-1382400</v>
      </c>
      <c r="H483" s="65">
        <v>-1382400</v>
      </c>
      <c r="I483" s="65"/>
      <c r="J483" s="66">
        <f t="shared" si="28"/>
        <v>0</v>
      </c>
      <c r="K483" s="67">
        <v>45884</v>
      </c>
      <c r="L483" s="94"/>
    </row>
    <row r="484" spans="1:12" ht="15" customHeight="1" x14ac:dyDescent="0.3">
      <c r="A484" s="59" t="s">
        <v>196</v>
      </c>
      <c r="B484" s="60" t="s">
        <v>831</v>
      </c>
      <c r="C484" s="62" t="s">
        <v>746</v>
      </c>
      <c r="D484" s="62"/>
      <c r="E484" s="63">
        <v>14406000</v>
      </c>
      <c r="F484" s="63">
        <f t="shared" si="26"/>
        <v>1152480</v>
      </c>
      <c r="G484" s="64">
        <f t="shared" si="27"/>
        <v>15558480</v>
      </c>
      <c r="H484" s="65">
        <v>15558480</v>
      </c>
      <c r="I484" s="65"/>
      <c r="J484" s="66">
        <f t="shared" si="28"/>
        <v>0</v>
      </c>
      <c r="K484" s="67">
        <v>45915</v>
      </c>
      <c r="L484" s="94"/>
    </row>
    <row r="485" spans="1:12" ht="15" customHeight="1" x14ac:dyDescent="0.3">
      <c r="A485" s="59" t="s">
        <v>203</v>
      </c>
      <c r="B485" s="60" t="s">
        <v>831</v>
      </c>
      <c r="C485" s="62" t="s">
        <v>747</v>
      </c>
      <c r="D485" s="62"/>
      <c r="E485" s="63">
        <v>5020500</v>
      </c>
      <c r="F485" s="63">
        <f t="shared" si="26"/>
        <v>401640</v>
      </c>
      <c r="G485" s="64">
        <f t="shared" si="27"/>
        <v>5422140</v>
      </c>
      <c r="H485" s="65">
        <v>5422140</v>
      </c>
      <c r="I485" s="65"/>
      <c r="J485" s="66">
        <f t="shared" si="28"/>
        <v>0</v>
      </c>
      <c r="K485" s="67">
        <v>45915</v>
      </c>
      <c r="L485" s="94"/>
    </row>
    <row r="486" spans="1:12" ht="15" customHeight="1" x14ac:dyDescent="0.3">
      <c r="A486" s="59" t="s">
        <v>253</v>
      </c>
      <c r="B486" s="60" t="s">
        <v>831</v>
      </c>
      <c r="C486" s="62" t="s">
        <v>748</v>
      </c>
      <c r="D486" s="62"/>
      <c r="E486" s="63">
        <v>3112500</v>
      </c>
      <c r="F486" s="63">
        <f t="shared" si="26"/>
        <v>249000</v>
      </c>
      <c r="G486" s="64">
        <f t="shared" si="27"/>
        <v>3361500</v>
      </c>
      <c r="H486" s="65">
        <v>3361500</v>
      </c>
      <c r="I486" s="65"/>
      <c r="J486" s="66">
        <f t="shared" si="28"/>
        <v>0</v>
      </c>
      <c r="K486" s="67">
        <v>45915</v>
      </c>
      <c r="L486" s="94"/>
    </row>
    <row r="487" spans="1:12" ht="15" customHeight="1" x14ac:dyDescent="0.3">
      <c r="A487" s="59" t="s">
        <v>253</v>
      </c>
      <c r="B487" s="60">
        <v>45891</v>
      </c>
      <c r="C487" s="62" t="s">
        <v>749</v>
      </c>
      <c r="D487" s="62" t="s">
        <v>873</v>
      </c>
      <c r="E487" s="63">
        <v>6196500</v>
      </c>
      <c r="F487" s="63">
        <f t="shared" si="26"/>
        <v>495720</v>
      </c>
      <c r="G487" s="64">
        <f t="shared" si="27"/>
        <v>6692220</v>
      </c>
      <c r="H487" s="65">
        <v>6692220</v>
      </c>
      <c r="I487" s="65"/>
      <c r="J487" s="66">
        <f t="shared" si="28"/>
        <v>0</v>
      </c>
      <c r="K487" s="67">
        <v>45915</v>
      </c>
      <c r="L487" s="94"/>
    </row>
    <row r="488" spans="1:12" ht="15" customHeight="1" x14ac:dyDescent="0.3">
      <c r="A488" s="59" t="s">
        <v>196</v>
      </c>
      <c r="B488" s="60" t="s">
        <v>832</v>
      </c>
      <c r="C488" s="62" t="s">
        <v>750</v>
      </c>
      <c r="D488" s="62"/>
      <c r="E488" s="63">
        <v>14496000</v>
      </c>
      <c r="F488" s="63">
        <f t="shared" si="26"/>
        <v>1159680</v>
      </c>
      <c r="G488" s="64">
        <f t="shared" si="27"/>
        <v>15655680</v>
      </c>
      <c r="H488" s="65">
        <v>15655680</v>
      </c>
      <c r="I488" s="65"/>
      <c r="J488" s="66">
        <f t="shared" si="28"/>
        <v>0</v>
      </c>
      <c r="K488" s="67">
        <v>45915</v>
      </c>
      <c r="L488" s="94"/>
    </row>
    <row r="489" spans="1:12" ht="15" customHeight="1" x14ac:dyDescent="0.3">
      <c r="A489" s="59" t="s">
        <v>203</v>
      </c>
      <c r="B489" s="60" t="s">
        <v>832</v>
      </c>
      <c r="C489" s="62" t="s">
        <v>751</v>
      </c>
      <c r="D489" s="62"/>
      <c r="E489" s="63">
        <v>5749500</v>
      </c>
      <c r="F489" s="63">
        <f t="shared" si="26"/>
        <v>459960</v>
      </c>
      <c r="G489" s="64">
        <f t="shared" si="27"/>
        <v>6209460</v>
      </c>
      <c r="H489" s="65">
        <v>6209460</v>
      </c>
      <c r="I489" s="65"/>
      <c r="J489" s="66">
        <f t="shared" si="28"/>
        <v>0</v>
      </c>
      <c r="K489" s="67">
        <v>45915</v>
      </c>
      <c r="L489" s="94"/>
    </row>
    <row r="490" spans="1:12" ht="15" customHeight="1" x14ac:dyDescent="0.3">
      <c r="A490" s="59" t="s">
        <v>196</v>
      </c>
      <c r="B490" s="60" t="s">
        <v>833</v>
      </c>
      <c r="C490" s="62" t="s">
        <v>510</v>
      </c>
      <c r="D490" s="62"/>
      <c r="E490" s="63">
        <v>17527500</v>
      </c>
      <c r="F490" s="63">
        <f t="shared" si="26"/>
        <v>1402200</v>
      </c>
      <c r="G490" s="64">
        <f t="shared" si="27"/>
        <v>18929700</v>
      </c>
      <c r="H490" s="65">
        <v>18929700</v>
      </c>
      <c r="I490" s="65"/>
      <c r="J490" s="66">
        <f t="shared" si="28"/>
        <v>0</v>
      </c>
      <c r="K490" s="67">
        <v>45915</v>
      </c>
      <c r="L490" s="94"/>
    </row>
    <row r="491" spans="1:12" ht="15" customHeight="1" x14ac:dyDescent="0.3">
      <c r="A491" s="59" t="s">
        <v>253</v>
      </c>
      <c r="B491" s="60" t="s">
        <v>833</v>
      </c>
      <c r="C491" s="62" t="s">
        <v>752</v>
      </c>
      <c r="D491" s="62"/>
      <c r="E491" s="63">
        <v>12813000</v>
      </c>
      <c r="F491" s="63">
        <f t="shared" si="26"/>
        <v>1025040</v>
      </c>
      <c r="G491" s="64">
        <f t="shared" si="27"/>
        <v>13838040</v>
      </c>
      <c r="H491" s="65">
        <v>13838040</v>
      </c>
      <c r="I491" s="65"/>
      <c r="J491" s="66">
        <f t="shared" si="28"/>
        <v>0</v>
      </c>
      <c r="K491" s="67">
        <v>45915</v>
      </c>
      <c r="L491" s="94"/>
    </row>
    <row r="492" spans="1:12" ht="15" customHeight="1" x14ac:dyDescent="0.3">
      <c r="A492" s="59" t="s">
        <v>203</v>
      </c>
      <c r="B492" s="60" t="s">
        <v>833</v>
      </c>
      <c r="C492" s="62" t="s">
        <v>753</v>
      </c>
      <c r="D492" s="62"/>
      <c r="E492" s="63">
        <v>6829500</v>
      </c>
      <c r="F492" s="63">
        <f t="shared" si="26"/>
        <v>546360</v>
      </c>
      <c r="G492" s="64">
        <f t="shared" si="27"/>
        <v>7375860</v>
      </c>
      <c r="H492" s="65">
        <v>7375860</v>
      </c>
      <c r="I492" s="65"/>
      <c r="J492" s="66">
        <f t="shared" si="28"/>
        <v>0</v>
      </c>
      <c r="K492" s="67">
        <v>45915</v>
      </c>
      <c r="L492" s="94"/>
    </row>
    <row r="493" spans="1:12" ht="15" customHeight="1" x14ac:dyDescent="0.3">
      <c r="A493" s="59" t="s">
        <v>196</v>
      </c>
      <c r="B493" s="60" t="s">
        <v>834</v>
      </c>
      <c r="C493" s="61" t="s">
        <v>754</v>
      </c>
      <c r="D493" s="62"/>
      <c r="E493" s="63">
        <v>11515500</v>
      </c>
      <c r="F493" s="63">
        <f t="shared" si="26"/>
        <v>921240</v>
      </c>
      <c r="G493" s="64">
        <f t="shared" si="27"/>
        <v>12436740</v>
      </c>
      <c r="H493" s="65">
        <v>12436740</v>
      </c>
      <c r="I493" s="65"/>
      <c r="J493" s="66">
        <f t="shared" si="28"/>
        <v>0</v>
      </c>
      <c r="K493" s="67">
        <v>45915</v>
      </c>
      <c r="L493" s="94"/>
    </row>
    <row r="494" spans="1:12" ht="15" customHeight="1" x14ac:dyDescent="0.3">
      <c r="A494" s="59" t="s">
        <v>203</v>
      </c>
      <c r="B494" s="60">
        <v>45918</v>
      </c>
      <c r="C494" s="62" t="s">
        <v>517</v>
      </c>
      <c r="D494" s="62" t="s">
        <v>875</v>
      </c>
      <c r="E494" s="63">
        <v>3432000</v>
      </c>
      <c r="F494" s="63">
        <f t="shared" si="26"/>
        <v>274560</v>
      </c>
      <c r="G494" s="64">
        <f t="shared" si="27"/>
        <v>3706560</v>
      </c>
      <c r="H494" s="65">
        <v>3706560</v>
      </c>
      <c r="I494" s="65"/>
      <c r="J494" s="66">
        <f t="shared" si="28"/>
        <v>0</v>
      </c>
      <c r="K494" s="67">
        <v>45945</v>
      </c>
      <c r="L494" s="94"/>
    </row>
    <row r="495" spans="1:12" ht="15" customHeight="1" x14ac:dyDescent="0.3">
      <c r="A495" s="59" t="s">
        <v>253</v>
      </c>
      <c r="B495" s="60" t="s">
        <v>835</v>
      </c>
      <c r="C495" s="62" t="s">
        <v>755</v>
      </c>
      <c r="D495" s="62"/>
      <c r="E495" s="63">
        <v>5400000</v>
      </c>
      <c r="F495" s="63">
        <f t="shared" si="26"/>
        <v>432000</v>
      </c>
      <c r="G495" s="64">
        <f t="shared" si="27"/>
        <v>5832000</v>
      </c>
      <c r="H495" s="65">
        <v>5832000</v>
      </c>
      <c r="I495" s="65"/>
      <c r="J495" s="66">
        <f t="shared" si="28"/>
        <v>0</v>
      </c>
      <c r="K495" s="67">
        <v>45915</v>
      </c>
      <c r="L495" s="94"/>
    </row>
    <row r="496" spans="1:12" ht="15" customHeight="1" x14ac:dyDescent="0.3">
      <c r="A496" s="59" t="s">
        <v>196</v>
      </c>
      <c r="B496" s="60" t="s">
        <v>836</v>
      </c>
      <c r="C496" s="62" t="s">
        <v>756</v>
      </c>
      <c r="D496" s="62"/>
      <c r="E496" s="63">
        <v>4320000</v>
      </c>
      <c r="F496" s="63">
        <f t="shared" si="26"/>
        <v>345600</v>
      </c>
      <c r="G496" s="64">
        <f t="shared" si="27"/>
        <v>4665600</v>
      </c>
      <c r="H496" s="65">
        <v>4665600</v>
      </c>
      <c r="I496" s="65"/>
      <c r="J496" s="66">
        <f t="shared" si="28"/>
        <v>0</v>
      </c>
      <c r="K496" s="67">
        <v>45915</v>
      </c>
      <c r="L496" s="94"/>
    </row>
    <row r="497" spans="1:12" ht="15" customHeight="1" x14ac:dyDescent="0.3">
      <c r="A497" s="59" t="s">
        <v>203</v>
      </c>
      <c r="B497" s="60" t="s">
        <v>836</v>
      </c>
      <c r="C497" s="62" t="s">
        <v>757</v>
      </c>
      <c r="D497" s="62"/>
      <c r="E497" s="63">
        <v>4320000</v>
      </c>
      <c r="F497" s="63">
        <f t="shared" si="26"/>
        <v>345600</v>
      </c>
      <c r="G497" s="64">
        <f t="shared" si="27"/>
        <v>4665600</v>
      </c>
      <c r="H497" s="65">
        <v>4665600</v>
      </c>
      <c r="I497" s="65"/>
      <c r="J497" s="66">
        <f t="shared" ref="J497:J560" si="29">G497-H497</f>
        <v>0</v>
      </c>
      <c r="K497" s="67">
        <v>45915</v>
      </c>
      <c r="L497" s="94"/>
    </row>
    <row r="498" spans="1:12" ht="15" customHeight="1" x14ac:dyDescent="0.3">
      <c r="A498" s="59" t="s">
        <v>253</v>
      </c>
      <c r="B498" s="60" t="s">
        <v>836</v>
      </c>
      <c r="C498" s="62" t="s">
        <v>758</v>
      </c>
      <c r="D498" s="62"/>
      <c r="E498" s="63">
        <v>904500</v>
      </c>
      <c r="F498" s="63">
        <f t="shared" si="26"/>
        <v>72360</v>
      </c>
      <c r="G498" s="64">
        <f t="shared" si="27"/>
        <v>976860</v>
      </c>
      <c r="H498" s="65">
        <v>976860</v>
      </c>
      <c r="I498" s="65"/>
      <c r="J498" s="66">
        <f t="shared" si="29"/>
        <v>0</v>
      </c>
      <c r="K498" s="67">
        <v>45945</v>
      </c>
      <c r="L498" s="94"/>
    </row>
    <row r="499" spans="1:12" ht="15" customHeight="1" x14ac:dyDescent="0.3">
      <c r="A499" s="59" t="s">
        <v>196</v>
      </c>
      <c r="B499" s="60" t="s">
        <v>837</v>
      </c>
      <c r="C499" s="62" t="s">
        <v>759</v>
      </c>
      <c r="D499" s="62"/>
      <c r="E499" s="63">
        <v>4704000</v>
      </c>
      <c r="F499" s="63">
        <f t="shared" si="26"/>
        <v>376320</v>
      </c>
      <c r="G499" s="64">
        <f t="shared" si="27"/>
        <v>5080320</v>
      </c>
      <c r="H499" s="65">
        <v>5080320</v>
      </c>
      <c r="I499" s="65"/>
      <c r="J499" s="66">
        <f t="shared" si="29"/>
        <v>0</v>
      </c>
      <c r="K499" s="67">
        <v>45915</v>
      </c>
      <c r="L499" s="94"/>
    </row>
    <row r="500" spans="1:12" ht="15" customHeight="1" x14ac:dyDescent="0.3">
      <c r="A500" s="59" t="s">
        <v>203</v>
      </c>
      <c r="B500" s="60" t="s">
        <v>837</v>
      </c>
      <c r="C500" s="62" t="s">
        <v>760</v>
      </c>
      <c r="D500" s="62"/>
      <c r="E500" s="63">
        <v>1377000</v>
      </c>
      <c r="F500" s="63">
        <f t="shared" si="26"/>
        <v>110160</v>
      </c>
      <c r="G500" s="64">
        <f t="shared" si="27"/>
        <v>1487160</v>
      </c>
      <c r="H500" s="65">
        <v>1487160</v>
      </c>
      <c r="I500" s="65"/>
      <c r="J500" s="66">
        <f t="shared" si="29"/>
        <v>0</v>
      </c>
      <c r="K500" s="67">
        <v>45915</v>
      </c>
      <c r="L500" s="94"/>
    </row>
    <row r="501" spans="1:12" ht="15" customHeight="1" x14ac:dyDescent="0.3">
      <c r="A501" s="59" t="s">
        <v>196</v>
      </c>
      <c r="B501" s="60" t="s">
        <v>837</v>
      </c>
      <c r="C501" s="62" t="s">
        <v>761</v>
      </c>
      <c r="D501" s="62"/>
      <c r="E501" s="63">
        <v>3240000</v>
      </c>
      <c r="F501" s="63">
        <f t="shared" si="26"/>
        <v>259200</v>
      </c>
      <c r="G501" s="64">
        <f t="shared" si="27"/>
        <v>3499200</v>
      </c>
      <c r="H501" s="65">
        <v>3499200</v>
      </c>
      <c r="I501" s="65"/>
      <c r="J501" s="66">
        <f t="shared" si="29"/>
        <v>0</v>
      </c>
      <c r="K501" s="67">
        <v>45915</v>
      </c>
      <c r="L501" s="94"/>
    </row>
    <row r="502" spans="1:12" ht="15" customHeight="1" x14ac:dyDescent="0.3">
      <c r="A502" s="59" t="s">
        <v>203</v>
      </c>
      <c r="B502" s="60" t="s">
        <v>837</v>
      </c>
      <c r="C502" s="62" t="s">
        <v>762</v>
      </c>
      <c r="D502" s="62"/>
      <c r="E502" s="63">
        <v>3240000</v>
      </c>
      <c r="F502" s="63">
        <f t="shared" si="26"/>
        <v>259200</v>
      </c>
      <c r="G502" s="64">
        <f t="shared" si="27"/>
        <v>3499200</v>
      </c>
      <c r="H502" s="65">
        <v>3499200</v>
      </c>
      <c r="I502" s="65"/>
      <c r="J502" s="66">
        <f t="shared" si="29"/>
        <v>0</v>
      </c>
      <c r="K502" s="67">
        <v>45915</v>
      </c>
      <c r="L502" s="94"/>
    </row>
    <row r="503" spans="1:12" ht="15" customHeight="1" x14ac:dyDescent="0.3">
      <c r="A503" s="59" t="s">
        <v>253</v>
      </c>
      <c r="B503" s="60" t="s">
        <v>837</v>
      </c>
      <c r="C503" s="62" t="s">
        <v>763</v>
      </c>
      <c r="D503" s="62"/>
      <c r="E503" s="63">
        <v>3240000</v>
      </c>
      <c r="F503" s="63">
        <f t="shared" si="26"/>
        <v>259200</v>
      </c>
      <c r="G503" s="64">
        <f t="shared" si="27"/>
        <v>3499200</v>
      </c>
      <c r="H503" s="65">
        <v>3499200</v>
      </c>
      <c r="I503" s="65"/>
      <c r="J503" s="66">
        <f t="shared" si="29"/>
        <v>0</v>
      </c>
      <c r="K503" s="67">
        <v>45915</v>
      </c>
      <c r="L503" s="94"/>
    </row>
    <row r="504" spans="1:12" ht="15" customHeight="1" x14ac:dyDescent="0.3">
      <c r="A504" s="59" t="s">
        <v>203</v>
      </c>
      <c r="B504" s="60" t="s">
        <v>838</v>
      </c>
      <c r="C504" s="62" t="s">
        <v>764</v>
      </c>
      <c r="D504" s="62"/>
      <c r="E504" s="63">
        <v>6800000</v>
      </c>
      <c r="F504" s="63">
        <f t="shared" si="26"/>
        <v>544000</v>
      </c>
      <c r="G504" s="64">
        <f t="shared" si="27"/>
        <v>7344000</v>
      </c>
      <c r="H504" s="65">
        <v>7344000</v>
      </c>
      <c r="I504" s="65"/>
      <c r="J504" s="66">
        <f t="shared" si="29"/>
        <v>0</v>
      </c>
      <c r="K504" s="67">
        <v>45945</v>
      </c>
      <c r="L504" s="94"/>
    </row>
    <row r="505" spans="1:12" ht="15" customHeight="1" x14ac:dyDescent="0.3">
      <c r="A505" s="59" t="s">
        <v>253</v>
      </c>
      <c r="B505" s="60" t="s">
        <v>838</v>
      </c>
      <c r="C505" s="62" t="s">
        <v>765</v>
      </c>
      <c r="D505" s="62"/>
      <c r="E505" s="63">
        <v>5520000</v>
      </c>
      <c r="F505" s="63">
        <f t="shared" si="26"/>
        <v>441600</v>
      </c>
      <c r="G505" s="64">
        <f t="shared" si="27"/>
        <v>5961600</v>
      </c>
      <c r="H505" s="65">
        <v>5961600</v>
      </c>
      <c r="I505" s="65"/>
      <c r="J505" s="66">
        <f t="shared" si="29"/>
        <v>0</v>
      </c>
      <c r="K505" s="67">
        <v>45945</v>
      </c>
      <c r="L505" s="94"/>
    </row>
    <row r="506" spans="1:12" ht="15" customHeight="1" x14ac:dyDescent="0.3">
      <c r="A506" s="59" t="s">
        <v>196</v>
      </c>
      <c r="B506" s="60" t="s">
        <v>838</v>
      </c>
      <c r="C506" s="62" t="s">
        <v>766</v>
      </c>
      <c r="D506" s="62"/>
      <c r="E506" s="63">
        <v>1280000</v>
      </c>
      <c r="F506" s="63">
        <f t="shared" si="26"/>
        <v>102400</v>
      </c>
      <c r="G506" s="64">
        <f t="shared" si="27"/>
        <v>1382400</v>
      </c>
      <c r="H506" s="65">
        <v>1382400</v>
      </c>
      <c r="I506" s="65"/>
      <c r="J506" s="66">
        <f t="shared" si="29"/>
        <v>0</v>
      </c>
      <c r="K506" s="67">
        <v>45945</v>
      </c>
      <c r="L506" s="94"/>
    </row>
    <row r="507" spans="1:12" ht="15" customHeight="1" x14ac:dyDescent="0.3">
      <c r="A507" s="59" t="s">
        <v>196</v>
      </c>
      <c r="B507" s="60" t="s">
        <v>838</v>
      </c>
      <c r="C507" s="62" t="s">
        <v>767</v>
      </c>
      <c r="D507" s="62"/>
      <c r="E507" s="63">
        <v>3240000</v>
      </c>
      <c r="F507" s="63">
        <f t="shared" si="26"/>
        <v>259200</v>
      </c>
      <c r="G507" s="64">
        <f t="shared" si="27"/>
        <v>3499200</v>
      </c>
      <c r="H507" s="65">
        <v>3499200</v>
      </c>
      <c r="I507" s="65"/>
      <c r="J507" s="66">
        <f t="shared" si="29"/>
        <v>0</v>
      </c>
      <c r="K507" s="67">
        <v>45945</v>
      </c>
      <c r="L507" s="94"/>
    </row>
    <row r="508" spans="1:12" ht="15" customHeight="1" x14ac:dyDescent="0.3">
      <c r="A508" s="59" t="s">
        <v>196</v>
      </c>
      <c r="B508" s="60" t="s">
        <v>839</v>
      </c>
      <c r="C508" s="62" t="s">
        <v>768</v>
      </c>
      <c r="D508" s="62"/>
      <c r="E508" s="63">
        <v>1620000</v>
      </c>
      <c r="F508" s="63">
        <f t="shared" si="26"/>
        <v>129600</v>
      </c>
      <c r="G508" s="64">
        <f t="shared" si="27"/>
        <v>1749600</v>
      </c>
      <c r="H508" s="65">
        <v>1749600</v>
      </c>
      <c r="I508" s="65"/>
      <c r="J508" s="66">
        <f t="shared" si="29"/>
        <v>0</v>
      </c>
      <c r="K508" s="67">
        <v>45945</v>
      </c>
      <c r="L508" s="94"/>
    </row>
    <row r="509" spans="1:12" ht="15" customHeight="1" x14ac:dyDescent="0.3">
      <c r="A509" s="59" t="s">
        <v>203</v>
      </c>
      <c r="B509" s="60" t="s">
        <v>839</v>
      </c>
      <c r="C509" s="62" t="s">
        <v>769</v>
      </c>
      <c r="D509" s="62"/>
      <c r="E509" s="63">
        <v>2430000</v>
      </c>
      <c r="F509" s="63">
        <f t="shared" si="26"/>
        <v>194400</v>
      </c>
      <c r="G509" s="64">
        <f t="shared" si="27"/>
        <v>2624400</v>
      </c>
      <c r="H509" s="65">
        <v>2624400</v>
      </c>
      <c r="I509" s="65"/>
      <c r="J509" s="66">
        <f t="shared" si="29"/>
        <v>0</v>
      </c>
      <c r="K509" s="67">
        <v>45945</v>
      </c>
      <c r="L509" s="94"/>
    </row>
    <row r="510" spans="1:12" ht="15" customHeight="1" x14ac:dyDescent="0.3">
      <c r="A510" s="59" t="s">
        <v>253</v>
      </c>
      <c r="B510" s="60" t="s">
        <v>839</v>
      </c>
      <c r="C510" s="62" t="s">
        <v>770</v>
      </c>
      <c r="D510" s="62"/>
      <c r="E510" s="63">
        <v>810000</v>
      </c>
      <c r="F510" s="63">
        <f t="shared" si="26"/>
        <v>64800</v>
      </c>
      <c r="G510" s="64">
        <f t="shared" si="27"/>
        <v>874800</v>
      </c>
      <c r="H510" s="65">
        <v>874800</v>
      </c>
      <c r="I510" s="65"/>
      <c r="J510" s="66">
        <f t="shared" si="29"/>
        <v>0</v>
      </c>
      <c r="K510" s="67">
        <v>45945</v>
      </c>
      <c r="L510" s="94"/>
    </row>
    <row r="511" spans="1:12" ht="15" customHeight="1" x14ac:dyDescent="0.3">
      <c r="A511" s="59" t="s">
        <v>253</v>
      </c>
      <c r="B511" s="60" t="s">
        <v>839</v>
      </c>
      <c r="C511" s="62" t="s">
        <v>771</v>
      </c>
      <c r="D511" s="62"/>
      <c r="E511" s="63">
        <v>4600000</v>
      </c>
      <c r="F511" s="63">
        <f t="shared" si="26"/>
        <v>368000</v>
      </c>
      <c r="G511" s="64">
        <f t="shared" si="27"/>
        <v>4968000</v>
      </c>
      <c r="H511" s="65">
        <v>4968000</v>
      </c>
      <c r="I511" s="65"/>
      <c r="J511" s="66">
        <f t="shared" si="29"/>
        <v>0</v>
      </c>
      <c r="K511" s="67">
        <v>45945</v>
      </c>
      <c r="L511" s="94"/>
    </row>
    <row r="512" spans="1:12" ht="15" customHeight="1" x14ac:dyDescent="0.3">
      <c r="A512" s="59" t="s">
        <v>203</v>
      </c>
      <c r="B512" s="60" t="s">
        <v>840</v>
      </c>
      <c r="C512" s="62" t="s">
        <v>772</v>
      </c>
      <c r="D512" s="62"/>
      <c r="E512" s="63">
        <v>3045000</v>
      </c>
      <c r="F512" s="63">
        <f t="shared" si="26"/>
        <v>243600</v>
      </c>
      <c r="G512" s="64">
        <f t="shared" si="27"/>
        <v>3288600</v>
      </c>
      <c r="H512" s="65">
        <v>3288600</v>
      </c>
      <c r="I512" s="65"/>
      <c r="J512" s="66">
        <f t="shared" si="29"/>
        <v>0</v>
      </c>
      <c r="K512" s="67">
        <v>45945</v>
      </c>
      <c r="L512" s="94"/>
    </row>
    <row r="513" spans="1:12" ht="15" customHeight="1" x14ac:dyDescent="0.3">
      <c r="A513" s="59" t="s">
        <v>196</v>
      </c>
      <c r="B513" s="60" t="s">
        <v>840</v>
      </c>
      <c r="C513" s="62" t="s">
        <v>773</v>
      </c>
      <c r="D513" s="62"/>
      <c r="E513" s="63">
        <v>3045000</v>
      </c>
      <c r="F513" s="63">
        <f t="shared" si="26"/>
        <v>243600</v>
      </c>
      <c r="G513" s="64">
        <f t="shared" si="27"/>
        <v>3288600</v>
      </c>
      <c r="H513" s="65">
        <v>3288600</v>
      </c>
      <c r="I513" s="65"/>
      <c r="J513" s="66">
        <f t="shared" si="29"/>
        <v>0</v>
      </c>
      <c r="K513" s="67">
        <v>45945</v>
      </c>
      <c r="L513" s="94"/>
    </row>
    <row r="514" spans="1:12" ht="15" customHeight="1" x14ac:dyDescent="0.3">
      <c r="A514" s="59" t="s">
        <v>253</v>
      </c>
      <c r="B514" s="60" t="s">
        <v>841</v>
      </c>
      <c r="C514" s="62" t="s">
        <v>774</v>
      </c>
      <c r="D514" s="62"/>
      <c r="E514" s="63">
        <v>5885000</v>
      </c>
      <c r="F514" s="63">
        <f t="shared" si="26"/>
        <v>470800</v>
      </c>
      <c r="G514" s="64">
        <f t="shared" si="27"/>
        <v>6355800</v>
      </c>
      <c r="H514" s="65">
        <v>6355800</v>
      </c>
      <c r="I514" s="65"/>
      <c r="J514" s="66">
        <f t="shared" si="29"/>
        <v>0</v>
      </c>
      <c r="K514" s="67">
        <v>45945</v>
      </c>
      <c r="L514" s="94"/>
    </row>
    <row r="515" spans="1:12" ht="15" customHeight="1" x14ac:dyDescent="0.3">
      <c r="A515" s="59" t="s">
        <v>203</v>
      </c>
      <c r="B515" s="60" t="s">
        <v>841</v>
      </c>
      <c r="C515" s="62" t="s">
        <v>524</v>
      </c>
      <c r="D515" s="62"/>
      <c r="E515" s="63">
        <v>1620000</v>
      </c>
      <c r="F515" s="63">
        <f t="shared" si="26"/>
        <v>129600</v>
      </c>
      <c r="G515" s="64">
        <f t="shared" si="27"/>
        <v>1749600</v>
      </c>
      <c r="H515" s="65">
        <v>1749600</v>
      </c>
      <c r="I515" s="65"/>
      <c r="J515" s="66">
        <f t="shared" si="29"/>
        <v>0</v>
      </c>
      <c r="K515" s="67">
        <v>45945</v>
      </c>
      <c r="L515" s="94"/>
    </row>
    <row r="516" spans="1:12" ht="15" customHeight="1" x14ac:dyDescent="0.3">
      <c r="A516" s="59" t="s">
        <v>196</v>
      </c>
      <c r="B516" s="60" t="s">
        <v>841</v>
      </c>
      <c r="C516" s="62" t="s">
        <v>526</v>
      </c>
      <c r="D516" s="62"/>
      <c r="E516" s="63">
        <v>810000</v>
      </c>
      <c r="F516" s="63">
        <f t="shared" si="26"/>
        <v>64800</v>
      </c>
      <c r="G516" s="64">
        <f t="shared" si="27"/>
        <v>874800</v>
      </c>
      <c r="H516" s="65">
        <v>874800</v>
      </c>
      <c r="I516" s="65"/>
      <c r="J516" s="66">
        <f t="shared" si="29"/>
        <v>0</v>
      </c>
      <c r="K516" s="67">
        <v>45945</v>
      </c>
      <c r="L516" s="94"/>
    </row>
    <row r="517" spans="1:12" ht="15" customHeight="1" x14ac:dyDescent="0.3">
      <c r="A517" s="59" t="s">
        <v>196</v>
      </c>
      <c r="B517" s="60" t="s">
        <v>841</v>
      </c>
      <c r="C517" s="62" t="s">
        <v>775</v>
      </c>
      <c r="D517" s="62"/>
      <c r="E517" s="63">
        <v>1920000</v>
      </c>
      <c r="F517" s="63">
        <f t="shared" si="26"/>
        <v>153600</v>
      </c>
      <c r="G517" s="64">
        <f t="shared" si="27"/>
        <v>2073600</v>
      </c>
      <c r="H517" s="65">
        <v>2073600</v>
      </c>
      <c r="I517" s="65"/>
      <c r="J517" s="66">
        <f t="shared" si="29"/>
        <v>0</v>
      </c>
      <c r="K517" s="67">
        <v>45945</v>
      </c>
      <c r="L517" s="94"/>
    </row>
    <row r="518" spans="1:12" ht="15" customHeight="1" x14ac:dyDescent="0.3">
      <c r="A518" s="59" t="s">
        <v>253</v>
      </c>
      <c r="B518" s="60" t="s">
        <v>842</v>
      </c>
      <c r="C518" s="62" t="s">
        <v>776</v>
      </c>
      <c r="D518" s="62"/>
      <c r="E518" s="63">
        <v>4320000</v>
      </c>
      <c r="F518" s="63">
        <f t="shared" si="26"/>
        <v>345600</v>
      </c>
      <c r="G518" s="64">
        <f t="shared" si="27"/>
        <v>4665600</v>
      </c>
      <c r="H518" s="65">
        <v>4665600</v>
      </c>
      <c r="I518" s="65"/>
      <c r="J518" s="66">
        <f t="shared" si="29"/>
        <v>0</v>
      </c>
      <c r="K518" s="67">
        <v>45945</v>
      </c>
      <c r="L518" s="94"/>
    </row>
    <row r="519" spans="1:12" ht="15" customHeight="1" x14ac:dyDescent="0.3">
      <c r="A519" s="59" t="s">
        <v>253</v>
      </c>
      <c r="B519" s="60" t="s">
        <v>842</v>
      </c>
      <c r="C519" s="62" t="s">
        <v>777</v>
      </c>
      <c r="D519" s="62"/>
      <c r="E519" s="63">
        <v>1815000</v>
      </c>
      <c r="F519" s="63">
        <f t="shared" si="26"/>
        <v>145200</v>
      </c>
      <c r="G519" s="64">
        <f t="shared" si="27"/>
        <v>1960200</v>
      </c>
      <c r="H519" s="65">
        <v>1960200</v>
      </c>
      <c r="I519" s="65"/>
      <c r="J519" s="66">
        <f t="shared" si="29"/>
        <v>0</v>
      </c>
      <c r="K519" s="67">
        <v>45945</v>
      </c>
      <c r="L519" s="94"/>
    </row>
    <row r="520" spans="1:12" ht="15" customHeight="1" x14ac:dyDescent="0.3">
      <c r="A520" s="59" t="s">
        <v>196</v>
      </c>
      <c r="B520" s="60" t="s">
        <v>842</v>
      </c>
      <c r="C520" s="62" t="s">
        <v>778</v>
      </c>
      <c r="D520" s="62"/>
      <c r="E520" s="63">
        <v>3600000</v>
      </c>
      <c r="F520" s="63">
        <f t="shared" ref="F520:F583" si="30">+E520*0.08</f>
        <v>288000</v>
      </c>
      <c r="G520" s="64">
        <f t="shared" ref="G520:G583" si="31">E520+F520</f>
        <v>3888000</v>
      </c>
      <c r="H520" s="65">
        <v>3888000</v>
      </c>
      <c r="I520" s="65"/>
      <c r="J520" s="66">
        <f t="shared" si="29"/>
        <v>0</v>
      </c>
      <c r="K520" s="67">
        <v>45945</v>
      </c>
      <c r="L520" s="94"/>
    </row>
    <row r="521" spans="1:12" ht="15" customHeight="1" x14ac:dyDescent="0.3">
      <c r="A521" s="59" t="s">
        <v>203</v>
      </c>
      <c r="B521" s="60" t="s">
        <v>843</v>
      </c>
      <c r="C521" s="62" t="s">
        <v>779</v>
      </c>
      <c r="D521" s="62"/>
      <c r="E521" s="63">
        <v>4925000</v>
      </c>
      <c r="F521" s="63">
        <f t="shared" si="30"/>
        <v>394000</v>
      </c>
      <c r="G521" s="64">
        <f t="shared" si="31"/>
        <v>5319000</v>
      </c>
      <c r="H521" s="65">
        <v>5319000</v>
      </c>
      <c r="I521" s="65"/>
      <c r="J521" s="66">
        <f t="shared" si="29"/>
        <v>0</v>
      </c>
      <c r="K521" s="67">
        <v>45945</v>
      </c>
      <c r="L521" s="94"/>
    </row>
    <row r="522" spans="1:12" ht="15" customHeight="1" x14ac:dyDescent="0.3">
      <c r="A522" s="59" t="s">
        <v>196</v>
      </c>
      <c r="B522" s="60" t="s">
        <v>844</v>
      </c>
      <c r="C522" s="62" t="s">
        <v>780</v>
      </c>
      <c r="D522" s="62"/>
      <c r="E522" s="63">
        <v>2040000</v>
      </c>
      <c r="F522" s="63">
        <f t="shared" si="30"/>
        <v>163200</v>
      </c>
      <c r="G522" s="64">
        <f t="shared" si="31"/>
        <v>2203200</v>
      </c>
      <c r="H522" s="65">
        <v>2203200</v>
      </c>
      <c r="I522" s="65"/>
      <c r="J522" s="66">
        <f t="shared" si="29"/>
        <v>0</v>
      </c>
      <c r="K522" s="67">
        <v>45945</v>
      </c>
      <c r="L522" s="94"/>
    </row>
    <row r="523" spans="1:12" ht="15" customHeight="1" x14ac:dyDescent="0.3">
      <c r="A523" s="59" t="s">
        <v>203</v>
      </c>
      <c r="B523" s="60" t="s">
        <v>844</v>
      </c>
      <c r="C523" s="62" t="s">
        <v>781</v>
      </c>
      <c r="D523" s="62"/>
      <c r="E523" s="63">
        <v>810000</v>
      </c>
      <c r="F523" s="63">
        <f t="shared" si="30"/>
        <v>64800</v>
      </c>
      <c r="G523" s="64">
        <f t="shared" si="31"/>
        <v>874800</v>
      </c>
      <c r="H523" s="65">
        <v>874800</v>
      </c>
      <c r="I523" s="65"/>
      <c r="J523" s="66">
        <f t="shared" si="29"/>
        <v>0</v>
      </c>
      <c r="K523" s="67">
        <v>45945</v>
      </c>
      <c r="L523" s="94"/>
    </row>
    <row r="524" spans="1:12" ht="15" customHeight="1" x14ac:dyDescent="0.3">
      <c r="A524" s="59" t="s">
        <v>253</v>
      </c>
      <c r="B524" s="60" t="s">
        <v>845</v>
      </c>
      <c r="C524" s="62" t="s">
        <v>782</v>
      </c>
      <c r="D524" s="62"/>
      <c r="E524" s="63">
        <v>4495000</v>
      </c>
      <c r="F524" s="63">
        <f t="shared" si="30"/>
        <v>359600</v>
      </c>
      <c r="G524" s="64">
        <f t="shared" si="31"/>
        <v>4854600</v>
      </c>
      <c r="H524" s="65">
        <v>4854600</v>
      </c>
      <c r="I524" s="65"/>
      <c r="J524" s="66">
        <f t="shared" si="29"/>
        <v>0</v>
      </c>
      <c r="K524" s="67">
        <v>45945</v>
      </c>
      <c r="L524" s="94"/>
    </row>
    <row r="525" spans="1:12" ht="15" customHeight="1" x14ac:dyDescent="0.3">
      <c r="A525" s="59" t="s">
        <v>196</v>
      </c>
      <c r="B525" s="60" t="s">
        <v>845</v>
      </c>
      <c r="C525" s="62" t="s">
        <v>783</v>
      </c>
      <c r="D525" s="62"/>
      <c r="E525" s="63">
        <v>3045000</v>
      </c>
      <c r="F525" s="63">
        <f t="shared" si="30"/>
        <v>243600</v>
      </c>
      <c r="G525" s="64">
        <f t="shared" si="31"/>
        <v>3288600</v>
      </c>
      <c r="H525" s="65">
        <v>3288600</v>
      </c>
      <c r="I525" s="65"/>
      <c r="J525" s="66">
        <f t="shared" si="29"/>
        <v>0</v>
      </c>
      <c r="K525" s="67">
        <v>45945</v>
      </c>
      <c r="L525" s="94"/>
    </row>
    <row r="526" spans="1:12" ht="15" customHeight="1" x14ac:dyDescent="0.3">
      <c r="A526" s="59" t="s">
        <v>203</v>
      </c>
      <c r="B526" s="60" t="s">
        <v>845</v>
      </c>
      <c r="C526" s="62" t="s">
        <v>784</v>
      </c>
      <c r="D526" s="62"/>
      <c r="E526" s="63">
        <v>6315000</v>
      </c>
      <c r="F526" s="63">
        <f t="shared" si="30"/>
        <v>505200</v>
      </c>
      <c r="G526" s="64">
        <f t="shared" si="31"/>
        <v>6820200</v>
      </c>
      <c r="H526" s="65">
        <v>6820200</v>
      </c>
      <c r="I526" s="65"/>
      <c r="J526" s="66">
        <f t="shared" si="29"/>
        <v>0</v>
      </c>
      <c r="K526" s="67">
        <v>45945</v>
      </c>
      <c r="L526" s="94"/>
    </row>
    <row r="527" spans="1:12" ht="15" customHeight="1" x14ac:dyDescent="0.3">
      <c r="A527" s="59" t="s">
        <v>196</v>
      </c>
      <c r="B527" s="60" t="s">
        <v>846</v>
      </c>
      <c r="C527" s="62" t="s">
        <v>785</v>
      </c>
      <c r="D527" s="62"/>
      <c r="E527" s="63">
        <v>1005000</v>
      </c>
      <c r="F527" s="63">
        <f t="shared" si="30"/>
        <v>80400</v>
      </c>
      <c r="G527" s="64">
        <f t="shared" si="31"/>
        <v>1085400</v>
      </c>
      <c r="H527" s="65">
        <v>1085400</v>
      </c>
      <c r="I527" s="65"/>
      <c r="J527" s="66">
        <f t="shared" si="29"/>
        <v>0</v>
      </c>
      <c r="K527" s="67">
        <v>46203</v>
      </c>
      <c r="L527" s="94"/>
    </row>
    <row r="528" spans="1:12" ht="15" customHeight="1" x14ac:dyDescent="0.3">
      <c r="A528" s="59" t="s">
        <v>253</v>
      </c>
      <c r="B528" s="60" t="s">
        <v>847</v>
      </c>
      <c r="C528" s="62" t="s">
        <v>786</v>
      </c>
      <c r="D528" s="62"/>
      <c r="E528" s="63">
        <v>4450000</v>
      </c>
      <c r="F528" s="63">
        <f t="shared" si="30"/>
        <v>356000</v>
      </c>
      <c r="G528" s="64">
        <f t="shared" si="31"/>
        <v>4806000</v>
      </c>
      <c r="H528" s="65">
        <v>4806000</v>
      </c>
      <c r="I528" s="65"/>
      <c r="J528" s="66">
        <f t="shared" si="29"/>
        <v>0</v>
      </c>
      <c r="K528" s="67">
        <v>46203</v>
      </c>
      <c r="L528" s="94"/>
    </row>
    <row r="529" spans="1:13" ht="15" customHeight="1" x14ac:dyDescent="0.3">
      <c r="A529" s="59" t="s">
        <v>196</v>
      </c>
      <c r="B529" s="60" t="s">
        <v>848</v>
      </c>
      <c r="C529" s="62" t="s">
        <v>787</v>
      </c>
      <c r="D529" s="62"/>
      <c r="E529" s="63">
        <v>2040000</v>
      </c>
      <c r="F529" s="63">
        <f t="shared" si="30"/>
        <v>163200</v>
      </c>
      <c r="G529" s="64">
        <f t="shared" si="31"/>
        <v>2203200</v>
      </c>
      <c r="H529" s="65">
        <v>2203200</v>
      </c>
      <c r="I529" s="65"/>
      <c r="J529" s="66">
        <f t="shared" si="29"/>
        <v>0</v>
      </c>
      <c r="K529" s="67">
        <v>46203</v>
      </c>
      <c r="L529" s="94"/>
    </row>
    <row r="530" spans="1:13" ht="15" customHeight="1" x14ac:dyDescent="0.3">
      <c r="A530" s="59" t="s">
        <v>203</v>
      </c>
      <c r="B530" s="60" t="s">
        <v>848</v>
      </c>
      <c r="C530" s="62" t="s">
        <v>788</v>
      </c>
      <c r="D530" s="62"/>
      <c r="E530" s="63">
        <v>5880000</v>
      </c>
      <c r="F530" s="63">
        <f t="shared" si="30"/>
        <v>470400</v>
      </c>
      <c r="G530" s="64">
        <f t="shared" si="31"/>
        <v>6350400</v>
      </c>
      <c r="H530" s="65">
        <v>6350400</v>
      </c>
      <c r="I530" s="65"/>
      <c r="J530" s="66">
        <f t="shared" si="29"/>
        <v>0</v>
      </c>
      <c r="K530" s="67">
        <v>46203</v>
      </c>
      <c r="L530" s="94"/>
    </row>
    <row r="531" spans="1:13" ht="15" customHeight="1" x14ac:dyDescent="0.3">
      <c r="A531" s="59" t="s">
        <v>196</v>
      </c>
      <c r="B531" s="60" t="s">
        <v>849</v>
      </c>
      <c r="C531" s="62" t="s">
        <v>554</v>
      </c>
      <c r="D531" s="62"/>
      <c r="E531" s="63">
        <v>5810000</v>
      </c>
      <c r="F531" s="63">
        <f t="shared" si="30"/>
        <v>464800</v>
      </c>
      <c r="G531" s="64">
        <f t="shared" si="31"/>
        <v>6274800</v>
      </c>
      <c r="H531" s="65">
        <v>6274800</v>
      </c>
      <c r="I531" s="65"/>
      <c r="J531" s="66">
        <f t="shared" si="29"/>
        <v>0</v>
      </c>
      <c r="K531" s="67">
        <v>46203</v>
      </c>
      <c r="L531" s="94"/>
    </row>
    <row r="532" spans="1:13" ht="15" customHeight="1" x14ac:dyDescent="0.3">
      <c r="A532" s="59" t="s">
        <v>203</v>
      </c>
      <c r="B532" s="60" t="s">
        <v>849</v>
      </c>
      <c r="C532" s="62" t="s">
        <v>789</v>
      </c>
      <c r="D532" s="62"/>
      <c r="E532" s="63">
        <v>1850000</v>
      </c>
      <c r="F532" s="63">
        <f t="shared" si="30"/>
        <v>148000</v>
      </c>
      <c r="G532" s="64">
        <f t="shared" si="31"/>
        <v>1998000</v>
      </c>
      <c r="H532" s="65">
        <v>1998000</v>
      </c>
      <c r="I532" s="65"/>
      <c r="J532" s="66">
        <f t="shared" si="29"/>
        <v>0</v>
      </c>
      <c r="K532" s="67">
        <v>46203</v>
      </c>
      <c r="L532" s="94"/>
    </row>
    <row r="533" spans="1:13" ht="15" customHeight="1" x14ac:dyDescent="0.3">
      <c r="A533" s="59" t="s">
        <v>253</v>
      </c>
      <c r="B533" s="60" t="s">
        <v>849</v>
      </c>
      <c r="C533" s="62" t="s">
        <v>790</v>
      </c>
      <c r="D533" s="62"/>
      <c r="E533" s="63">
        <v>1815000</v>
      </c>
      <c r="F533" s="63">
        <f t="shared" si="30"/>
        <v>145200</v>
      </c>
      <c r="G533" s="64">
        <f t="shared" si="31"/>
        <v>1960200</v>
      </c>
      <c r="H533" s="65">
        <v>1960200</v>
      </c>
      <c r="I533" s="65"/>
      <c r="J533" s="66">
        <f t="shared" si="29"/>
        <v>0</v>
      </c>
      <c r="K533" s="67">
        <v>46203</v>
      </c>
      <c r="L533" s="94"/>
    </row>
    <row r="534" spans="1:13" ht="15" customHeight="1" x14ac:dyDescent="0.3">
      <c r="A534" s="59" t="s">
        <v>253</v>
      </c>
      <c r="B534" s="60" t="s">
        <v>850</v>
      </c>
      <c r="C534" s="62" t="s">
        <v>791</v>
      </c>
      <c r="D534" s="62"/>
      <c r="E534" s="63">
        <v>-1344000</v>
      </c>
      <c r="F534" s="63">
        <f t="shared" si="30"/>
        <v>-107520</v>
      </c>
      <c r="G534" s="64">
        <f t="shared" si="31"/>
        <v>-1451520</v>
      </c>
      <c r="H534" s="65">
        <v>-1451520</v>
      </c>
      <c r="I534" s="65"/>
      <c r="J534" s="66">
        <f t="shared" si="29"/>
        <v>0</v>
      </c>
      <c r="K534" s="67">
        <v>45945</v>
      </c>
      <c r="L534" s="94"/>
    </row>
    <row r="535" spans="1:13" ht="15" customHeight="1" x14ac:dyDescent="0.3">
      <c r="A535" s="59" t="s">
        <v>196</v>
      </c>
      <c r="B535" s="60" t="s">
        <v>851</v>
      </c>
      <c r="C535" s="62" t="s">
        <v>792</v>
      </c>
      <c r="D535" s="62"/>
      <c r="E535" s="63">
        <v>3520000</v>
      </c>
      <c r="F535" s="63">
        <f t="shared" si="30"/>
        <v>281600</v>
      </c>
      <c r="G535" s="64">
        <f t="shared" si="31"/>
        <v>3801600</v>
      </c>
      <c r="H535" s="65">
        <v>3801600</v>
      </c>
      <c r="I535" s="65"/>
      <c r="J535" s="66">
        <f t="shared" si="29"/>
        <v>0</v>
      </c>
      <c r="K535" s="67">
        <v>46203</v>
      </c>
      <c r="L535" s="94"/>
    </row>
    <row r="536" spans="1:13" ht="15" customHeight="1" x14ac:dyDescent="0.3">
      <c r="A536" s="59" t="s">
        <v>253</v>
      </c>
      <c r="B536" s="60" t="s">
        <v>851</v>
      </c>
      <c r="C536" s="62" t="s">
        <v>793</v>
      </c>
      <c r="D536" s="62"/>
      <c r="E536" s="63">
        <v>2455000</v>
      </c>
      <c r="F536" s="63">
        <f t="shared" si="30"/>
        <v>196400</v>
      </c>
      <c r="G536" s="64">
        <f t="shared" si="31"/>
        <v>2651400</v>
      </c>
      <c r="H536" s="65">
        <v>2651400</v>
      </c>
      <c r="I536" s="65"/>
      <c r="J536" s="66">
        <f t="shared" si="29"/>
        <v>0</v>
      </c>
      <c r="K536" s="67">
        <v>46203</v>
      </c>
      <c r="L536" s="94"/>
    </row>
    <row r="537" spans="1:13" ht="15" customHeight="1" x14ac:dyDescent="0.3">
      <c r="A537" s="59" t="s">
        <v>203</v>
      </c>
      <c r="B537" s="60" t="s">
        <v>852</v>
      </c>
      <c r="C537" s="62" t="s">
        <v>794</v>
      </c>
      <c r="D537" s="62"/>
      <c r="E537" s="63">
        <v>4395000</v>
      </c>
      <c r="F537" s="63">
        <f t="shared" si="30"/>
        <v>351600</v>
      </c>
      <c r="G537" s="64">
        <f t="shared" si="31"/>
        <v>4746600</v>
      </c>
      <c r="H537" s="65">
        <v>4746600</v>
      </c>
      <c r="I537" s="65"/>
      <c r="J537" s="66">
        <f t="shared" si="29"/>
        <v>0</v>
      </c>
      <c r="K537" s="67">
        <v>46203</v>
      </c>
      <c r="L537" s="94"/>
    </row>
    <row r="538" spans="1:13" ht="15" customHeight="1" x14ac:dyDescent="0.3">
      <c r="A538" s="59" t="s">
        <v>253</v>
      </c>
      <c r="B538" s="60" t="s">
        <v>852</v>
      </c>
      <c r="C538" s="62" t="s">
        <v>795</v>
      </c>
      <c r="D538" s="62"/>
      <c r="E538" s="63">
        <v>3810000</v>
      </c>
      <c r="F538" s="63">
        <f t="shared" si="30"/>
        <v>304800</v>
      </c>
      <c r="G538" s="64">
        <f t="shared" si="31"/>
        <v>4114800</v>
      </c>
      <c r="H538" s="65">
        <v>4114800</v>
      </c>
      <c r="I538" s="65"/>
      <c r="J538" s="66">
        <f t="shared" si="29"/>
        <v>0</v>
      </c>
      <c r="K538" s="67">
        <v>46203</v>
      </c>
      <c r="L538" s="94"/>
    </row>
    <row r="539" spans="1:13" ht="15" customHeight="1" x14ac:dyDescent="0.3">
      <c r="A539" s="59" t="s">
        <v>196</v>
      </c>
      <c r="B539" s="60" t="s">
        <v>852</v>
      </c>
      <c r="C539" s="62" t="s">
        <v>796</v>
      </c>
      <c r="D539" s="62"/>
      <c r="E539" s="63">
        <v>1920000</v>
      </c>
      <c r="F539" s="63">
        <f t="shared" si="30"/>
        <v>153600</v>
      </c>
      <c r="G539" s="64">
        <f t="shared" si="31"/>
        <v>2073600</v>
      </c>
      <c r="H539" s="65">
        <v>2073600</v>
      </c>
      <c r="I539" s="65"/>
      <c r="J539" s="66">
        <f t="shared" si="29"/>
        <v>0</v>
      </c>
      <c r="K539" s="67">
        <v>46203</v>
      </c>
      <c r="L539" s="94"/>
    </row>
    <row r="540" spans="1:13" ht="15" customHeight="1" x14ac:dyDescent="0.3">
      <c r="A540" s="59" t="s">
        <v>196</v>
      </c>
      <c r="B540" s="60" t="s">
        <v>853</v>
      </c>
      <c r="C540" s="62" t="s">
        <v>797</v>
      </c>
      <c r="D540" s="62"/>
      <c r="E540" s="63">
        <v>2730000</v>
      </c>
      <c r="F540" s="63">
        <f t="shared" si="30"/>
        <v>218400</v>
      </c>
      <c r="G540" s="64">
        <f t="shared" si="31"/>
        <v>2948400</v>
      </c>
      <c r="H540" s="65">
        <v>2948400</v>
      </c>
      <c r="I540" s="65"/>
      <c r="J540" s="66">
        <f t="shared" si="29"/>
        <v>0</v>
      </c>
      <c r="K540" s="67">
        <v>46203</v>
      </c>
      <c r="L540" s="94"/>
    </row>
    <row r="541" spans="1:13" ht="15" customHeight="1" x14ac:dyDescent="0.3">
      <c r="A541" s="59" t="s">
        <v>196</v>
      </c>
      <c r="B541" s="60" t="s">
        <v>854</v>
      </c>
      <c r="C541" s="62" t="s">
        <v>578</v>
      </c>
      <c r="D541" s="62"/>
      <c r="E541" s="63">
        <v>1645000</v>
      </c>
      <c r="F541" s="63">
        <f t="shared" si="30"/>
        <v>131600</v>
      </c>
      <c r="G541" s="64">
        <f t="shared" si="31"/>
        <v>1776600</v>
      </c>
      <c r="H541" s="65">
        <v>1776600</v>
      </c>
      <c r="I541" s="65"/>
      <c r="J541" s="66">
        <f t="shared" si="29"/>
        <v>0</v>
      </c>
      <c r="K541" s="67">
        <v>46203</v>
      </c>
      <c r="L541" s="94"/>
    </row>
    <row r="542" spans="1:13" ht="15" customHeight="1" x14ac:dyDescent="0.3">
      <c r="A542" s="59" t="s">
        <v>203</v>
      </c>
      <c r="B542" s="60">
        <v>45970</v>
      </c>
      <c r="C542" s="62" t="s">
        <v>798</v>
      </c>
      <c r="D542" s="62" t="s">
        <v>876</v>
      </c>
      <c r="E542" s="63">
        <v>1040000</v>
      </c>
      <c r="F542" s="63">
        <f t="shared" si="30"/>
        <v>83200</v>
      </c>
      <c r="G542" s="64">
        <f t="shared" si="31"/>
        <v>1123200</v>
      </c>
      <c r="H542" s="65">
        <v>1123200</v>
      </c>
      <c r="I542" s="65"/>
      <c r="J542" s="66">
        <f t="shared" si="29"/>
        <v>0</v>
      </c>
      <c r="K542" s="67">
        <v>46203</v>
      </c>
      <c r="L542" s="94"/>
    </row>
    <row r="543" spans="1:13" ht="15" customHeight="1" x14ac:dyDescent="0.3">
      <c r="A543" s="59" t="s">
        <v>196</v>
      </c>
      <c r="B543" s="60" t="s">
        <v>855</v>
      </c>
      <c r="C543" s="62" t="s">
        <v>799</v>
      </c>
      <c r="D543" s="62"/>
      <c r="E543" s="63">
        <v>-1822500</v>
      </c>
      <c r="F543" s="63">
        <f t="shared" si="30"/>
        <v>-145800</v>
      </c>
      <c r="G543" s="64">
        <f t="shared" si="31"/>
        <v>-1968300</v>
      </c>
      <c r="H543" s="65">
        <v>-1968300</v>
      </c>
      <c r="I543" s="65"/>
      <c r="J543" s="66">
        <f t="shared" si="29"/>
        <v>0</v>
      </c>
      <c r="K543" s="67">
        <v>46203</v>
      </c>
      <c r="L543" s="94"/>
      <c r="M543" s="2" t="s">
        <v>1129</v>
      </c>
    </row>
    <row r="544" spans="1:13" ht="15" customHeight="1" x14ac:dyDescent="0.3">
      <c r="A544" s="59" t="s">
        <v>253</v>
      </c>
      <c r="B544" s="60" t="s">
        <v>855</v>
      </c>
      <c r="C544" s="62" t="s">
        <v>800</v>
      </c>
      <c r="D544" s="62"/>
      <c r="E544" s="63">
        <v>-5400000</v>
      </c>
      <c r="F544" s="63">
        <f t="shared" si="30"/>
        <v>-432000</v>
      </c>
      <c r="G544" s="64">
        <f t="shared" si="31"/>
        <v>-5832000</v>
      </c>
      <c r="H544" s="65">
        <v>-5832000</v>
      </c>
      <c r="I544" s="65"/>
      <c r="J544" s="66">
        <f t="shared" si="29"/>
        <v>0</v>
      </c>
      <c r="K544" s="67">
        <v>46203</v>
      </c>
      <c r="L544" s="94"/>
      <c r="M544" s="2" t="s">
        <v>1130</v>
      </c>
    </row>
    <row r="545" spans="1:13" ht="15" customHeight="1" x14ac:dyDescent="0.3">
      <c r="A545" s="59" t="s">
        <v>253</v>
      </c>
      <c r="B545" s="60" t="s">
        <v>855</v>
      </c>
      <c r="C545" s="62" t="s">
        <v>801</v>
      </c>
      <c r="D545" s="62"/>
      <c r="E545" s="63">
        <v>-2092500</v>
      </c>
      <c r="F545" s="63">
        <f t="shared" si="30"/>
        <v>-167400</v>
      </c>
      <c r="G545" s="64">
        <f t="shared" si="31"/>
        <v>-2259900</v>
      </c>
      <c r="H545" s="65">
        <v>-2259900</v>
      </c>
      <c r="I545" s="65"/>
      <c r="J545" s="66">
        <f t="shared" si="29"/>
        <v>0</v>
      </c>
      <c r="K545" s="67">
        <v>46203</v>
      </c>
      <c r="L545" s="94"/>
      <c r="M545" s="2" t="s">
        <v>1130</v>
      </c>
    </row>
    <row r="546" spans="1:13" ht="15" customHeight="1" x14ac:dyDescent="0.3">
      <c r="A546" s="59" t="s">
        <v>203</v>
      </c>
      <c r="B546" s="60" t="s">
        <v>856</v>
      </c>
      <c r="C546" s="61" t="s">
        <v>802</v>
      </c>
      <c r="D546" s="62"/>
      <c r="E546" s="63">
        <v>8655000</v>
      </c>
      <c r="F546" s="63">
        <f t="shared" si="30"/>
        <v>692400</v>
      </c>
      <c r="G546" s="64">
        <f t="shared" si="31"/>
        <v>9347400</v>
      </c>
      <c r="H546" s="65">
        <v>9347400</v>
      </c>
      <c r="I546" s="65"/>
      <c r="J546" s="66">
        <f t="shared" si="29"/>
        <v>0</v>
      </c>
      <c r="K546" s="67">
        <v>46203</v>
      </c>
      <c r="L546" s="94"/>
    </row>
    <row r="547" spans="1:13" ht="15" customHeight="1" x14ac:dyDescent="0.3">
      <c r="A547" s="59" t="s">
        <v>253</v>
      </c>
      <c r="B547" s="60" t="s">
        <v>856</v>
      </c>
      <c r="C547" s="61" t="s">
        <v>803</v>
      </c>
      <c r="D547" s="62"/>
      <c r="E547" s="63">
        <v>3685000</v>
      </c>
      <c r="F547" s="63">
        <f t="shared" si="30"/>
        <v>294800</v>
      </c>
      <c r="G547" s="64">
        <f t="shared" si="31"/>
        <v>3979800</v>
      </c>
      <c r="H547" s="65">
        <v>3979800</v>
      </c>
      <c r="I547" s="65"/>
      <c r="J547" s="66">
        <f t="shared" si="29"/>
        <v>0</v>
      </c>
      <c r="K547" s="67">
        <v>46203</v>
      </c>
      <c r="L547" s="94"/>
    </row>
    <row r="548" spans="1:13" ht="15" customHeight="1" x14ac:dyDescent="0.3">
      <c r="A548" s="59" t="s">
        <v>196</v>
      </c>
      <c r="B548" s="60" t="s">
        <v>856</v>
      </c>
      <c r="C548" s="61" t="s">
        <v>804</v>
      </c>
      <c r="D548" s="62"/>
      <c r="E548" s="63">
        <v>2850000</v>
      </c>
      <c r="F548" s="63">
        <f t="shared" si="30"/>
        <v>228000</v>
      </c>
      <c r="G548" s="64">
        <f t="shared" si="31"/>
        <v>3078000</v>
      </c>
      <c r="H548" s="65">
        <v>3078000</v>
      </c>
      <c r="I548" s="65"/>
      <c r="J548" s="66">
        <f t="shared" si="29"/>
        <v>0</v>
      </c>
      <c r="K548" s="67">
        <v>46203</v>
      </c>
      <c r="L548" s="94"/>
    </row>
    <row r="549" spans="1:13" ht="15" customHeight="1" x14ac:dyDescent="0.3">
      <c r="A549" s="59" t="s">
        <v>253</v>
      </c>
      <c r="B549" s="60" t="s">
        <v>857</v>
      </c>
      <c r="C549" s="61" t="s">
        <v>805</v>
      </c>
      <c r="D549" s="62"/>
      <c r="E549" s="63">
        <v>5605000</v>
      </c>
      <c r="F549" s="63">
        <f t="shared" si="30"/>
        <v>448400</v>
      </c>
      <c r="G549" s="64">
        <f t="shared" si="31"/>
        <v>6053400</v>
      </c>
      <c r="H549" s="65">
        <v>6053400</v>
      </c>
      <c r="I549" s="65"/>
      <c r="J549" s="66">
        <f t="shared" si="29"/>
        <v>0</v>
      </c>
      <c r="K549" s="67">
        <v>46203</v>
      </c>
      <c r="L549" s="94"/>
    </row>
    <row r="550" spans="1:13" ht="15" customHeight="1" x14ac:dyDescent="0.3">
      <c r="A550" s="59" t="s">
        <v>196</v>
      </c>
      <c r="B550" s="60" t="s">
        <v>858</v>
      </c>
      <c r="C550" s="61" t="s">
        <v>806</v>
      </c>
      <c r="D550" s="62"/>
      <c r="E550" s="63">
        <v>810000</v>
      </c>
      <c r="F550" s="63">
        <f t="shared" si="30"/>
        <v>64800</v>
      </c>
      <c r="G550" s="64">
        <f t="shared" si="31"/>
        <v>874800</v>
      </c>
      <c r="H550" s="65">
        <v>874800</v>
      </c>
      <c r="I550" s="65"/>
      <c r="J550" s="66">
        <f t="shared" si="29"/>
        <v>0</v>
      </c>
      <c r="K550" s="67">
        <v>46203</v>
      </c>
      <c r="L550" s="94"/>
    </row>
    <row r="551" spans="1:13" ht="15" customHeight="1" x14ac:dyDescent="0.3">
      <c r="A551" s="59" t="s">
        <v>253</v>
      </c>
      <c r="B551" s="60" t="s">
        <v>864</v>
      </c>
      <c r="C551" s="61" t="s">
        <v>859</v>
      </c>
      <c r="D551" s="62"/>
      <c r="E551" s="63">
        <v>5460000</v>
      </c>
      <c r="F551" s="63">
        <f t="shared" si="30"/>
        <v>436800</v>
      </c>
      <c r="G551" s="64">
        <f t="shared" si="31"/>
        <v>5896800</v>
      </c>
      <c r="H551" s="65">
        <v>5896800</v>
      </c>
      <c r="I551" s="65"/>
      <c r="J551" s="66">
        <f t="shared" si="29"/>
        <v>0</v>
      </c>
      <c r="K551" s="67">
        <v>46203</v>
      </c>
      <c r="L551" s="94"/>
    </row>
    <row r="552" spans="1:13" ht="15" customHeight="1" x14ac:dyDescent="0.3">
      <c r="A552" s="59" t="s">
        <v>203</v>
      </c>
      <c r="B552" s="60" t="s">
        <v>864</v>
      </c>
      <c r="C552" s="61" t="s">
        <v>860</v>
      </c>
      <c r="D552" s="62"/>
      <c r="E552" s="63">
        <v>3240000</v>
      </c>
      <c r="F552" s="63">
        <f t="shared" si="30"/>
        <v>259200</v>
      </c>
      <c r="G552" s="64">
        <f t="shared" si="31"/>
        <v>3499200</v>
      </c>
      <c r="H552" s="65">
        <v>3499200</v>
      </c>
      <c r="I552" s="65"/>
      <c r="J552" s="66">
        <f t="shared" si="29"/>
        <v>0</v>
      </c>
      <c r="K552" s="67">
        <v>46203</v>
      </c>
      <c r="L552" s="94"/>
    </row>
    <row r="553" spans="1:13" ht="15" customHeight="1" x14ac:dyDescent="0.3">
      <c r="A553" s="59" t="s">
        <v>203</v>
      </c>
      <c r="B553" s="60" t="s">
        <v>865</v>
      </c>
      <c r="C553" s="61" t="s">
        <v>861</v>
      </c>
      <c r="D553" s="62"/>
      <c r="E553" s="63">
        <v>4050000</v>
      </c>
      <c r="F553" s="63">
        <f t="shared" si="30"/>
        <v>324000</v>
      </c>
      <c r="G553" s="64">
        <f t="shared" si="31"/>
        <v>4374000</v>
      </c>
      <c r="H553" s="65">
        <v>4374000</v>
      </c>
      <c r="I553" s="65"/>
      <c r="J553" s="66">
        <f t="shared" si="29"/>
        <v>0</v>
      </c>
      <c r="K553" s="67">
        <v>46203</v>
      </c>
      <c r="L553" s="94"/>
    </row>
    <row r="554" spans="1:13" ht="15" customHeight="1" x14ac:dyDescent="0.3">
      <c r="A554" s="59" t="s">
        <v>196</v>
      </c>
      <c r="B554" s="60" t="s">
        <v>866</v>
      </c>
      <c r="C554" s="61" t="s">
        <v>862</v>
      </c>
      <c r="D554" s="62"/>
      <c r="E554" s="63">
        <v>9867000</v>
      </c>
      <c r="F554" s="63">
        <f t="shared" si="30"/>
        <v>789360</v>
      </c>
      <c r="G554" s="64">
        <f t="shared" si="31"/>
        <v>10656360</v>
      </c>
      <c r="H554" s="65">
        <v>10656360</v>
      </c>
      <c r="I554" s="65"/>
      <c r="J554" s="66">
        <f t="shared" si="29"/>
        <v>0</v>
      </c>
      <c r="K554" s="67">
        <v>46203</v>
      </c>
      <c r="L554" s="94"/>
    </row>
    <row r="555" spans="1:13" ht="15" customHeight="1" x14ac:dyDescent="0.3">
      <c r="A555" s="59" t="s">
        <v>203</v>
      </c>
      <c r="B555" s="60" t="s">
        <v>866</v>
      </c>
      <c r="C555" s="62" t="s">
        <v>863</v>
      </c>
      <c r="D555" s="62"/>
      <c r="E555" s="63">
        <v>4438500</v>
      </c>
      <c r="F555" s="63">
        <f t="shared" si="30"/>
        <v>355080</v>
      </c>
      <c r="G555" s="64">
        <f t="shared" si="31"/>
        <v>4793580</v>
      </c>
      <c r="H555" s="65">
        <v>4793580</v>
      </c>
      <c r="I555" s="65"/>
      <c r="J555" s="66">
        <f t="shared" si="29"/>
        <v>0</v>
      </c>
      <c r="K555" s="67">
        <v>46203</v>
      </c>
      <c r="L555" s="94"/>
    </row>
    <row r="556" spans="1:13" ht="15" customHeight="1" x14ac:dyDescent="0.3">
      <c r="A556" s="59" t="s">
        <v>253</v>
      </c>
      <c r="B556" s="60" t="s">
        <v>893</v>
      </c>
      <c r="C556" s="61" t="s">
        <v>877</v>
      </c>
      <c r="D556" s="62"/>
      <c r="E556" s="63">
        <v>6885000</v>
      </c>
      <c r="F556" s="63">
        <f t="shared" si="30"/>
        <v>550800</v>
      </c>
      <c r="G556" s="64">
        <f t="shared" si="31"/>
        <v>7435800</v>
      </c>
      <c r="H556" s="65">
        <v>7435800</v>
      </c>
      <c r="I556" s="65"/>
      <c r="J556" s="66">
        <f t="shared" si="29"/>
        <v>0</v>
      </c>
      <c r="K556" s="67">
        <v>46203</v>
      </c>
      <c r="L556" s="94"/>
    </row>
    <row r="557" spans="1:13" ht="15" customHeight="1" x14ac:dyDescent="0.3">
      <c r="A557" s="59" t="s">
        <v>196</v>
      </c>
      <c r="B557" s="60" t="s">
        <v>893</v>
      </c>
      <c r="C557" s="61" t="s">
        <v>878</v>
      </c>
      <c r="D557" s="62"/>
      <c r="E557" s="63">
        <v>13081500</v>
      </c>
      <c r="F557" s="63">
        <f t="shared" si="30"/>
        <v>1046520</v>
      </c>
      <c r="G557" s="64">
        <f t="shared" si="31"/>
        <v>14128020</v>
      </c>
      <c r="H557" s="65">
        <v>14128020</v>
      </c>
      <c r="I557" s="65"/>
      <c r="J557" s="66">
        <f t="shared" si="29"/>
        <v>0</v>
      </c>
      <c r="K557" s="67">
        <v>46203</v>
      </c>
      <c r="L557" s="94"/>
    </row>
    <row r="558" spans="1:13" ht="15" customHeight="1" x14ac:dyDescent="0.3">
      <c r="A558" s="59" t="s">
        <v>196</v>
      </c>
      <c r="B558" s="60" t="s">
        <v>894</v>
      </c>
      <c r="C558" s="61" t="s">
        <v>879</v>
      </c>
      <c r="D558" s="62"/>
      <c r="E558" s="63">
        <v>18631500</v>
      </c>
      <c r="F558" s="63">
        <f t="shared" si="30"/>
        <v>1490520</v>
      </c>
      <c r="G558" s="64">
        <f t="shared" si="31"/>
        <v>20122020</v>
      </c>
      <c r="H558" s="65">
        <v>20122020</v>
      </c>
      <c r="I558" s="65"/>
      <c r="J558" s="66">
        <f t="shared" si="29"/>
        <v>0</v>
      </c>
      <c r="K558" s="67">
        <v>46203</v>
      </c>
      <c r="L558" s="94"/>
    </row>
    <row r="559" spans="1:13" ht="15" customHeight="1" x14ac:dyDescent="0.3">
      <c r="A559" s="59" t="s">
        <v>203</v>
      </c>
      <c r="B559" s="60" t="s">
        <v>894</v>
      </c>
      <c r="C559" s="61" t="s">
        <v>880</v>
      </c>
      <c r="D559" s="62"/>
      <c r="E559" s="63">
        <v>7804500</v>
      </c>
      <c r="F559" s="63">
        <f t="shared" si="30"/>
        <v>624360</v>
      </c>
      <c r="G559" s="64">
        <f t="shared" si="31"/>
        <v>8428860</v>
      </c>
      <c r="H559" s="65">
        <v>8428860</v>
      </c>
      <c r="I559" s="65"/>
      <c r="J559" s="66">
        <f t="shared" si="29"/>
        <v>0</v>
      </c>
      <c r="K559" s="67">
        <v>46203</v>
      </c>
      <c r="L559" s="94"/>
    </row>
    <row r="560" spans="1:13" ht="15" customHeight="1" x14ac:dyDescent="0.3">
      <c r="A560" s="59" t="s">
        <v>253</v>
      </c>
      <c r="B560" s="60" t="s">
        <v>894</v>
      </c>
      <c r="C560" s="61" t="s">
        <v>881</v>
      </c>
      <c r="D560" s="62"/>
      <c r="E560" s="63">
        <v>4378500</v>
      </c>
      <c r="F560" s="63">
        <f t="shared" si="30"/>
        <v>350280</v>
      </c>
      <c r="G560" s="64">
        <f t="shared" si="31"/>
        <v>4728780</v>
      </c>
      <c r="H560" s="65">
        <v>4728780</v>
      </c>
      <c r="I560" s="65"/>
      <c r="J560" s="66">
        <f t="shared" si="29"/>
        <v>0</v>
      </c>
      <c r="K560" s="67">
        <v>46203</v>
      </c>
      <c r="L560" s="94"/>
    </row>
    <row r="561" spans="1:12" ht="15" customHeight="1" x14ac:dyDescent="0.3">
      <c r="A561" s="59" t="s">
        <v>203</v>
      </c>
      <c r="B561" s="60" t="s">
        <v>895</v>
      </c>
      <c r="C561" s="61" t="s">
        <v>882</v>
      </c>
      <c r="D561" s="62"/>
      <c r="E561" s="63">
        <v>10174500</v>
      </c>
      <c r="F561" s="63">
        <f t="shared" si="30"/>
        <v>813960</v>
      </c>
      <c r="G561" s="64">
        <f t="shared" si="31"/>
        <v>10988460</v>
      </c>
      <c r="H561" s="65">
        <v>10988460</v>
      </c>
      <c r="I561" s="65"/>
      <c r="J561" s="66">
        <f t="shared" ref="J561:J627" si="32">G561-H561</f>
        <v>0</v>
      </c>
      <c r="K561" s="67">
        <v>46203</v>
      </c>
      <c r="L561" s="94"/>
    </row>
    <row r="562" spans="1:12" ht="15" customHeight="1" x14ac:dyDescent="0.3">
      <c r="A562" s="59" t="s">
        <v>196</v>
      </c>
      <c r="B562" s="60" t="s">
        <v>895</v>
      </c>
      <c r="C562" s="61" t="s">
        <v>883</v>
      </c>
      <c r="D562" s="62"/>
      <c r="E562" s="63">
        <v>10327500</v>
      </c>
      <c r="F562" s="63">
        <f t="shared" si="30"/>
        <v>826200</v>
      </c>
      <c r="G562" s="64">
        <f t="shared" si="31"/>
        <v>11153700</v>
      </c>
      <c r="H562" s="65">
        <v>11153700</v>
      </c>
      <c r="I562" s="65"/>
      <c r="J562" s="66">
        <f t="shared" si="32"/>
        <v>0</v>
      </c>
      <c r="K562" s="67">
        <v>46203</v>
      </c>
      <c r="L562" s="94"/>
    </row>
    <row r="563" spans="1:12" ht="15" customHeight="1" x14ac:dyDescent="0.3">
      <c r="A563" s="59" t="s">
        <v>253</v>
      </c>
      <c r="B563" s="60" t="s">
        <v>895</v>
      </c>
      <c r="C563" s="61" t="s">
        <v>884</v>
      </c>
      <c r="D563" s="62"/>
      <c r="E563" s="63">
        <v>9118500</v>
      </c>
      <c r="F563" s="63">
        <f t="shared" si="30"/>
        <v>729480</v>
      </c>
      <c r="G563" s="64">
        <f t="shared" si="31"/>
        <v>9847980</v>
      </c>
      <c r="H563" s="65">
        <v>9847980</v>
      </c>
      <c r="I563" s="65"/>
      <c r="J563" s="66">
        <f t="shared" si="32"/>
        <v>0</v>
      </c>
      <c r="K563" s="67">
        <v>46203</v>
      </c>
      <c r="L563" s="94"/>
    </row>
    <row r="564" spans="1:12" ht="15" customHeight="1" x14ac:dyDescent="0.3">
      <c r="A564" s="59" t="s">
        <v>253</v>
      </c>
      <c r="B564" s="60" t="s">
        <v>896</v>
      </c>
      <c r="C564" s="61" t="s">
        <v>885</v>
      </c>
      <c r="D564" s="62"/>
      <c r="E564" s="63">
        <v>6547500</v>
      </c>
      <c r="F564" s="63">
        <f t="shared" si="30"/>
        <v>523800</v>
      </c>
      <c r="G564" s="64">
        <f t="shared" si="31"/>
        <v>7071300</v>
      </c>
      <c r="H564" s="65">
        <v>7071300</v>
      </c>
      <c r="I564" s="65"/>
      <c r="J564" s="66">
        <f t="shared" si="32"/>
        <v>0</v>
      </c>
      <c r="K564" s="67">
        <v>46203</v>
      </c>
      <c r="L564" s="94"/>
    </row>
    <row r="565" spans="1:12" ht="15" customHeight="1" x14ac:dyDescent="0.3">
      <c r="A565" s="59" t="s">
        <v>196</v>
      </c>
      <c r="B565" s="60" t="s">
        <v>896</v>
      </c>
      <c r="C565" s="61" t="s">
        <v>886</v>
      </c>
      <c r="D565" s="62"/>
      <c r="E565" s="63">
        <v>15100500</v>
      </c>
      <c r="F565" s="63">
        <f t="shared" si="30"/>
        <v>1208040</v>
      </c>
      <c r="G565" s="64">
        <f t="shared" si="31"/>
        <v>16308540</v>
      </c>
      <c r="H565" s="65">
        <v>16308540</v>
      </c>
      <c r="I565" s="65"/>
      <c r="J565" s="66">
        <f t="shared" si="32"/>
        <v>0</v>
      </c>
      <c r="K565" s="67">
        <v>46203</v>
      </c>
      <c r="L565" s="94"/>
    </row>
    <row r="566" spans="1:12" ht="15" customHeight="1" x14ac:dyDescent="0.3">
      <c r="A566" s="59" t="s">
        <v>203</v>
      </c>
      <c r="B566" s="60" t="s">
        <v>896</v>
      </c>
      <c r="C566" s="61" t="s">
        <v>887</v>
      </c>
      <c r="D566" s="62"/>
      <c r="E566" s="63">
        <v>10132500</v>
      </c>
      <c r="F566" s="63">
        <f t="shared" si="30"/>
        <v>810600</v>
      </c>
      <c r="G566" s="64">
        <f t="shared" si="31"/>
        <v>10943100</v>
      </c>
      <c r="H566" s="65">
        <v>10943100</v>
      </c>
      <c r="I566" s="65"/>
      <c r="J566" s="66">
        <f t="shared" si="32"/>
        <v>0</v>
      </c>
      <c r="K566" s="67">
        <v>46203</v>
      </c>
      <c r="L566" s="94"/>
    </row>
    <row r="567" spans="1:12" ht="15" customHeight="1" x14ac:dyDescent="0.3">
      <c r="A567" s="59" t="s">
        <v>203</v>
      </c>
      <c r="B567" s="60" t="s">
        <v>897</v>
      </c>
      <c r="C567" s="61" t="s">
        <v>888</v>
      </c>
      <c r="D567" s="62"/>
      <c r="E567" s="63">
        <v>2241000</v>
      </c>
      <c r="F567" s="63">
        <f t="shared" si="30"/>
        <v>179280</v>
      </c>
      <c r="G567" s="64">
        <f t="shared" si="31"/>
        <v>2420280</v>
      </c>
      <c r="H567" s="65">
        <v>2420280</v>
      </c>
      <c r="I567" s="65"/>
      <c r="J567" s="66">
        <f t="shared" si="32"/>
        <v>0</v>
      </c>
      <c r="K567" s="67">
        <v>46203</v>
      </c>
      <c r="L567" s="94"/>
    </row>
    <row r="568" spans="1:12" ht="15" customHeight="1" x14ac:dyDescent="0.3">
      <c r="A568" s="59" t="s">
        <v>253</v>
      </c>
      <c r="B568" s="60" t="s">
        <v>897</v>
      </c>
      <c r="C568" s="61" t="s">
        <v>889</v>
      </c>
      <c r="D568" s="62"/>
      <c r="E568" s="63">
        <v>5431500</v>
      </c>
      <c r="F568" s="63">
        <f t="shared" si="30"/>
        <v>434520</v>
      </c>
      <c r="G568" s="64">
        <f t="shared" si="31"/>
        <v>5866020</v>
      </c>
      <c r="H568" s="65">
        <v>5866020</v>
      </c>
      <c r="I568" s="65"/>
      <c r="J568" s="66">
        <f t="shared" si="32"/>
        <v>0</v>
      </c>
      <c r="K568" s="67">
        <v>46203</v>
      </c>
      <c r="L568" s="94"/>
    </row>
    <row r="569" spans="1:12" ht="15" customHeight="1" x14ac:dyDescent="0.3">
      <c r="A569" s="59" t="s">
        <v>203</v>
      </c>
      <c r="B569" s="60" t="s">
        <v>898</v>
      </c>
      <c r="C569" s="61" t="s">
        <v>890</v>
      </c>
      <c r="D569" s="62"/>
      <c r="E569" s="63">
        <v>5466000</v>
      </c>
      <c r="F569" s="63">
        <f t="shared" si="30"/>
        <v>437280</v>
      </c>
      <c r="G569" s="64">
        <f t="shared" si="31"/>
        <v>5903280</v>
      </c>
      <c r="H569" s="65">
        <v>5903280</v>
      </c>
      <c r="I569" s="65"/>
      <c r="J569" s="66">
        <f t="shared" si="32"/>
        <v>0</v>
      </c>
      <c r="K569" s="67">
        <v>46203</v>
      </c>
      <c r="L569" s="94"/>
    </row>
    <row r="570" spans="1:12" ht="15" customHeight="1" x14ac:dyDescent="0.3">
      <c r="A570" s="59" t="s">
        <v>196</v>
      </c>
      <c r="B570" s="60" t="s">
        <v>898</v>
      </c>
      <c r="C570" s="61" t="s">
        <v>891</v>
      </c>
      <c r="D570" s="62"/>
      <c r="E570" s="63">
        <v>5178000</v>
      </c>
      <c r="F570" s="63">
        <f t="shared" si="30"/>
        <v>414240</v>
      </c>
      <c r="G570" s="64">
        <f t="shared" si="31"/>
        <v>5592240</v>
      </c>
      <c r="H570" s="65">
        <v>5592240</v>
      </c>
      <c r="I570" s="65"/>
      <c r="J570" s="66">
        <f t="shared" si="32"/>
        <v>0</v>
      </c>
      <c r="K570" s="67">
        <v>46203</v>
      </c>
      <c r="L570" s="94"/>
    </row>
    <row r="571" spans="1:12" ht="15" customHeight="1" x14ac:dyDescent="0.3">
      <c r="A571" s="59" t="s">
        <v>253</v>
      </c>
      <c r="B571" s="60" t="s">
        <v>898</v>
      </c>
      <c r="C571" s="61" t="s">
        <v>892</v>
      </c>
      <c r="D571" s="62"/>
      <c r="E571" s="63">
        <v>3618000</v>
      </c>
      <c r="F571" s="63">
        <f t="shared" si="30"/>
        <v>289440</v>
      </c>
      <c r="G571" s="64">
        <f t="shared" si="31"/>
        <v>3907440</v>
      </c>
      <c r="H571" s="65">
        <v>3907440</v>
      </c>
      <c r="I571" s="65"/>
      <c r="J571" s="66">
        <f t="shared" si="32"/>
        <v>0</v>
      </c>
      <c r="K571" s="67">
        <v>46203</v>
      </c>
      <c r="L571" s="94"/>
    </row>
    <row r="572" spans="1:12" ht="15" customHeight="1" x14ac:dyDescent="0.3">
      <c r="A572" s="59" t="s">
        <v>253</v>
      </c>
      <c r="B572" s="60" t="s">
        <v>905</v>
      </c>
      <c r="C572" s="61" t="s">
        <v>899</v>
      </c>
      <c r="D572" s="62"/>
      <c r="E572" s="63">
        <v>810000</v>
      </c>
      <c r="F572" s="63">
        <f t="shared" si="30"/>
        <v>64800</v>
      </c>
      <c r="G572" s="64">
        <f t="shared" si="31"/>
        <v>874800</v>
      </c>
      <c r="H572" s="65">
        <v>874800</v>
      </c>
      <c r="I572" s="65"/>
      <c r="J572" s="66">
        <f t="shared" si="32"/>
        <v>0</v>
      </c>
      <c r="K572" s="67">
        <v>46203</v>
      </c>
      <c r="L572" s="94"/>
    </row>
    <row r="573" spans="1:12" ht="15" customHeight="1" x14ac:dyDescent="0.3">
      <c r="A573" s="59" t="s">
        <v>203</v>
      </c>
      <c r="B573" s="60" t="s">
        <v>905</v>
      </c>
      <c r="C573" s="61" t="s">
        <v>900</v>
      </c>
      <c r="D573" s="62"/>
      <c r="E573" s="63">
        <v>810000</v>
      </c>
      <c r="F573" s="63">
        <f t="shared" si="30"/>
        <v>64800</v>
      </c>
      <c r="G573" s="64">
        <f t="shared" si="31"/>
        <v>874800</v>
      </c>
      <c r="H573" s="65">
        <v>874800</v>
      </c>
      <c r="I573" s="65"/>
      <c r="J573" s="66">
        <f t="shared" si="32"/>
        <v>0</v>
      </c>
      <c r="K573" s="67">
        <v>46203</v>
      </c>
      <c r="L573" s="94"/>
    </row>
    <row r="574" spans="1:12" ht="15" customHeight="1" x14ac:dyDescent="0.3">
      <c r="A574" s="59" t="s">
        <v>203</v>
      </c>
      <c r="B574" s="60" t="s">
        <v>906</v>
      </c>
      <c r="C574" s="61" t="s">
        <v>901</v>
      </c>
      <c r="D574" s="62"/>
      <c r="E574" s="63">
        <v>1620000</v>
      </c>
      <c r="F574" s="63">
        <f t="shared" si="30"/>
        <v>129600</v>
      </c>
      <c r="G574" s="64">
        <f t="shared" si="31"/>
        <v>1749600</v>
      </c>
      <c r="H574" s="65">
        <v>1749600</v>
      </c>
      <c r="I574" s="65"/>
      <c r="J574" s="66">
        <f t="shared" si="32"/>
        <v>0</v>
      </c>
      <c r="K574" s="67">
        <v>46203</v>
      </c>
      <c r="L574" s="94"/>
    </row>
    <row r="575" spans="1:12" ht="15" customHeight="1" x14ac:dyDescent="0.3">
      <c r="A575" s="59" t="s">
        <v>253</v>
      </c>
      <c r="B575" s="60" t="s">
        <v>906</v>
      </c>
      <c r="C575" s="61" t="s">
        <v>902</v>
      </c>
      <c r="D575" s="62"/>
      <c r="E575" s="63">
        <v>640000</v>
      </c>
      <c r="F575" s="63">
        <f t="shared" si="30"/>
        <v>51200</v>
      </c>
      <c r="G575" s="64">
        <f t="shared" si="31"/>
        <v>691200</v>
      </c>
      <c r="H575" s="65">
        <v>691200</v>
      </c>
      <c r="I575" s="65"/>
      <c r="J575" s="66">
        <f t="shared" si="32"/>
        <v>0</v>
      </c>
      <c r="K575" s="67">
        <v>46203</v>
      </c>
      <c r="L575" s="94"/>
    </row>
    <row r="576" spans="1:12" ht="15" customHeight="1" x14ac:dyDescent="0.3">
      <c r="A576" s="59" t="s">
        <v>196</v>
      </c>
      <c r="B576" s="60" t="s">
        <v>906</v>
      </c>
      <c r="C576" s="61" t="s">
        <v>903</v>
      </c>
      <c r="D576" s="62"/>
      <c r="E576" s="63">
        <v>640000</v>
      </c>
      <c r="F576" s="63">
        <f t="shared" si="30"/>
        <v>51200</v>
      </c>
      <c r="G576" s="64">
        <f t="shared" si="31"/>
        <v>691200</v>
      </c>
      <c r="H576" s="65">
        <v>691200</v>
      </c>
      <c r="I576" s="65"/>
      <c r="J576" s="66">
        <f t="shared" si="32"/>
        <v>0</v>
      </c>
      <c r="K576" s="67">
        <v>46203</v>
      </c>
      <c r="L576" s="94"/>
    </row>
    <row r="577" spans="1:12" ht="15" customHeight="1" x14ac:dyDescent="0.3">
      <c r="A577" s="59" t="s">
        <v>203</v>
      </c>
      <c r="B577" s="60" t="s">
        <v>907</v>
      </c>
      <c r="C577" s="61" t="s">
        <v>904</v>
      </c>
      <c r="D577" s="62"/>
      <c r="E577" s="63">
        <v>1620000</v>
      </c>
      <c r="F577" s="63">
        <f t="shared" si="30"/>
        <v>129600</v>
      </c>
      <c r="G577" s="64">
        <f t="shared" si="31"/>
        <v>1749600</v>
      </c>
      <c r="H577" s="65">
        <v>1749600</v>
      </c>
      <c r="I577" s="65"/>
      <c r="J577" s="66">
        <f t="shared" si="32"/>
        <v>0</v>
      </c>
      <c r="K577" s="67">
        <v>46203</v>
      </c>
      <c r="L577" s="94"/>
    </row>
    <row r="578" spans="1:12" ht="15" customHeight="1" x14ac:dyDescent="0.3">
      <c r="A578" s="59" t="s">
        <v>253</v>
      </c>
      <c r="B578" s="60" t="s">
        <v>927</v>
      </c>
      <c r="C578" s="61">
        <v>7210</v>
      </c>
      <c r="D578" s="62"/>
      <c r="E578" s="63">
        <v>4545000</v>
      </c>
      <c r="F578" s="63">
        <f t="shared" si="30"/>
        <v>363600</v>
      </c>
      <c r="G578" s="64">
        <f t="shared" si="31"/>
        <v>4908600</v>
      </c>
      <c r="H578" s="65">
        <v>4908600</v>
      </c>
      <c r="I578" s="65"/>
      <c r="J578" s="66">
        <f t="shared" si="32"/>
        <v>0</v>
      </c>
      <c r="K578" s="67">
        <v>46203</v>
      </c>
      <c r="L578" s="94"/>
    </row>
    <row r="579" spans="1:12" ht="15" customHeight="1" x14ac:dyDescent="0.3">
      <c r="A579" s="59" t="s">
        <v>203</v>
      </c>
      <c r="B579" s="60" t="s">
        <v>927</v>
      </c>
      <c r="C579" s="61" t="s">
        <v>908</v>
      </c>
      <c r="D579" s="62"/>
      <c r="E579" s="63">
        <v>2855000</v>
      </c>
      <c r="F579" s="63">
        <f t="shared" si="30"/>
        <v>228400</v>
      </c>
      <c r="G579" s="64">
        <f t="shared" si="31"/>
        <v>3083400</v>
      </c>
      <c r="H579" s="65">
        <v>3083400</v>
      </c>
      <c r="I579" s="65"/>
      <c r="J579" s="66">
        <f t="shared" si="32"/>
        <v>0</v>
      </c>
      <c r="K579" s="67">
        <v>46203</v>
      </c>
      <c r="L579" s="94"/>
    </row>
    <row r="580" spans="1:12" ht="15" customHeight="1" x14ac:dyDescent="0.3">
      <c r="A580" s="59" t="s">
        <v>203</v>
      </c>
      <c r="B580" s="60" t="s">
        <v>928</v>
      </c>
      <c r="C580" s="61" t="s">
        <v>909</v>
      </c>
      <c r="D580" s="62"/>
      <c r="E580" s="63">
        <v>2045000</v>
      </c>
      <c r="F580" s="63">
        <f t="shared" si="30"/>
        <v>163600</v>
      </c>
      <c r="G580" s="64">
        <f t="shared" si="31"/>
        <v>2208600</v>
      </c>
      <c r="H580" s="65">
        <v>2208600</v>
      </c>
      <c r="I580" s="65"/>
      <c r="J580" s="66">
        <f t="shared" si="32"/>
        <v>0</v>
      </c>
      <c r="K580" s="67">
        <v>46203</v>
      </c>
      <c r="L580" s="94"/>
    </row>
    <row r="581" spans="1:12" ht="15" customHeight="1" x14ac:dyDescent="0.3">
      <c r="A581" s="59" t="s">
        <v>196</v>
      </c>
      <c r="B581" s="60" t="s">
        <v>928</v>
      </c>
      <c r="C581" s="61" t="s">
        <v>910</v>
      </c>
      <c r="D581" s="62"/>
      <c r="E581" s="63">
        <v>3720000</v>
      </c>
      <c r="F581" s="63">
        <f t="shared" si="30"/>
        <v>297600</v>
      </c>
      <c r="G581" s="64">
        <f t="shared" si="31"/>
        <v>4017600</v>
      </c>
      <c r="H581" s="65">
        <v>4017600</v>
      </c>
      <c r="I581" s="65"/>
      <c r="J581" s="66">
        <f t="shared" si="32"/>
        <v>0</v>
      </c>
      <c r="K581" s="67">
        <v>46203</v>
      </c>
      <c r="L581" s="94"/>
    </row>
    <row r="582" spans="1:12" ht="15" customHeight="1" x14ac:dyDescent="0.3">
      <c r="A582" s="59" t="s">
        <v>196</v>
      </c>
      <c r="B582" s="60">
        <v>46051</v>
      </c>
      <c r="C582" s="62" t="s">
        <v>911</v>
      </c>
      <c r="D582" s="62" t="s">
        <v>1028</v>
      </c>
      <c r="E582" s="63">
        <v>0</v>
      </c>
      <c r="F582" s="63">
        <f t="shared" si="30"/>
        <v>0</v>
      </c>
      <c r="G582" s="64">
        <f t="shared" si="31"/>
        <v>0</v>
      </c>
      <c r="H582" s="65"/>
      <c r="I582" s="65"/>
      <c r="J582" s="66">
        <f t="shared" si="32"/>
        <v>0</v>
      </c>
      <c r="K582" s="67" t="s">
        <v>256</v>
      </c>
      <c r="L582" s="94"/>
    </row>
    <row r="583" spans="1:12" ht="15" customHeight="1" x14ac:dyDescent="0.3">
      <c r="A583" s="59" t="s">
        <v>203</v>
      </c>
      <c r="B583" s="60" t="s">
        <v>929</v>
      </c>
      <c r="C583" s="61" t="s">
        <v>912</v>
      </c>
      <c r="D583" s="62"/>
      <c r="E583" s="63">
        <v>3000000</v>
      </c>
      <c r="F583" s="63">
        <f t="shared" si="30"/>
        <v>240000</v>
      </c>
      <c r="G583" s="64">
        <f t="shared" si="31"/>
        <v>3240000</v>
      </c>
      <c r="H583" s="65">
        <v>3240000</v>
      </c>
      <c r="I583" s="65"/>
      <c r="J583" s="66">
        <f t="shared" si="32"/>
        <v>0</v>
      </c>
      <c r="K583" s="67">
        <v>46203</v>
      </c>
      <c r="L583" s="94"/>
    </row>
    <row r="584" spans="1:12" ht="15" customHeight="1" x14ac:dyDescent="0.3">
      <c r="A584" s="59" t="s">
        <v>196</v>
      </c>
      <c r="B584" s="60">
        <v>46031</v>
      </c>
      <c r="C584" s="62" t="s">
        <v>913</v>
      </c>
      <c r="D584" s="61" t="s">
        <v>956</v>
      </c>
      <c r="E584" s="63">
        <v>9106700</v>
      </c>
      <c r="F584" s="63">
        <f t="shared" ref="F584:F650" si="33">+E584*0.08</f>
        <v>728536</v>
      </c>
      <c r="G584" s="64">
        <f t="shared" ref="G584:G650" si="34">E584+F584</f>
        <v>9835236</v>
      </c>
      <c r="H584" s="65">
        <v>9835236</v>
      </c>
      <c r="I584" s="65"/>
      <c r="J584" s="66">
        <f t="shared" si="32"/>
        <v>0</v>
      </c>
      <c r="K584" s="67">
        <v>46203</v>
      </c>
      <c r="L584" s="94"/>
    </row>
    <row r="585" spans="1:12" ht="15" customHeight="1" x14ac:dyDescent="0.3">
      <c r="A585" s="59" t="s">
        <v>203</v>
      </c>
      <c r="B585" s="60">
        <v>46031</v>
      </c>
      <c r="C585" s="62" t="s">
        <v>914</v>
      </c>
      <c r="D585" s="61" t="s">
        <v>953</v>
      </c>
      <c r="E585" s="63">
        <v>9106700</v>
      </c>
      <c r="F585" s="63">
        <f t="shared" si="33"/>
        <v>728536</v>
      </c>
      <c r="G585" s="64">
        <f t="shared" si="34"/>
        <v>9835236</v>
      </c>
      <c r="H585" s="65">
        <v>9835236</v>
      </c>
      <c r="I585" s="65"/>
      <c r="J585" s="66">
        <f t="shared" si="32"/>
        <v>0</v>
      </c>
      <c r="K585" s="67">
        <v>46203</v>
      </c>
      <c r="L585" s="94"/>
    </row>
    <row r="586" spans="1:12" ht="15" customHeight="1" x14ac:dyDescent="0.3">
      <c r="A586" s="59" t="s">
        <v>253</v>
      </c>
      <c r="B586" s="60">
        <v>46034</v>
      </c>
      <c r="C586" s="62" t="s">
        <v>915</v>
      </c>
      <c r="D586" s="61" t="s">
        <v>962</v>
      </c>
      <c r="E586" s="63">
        <v>7852700</v>
      </c>
      <c r="F586" s="63">
        <f t="shared" si="33"/>
        <v>628216</v>
      </c>
      <c r="G586" s="64">
        <f t="shared" si="34"/>
        <v>8480916</v>
      </c>
      <c r="H586" s="65">
        <v>8480916</v>
      </c>
      <c r="I586" s="65"/>
      <c r="J586" s="66">
        <f t="shared" si="32"/>
        <v>0</v>
      </c>
      <c r="K586" s="67">
        <v>46203</v>
      </c>
      <c r="L586" s="94"/>
    </row>
    <row r="587" spans="1:12" ht="15" customHeight="1" x14ac:dyDescent="0.3">
      <c r="A587" s="59" t="s">
        <v>196</v>
      </c>
      <c r="B587" s="60">
        <v>46031</v>
      </c>
      <c r="C587" s="62" t="s">
        <v>916</v>
      </c>
      <c r="D587" s="61" t="s">
        <v>957</v>
      </c>
      <c r="E587" s="63">
        <v>9930000</v>
      </c>
      <c r="F587" s="63">
        <f t="shared" si="33"/>
        <v>794400</v>
      </c>
      <c r="G587" s="64">
        <f t="shared" si="34"/>
        <v>10724400</v>
      </c>
      <c r="H587" s="65">
        <v>10724400</v>
      </c>
      <c r="I587" s="65"/>
      <c r="J587" s="66">
        <f t="shared" si="32"/>
        <v>0</v>
      </c>
      <c r="K587" s="67">
        <v>46203</v>
      </c>
      <c r="L587" s="94"/>
    </row>
    <row r="588" spans="1:12" ht="15" customHeight="1" x14ac:dyDescent="0.3">
      <c r="A588" s="59" t="s">
        <v>203</v>
      </c>
      <c r="B588" s="60">
        <v>46031</v>
      </c>
      <c r="C588" s="62" t="s">
        <v>917</v>
      </c>
      <c r="D588" s="61" t="s">
        <v>954</v>
      </c>
      <c r="E588" s="63">
        <v>2430000</v>
      </c>
      <c r="F588" s="63">
        <f t="shared" si="33"/>
        <v>194400</v>
      </c>
      <c r="G588" s="64">
        <f t="shared" si="34"/>
        <v>2624400</v>
      </c>
      <c r="H588" s="65">
        <v>2624400</v>
      </c>
      <c r="I588" s="65"/>
      <c r="J588" s="66">
        <f t="shared" si="32"/>
        <v>0</v>
      </c>
      <c r="K588" s="67">
        <v>46203</v>
      </c>
      <c r="L588" s="94"/>
    </row>
    <row r="589" spans="1:12" ht="15" customHeight="1" x14ac:dyDescent="0.3">
      <c r="A589" s="59" t="s">
        <v>253</v>
      </c>
      <c r="B589" s="60">
        <v>46031</v>
      </c>
      <c r="C589" s="62" t="s">
        <v>918</v>
      </c>
      <c r="D589" s="61" t="s">
        <v>955</v>
      </c>
      <c r="E589" s="63">
        <v>640000</v>
      </c>
      <c r="F589" s="63">
        <f t="shared" si="33"/>
        <v>51200</v>
      </c>
      <c r="G589" s="64">
        <f t="shared" si="34"/>
        <v>691200</v>
      </c>
      <c r="H589" s="65">
        <v>691200</v>
      </c>
      <c r="I589" s="65"/>
      <c r="J589" s="66">
        <f t="shared" si="32"/>
        <v>0</v>
      </c>
      <c r="K589" s="67">
        <v>46203</v>
      </c>
      <c r="L589" s="94"/>
    </row>
    <row r="590" spans="1:12" ht="15" customHeight="1" x14ac:dyDescent="0.3">
      <c r="A590" s="59" t="s">
        <v>253</v>
      </c>
      <c r="B590" s="60" t="s">
        <v>930</v>
      </c>
      <c r="C590" s="61" t="s">
        <v>919</v>
      </c>
      <c r="D590" s="62"/>
      <c r="E590" s="63">
        <v>42734600</v>
      </c>
      <c r="F590" s="63">
        <f t="shared" si="33"/>
        <v>3418768</v>
      </c>
      <c r="G590" s="64">
        <f t="shared" si="34"/>
        <v>46153368</v>
      </c>
      <c r="H590" s="65">
        <v>46153368</v>
      </c>
      <c r="I590" s="65"/>
      <c r="J590" s="66">
        <f t="shared" si="32"/>
        <v>0</v>
      </c>
      <c r="K590" s="67">
        <v>46203</v>
      </c>
      <c r="L590" s="94"/>
    </row>
    <row r="591" spans="1:12" ht="15" customHeight="1" x14ac:dyDescent="0.3">
      <c r="A591" s="59" t="s">
        <v>203</v>
      </c>
      <c r="B591" s="60" t="s">
        <v>930</v>
      </c>
      <c r="C591" s="61" t="s">
        <v>920</v>
      </c>
      <c r="D591" s="62"/>
      <c r="E591" s="63">
        <v>42734600</v>
      </c>
      <c r="F591" s="63">
        <f t="shared" si="33"/>
        <v>3418768</v>
      </c>
      <c r="G591" s="64">
        <f t="shared" si="34"/>
        <v>46153368</v>
      </c>
      <c r="H591" s="65">
        <v>46153368</v>
      </c>
      <c r="I591" s="65"/>
      <c r="J591" s="66">
        <f t="shared" si="32"/>
        <v>0</v>
      </c>
      <c r="K591" s="67">
        <v>46203</v>
      </c>
      <c r="L591" s="94"/>
    </row>
    <row r="592" spans="1:12" ht="15" customHeight="1" x14ac:dyDescent="0.3">
      <c r="A592" s="59" t="s">
        <v>203</v>
      </c>
      <c r="B592" s="60">
        <v>46027</v>
      </c>
      <c r="C592" s="62" t="s">
        <v>921</v>
      </c>
      <c r="D592" s="61" t="s">
        <v>952</v>
      </c>
      <c r="E592" s="63">
        <v>9106700</v>
      </c>
      <c r="F592" s="63">
        <f t="shared" si="33"/>
        <v>728536</v>
      </c>
      <c r="G592" s="64">
        <f t="shared" si="34"/>
        <v>9835236</v>
      </c>
      <c r="H592" s="65">
        <v>9835236</v>
      </c>
      <c r="I592" s="65"/>
      <c r="J592" s="66">
        <f t="shared" si="32"/>
        <v>0</v>
      </c>
      <c r="K592" s="67">
        <v>46203</v>
      </c>
      <c r="L592" s="94"/>
    </row>
    <row r="593" spans="1:12" ht="15" customHeight="1" x14ac:dyDescent="0.3">
      <c r="A593" s="59" t="s">
        <v>253</v>
      </c>
      <c r="B593" s="60">
        <v>46034</v>
      </c>
      <c r="C593" s="62" t="s">
        <v>922</v>
      </c>
      <c r="D593" s="61" t="s">
        <v>963</v>
      </c>
      <c r="E593" s="63">
        <v>9106700</v>
      </c>
      <c r="F593" s="63">
        <f t="shared" si="33"/>
        <v>728536</v>
      </c>
      <c r="G593" s="64">
        <f t="shared" si="34"/>
        <v>9835236</v>
      </c>
      <c r="H593" s="65">
        <v>9835236</v>
      </c>
      <c r="I593" s="65"/>
      <c r="J593" s="66">
        <f t="shared" si="32"/>
        <v>0</v>
      </c>
      <c r="K593" s="67">
        <v>46203</v>
      </c>
      <c r="L593" s="94"/>
    </row>
    <row r="594" spans="1:12" ht="15" customHeight="1" x14ac:dyDescent="0.3">
      <c r="A594" s="59" t="s">
        <v>196</v>
      </c>
      <c r="B594" s="60">
        <v>46034</v>
      </c>
      <c r="C594" s="62" t="s">
        <v>923</v>
      </c>
      <c r="D594" s="61" t="s">
        <v>959</v>
      </c>
      <c r="E594" s="63">
        <v>15386200</v>
      </c>
      <c r="F594" s="63">
        <f t="shared" si="33"/>
        <v>1230896</v>
      </c>
      <c r="G594" s="64">
        <f t="shared" si="34"/>
        <v>16617096</v>
      </c>
      <c r="H594" s="65">
        <v>16617096</v>
      </c>
      <c r="I594" s="65"/>
      <c r="J594" s="66">
        <f t="shared" si="32"/>
        <v>0</v>
      </c>
      <c r="K594" s="67">
        <v>46203</v>
      </c>
      <c r="L594" s="94"/>
    </row>
    <row r="595" spans="1:12" ht="15" customHeight="1" x14ac:dyDescent="0.3">
      <c r="A595" s="59" t="s">
        <v>196</v>
      </c>
      <c r="B595" s="60" t="s">
        <v>931</v>
      </c>
      <c r="C595" s="61" t="s">
        <v>924</v>
      </c>
      <c r="D595" s="62"/>
      <c r="E595" s="63">
        <v>42734600</v>
      </c>
      <c r="F595" s="63">
        <f t="shared" si="33"/>
        <v>3418768</v>
      </c>
      <c r="G595" s="64">
        <f t="shared" si="34"/>
        <v>46153368</v>
      </c>
      <c r="H595" s="65">
        <v>46153368</v>
      </c>
      <c r="I595" s="65"/>
      <c r="J595" s="66">
        <f t="shared" si="32"/>
        <v>0</v>
      </c>
      <c r="K595" s="67">
        <v>46203</v>
      </c>
      <c r="L595" s="94"/>
    </row>
    <row r="596" spans="1:12" ht="15" customHeight="1" x14ac:dyDescent="0.3">
      <c r="A596" s="59" t="s">
        <v>203</v>
      </c>
      <c r="B596" s="60">
        <v>46034</v>
      </c>
      <c r="C596" s="62" t="s">
        <v>925</v>
      </c>
      <c r="D596" s="61" t="s">
        <v>960</v>
      </c>
      <c r="E596" s="63">
        <v>5280000</v>
      </c>
      <c r="F596" s="63">
        <f t="shared" si="33"/>
        <v>422400</v>
      </c>
      <c r="G596" s="64">
        <f t="shared" si="34"/>
        <v>5702400</v>
      </c>
      <c r="H596" s="65">
        <v>5702400</v>
      </c>
      <c r="I596" s="65"/>
      <c r="J596" s="66">
        <f t="shared" si="32"/>
        <v>0</v>
      </c>
      <c r="K596" s="67">
        <v>46203</v>
      </c>
      <c r="L596" s="94"/>
    </row>
    <row r="597" spans="1:12" ht="15" customHeight="1" x14ac:dyDescent="0.3">
      <c r="A597" s="59" t="s">
        <v>196</v>
      </c>
      <c r="B597" s="60">
        <v>46032</v>
      </c>
      <c r="C597" s="62" t="s">
        <v>926</v>
      </c>
      <c r="D597" s="61" t="s">
        <v>958</v>
      </c>
      <c r="E597" s="63">
        <v>5760000</v>
      </c>
      <c r="F597" s="63">
        <f t="shared" si="33"/>
        <v>460800</v>
      </c>
      <c r="G597" s="64">
        <f t="shared" si="34"/>
        <v>6220800</v>
      </c>
      <c r="H597" s="65">
        <v>6220800</v>
      </c>
      <c r="I597" s="65"/>
      <c r="J597" s="66">
        <f t="shared" si="32"/>
        <v>0</v>
      </c>
      <c r="K597" s="67">
        <v>46203</v>
      </c>
      <c r="L597" s="94"/>
    </row>
    <row r="598" spans="1:12" ht="15" customHeight="1" x14ac:dyDescent="0.3">
      <c r="A598" s="59" t="s">
        <v>196</v>
      </c>
      <c r="B598" s="60" t="s">
        <v>948</v>
      </c>
      <c r="C598" s="61" t="s">
        <v>932</v>
      </c>
      <c r="D598" s="62"/>
      <c r="E598" s="63">
        <v>3140000</v>
      </c>
      <c r="F598" s="63">
        <f t="shared" si="33"/>
        <v>251200</v>
      </c>
      <c r="G598" s="64">
        <f t="shared" si="34"/>
        <v>3391200</v>
      </c>
      <c r="H598" s="65">
        <v>3391200</v>
      </c>
      <c r="I598" s="65"/>
      <c r="J598" s="66">
        <f t="shared" si="32"/>
        <v>0</v>
      </c>
      <c r="K598" s="67">
        <v>46203</v>
      </c>
      <c r="L598" s="94"/>
    </row>
    <row r="599" spans="1:12" ht="15" customHeight="1" x14ac:dyDescent="0.3">
      <c r="A599" s="59" t="s">
        <v>203</v>
      </c>
      <c r="B599" s="60" t="s">
        <v>948</v>
      </c>
      <c r="C599" s="61" t="s">
        <v>933</v>
      </c>
      <c r="D599" s="62"/>
      <c r="E599" s="63">
        <v>4920000</v>
      </c>
      <c r="F599" s="63">
        <f t="shared" si="33"/>
        <v>393600</v>
      </c>
      <c r="G599" s="64">
        <f t="shared" si="34"/>
        <v>5313600</v>
      </c>
      <c r="H599" s="65">
        <v>5313600</v>
      </c>
      <c r="I599" s="65"/>
      <c r="J599" s="66">
        <f t="shared" si="32"/>
        <v>0</v>
      </c>
      <c r="K599" s="67">
        <v>46203</v>
      </c>
      <c r="L599" s="94"/>
    </row>
    <row r="600" spans="1:12" ht="15" customHeight="1" x14ac:dyDescent="0.3">
      <c r="A600" s="59" t="s">
        <v>253</v>
      </c>
      <c r="B600" s="60">
        <v>46034</v>
      </c>
      <c r="C600" s="62" t="s">
        <v>934</v>
      </c>
      <c r="D600" s="61" t="s">
        <v>961</v>
      </c>
      <c r="E600" s="63">
        <v>14155000</v>
      </c>
      <c r="F600" s="63">
        <f t="shared" si="33"/>
        <v>1132400</v>
      </c>
      <c r="G600" s="64">
        <f t="shared" si="34"/>
        <v>15287400</v>
      </c>
      <c r="H600" s="65">
        <v>15287400</v>
      </c>
      <c r="I600" s="65"/>
      <c r="J600" s="66">
        <f t="shared" si="32"/>
        <v>0</v>
      </c>
      <c r="K600" s="67">
        <v>46203</v>
      </c>
      <c r="L600" s="94"/>
    </row>
    <row r="601" spans="1:12" ht="15" customHeight="1" x14ac:dyDescent="0.3">
      <c r="A601" s="59" t="s">
        <v>196</v>
      </c>
      <c r="B601" s="60">
        <v>46051</v>
      </c>
      <c r="C601" s="62" t="s">
        <v>935</v>
      </c>
      <c r="D601" s="62" t="s">
        <v>1031</v>
      </c>
      <c r="E601" s="63">
        <v>0</v>
      </c>
      <c r="F601" s="63">
        <f t="shared" si="33"/>
        <v>0</v>
      </c>
      <c r="G601" s="64">
        <f t="shared" si="34"/>
        <v>0</v>
      </c>
      <c r="H601" s="65"/>
      <c r="I601" s="65"/>
      <c r="J601" s="66">
        <f t="shared" si="32"/>
        <v>0</v>
      </c>
      <c r="K601" s="67"/>
      <c r="L601" s="94">
        <v>4501667729</v>
      </c>
    </row>
    <row r="602" spans="1:12" ht="15" customHeight="1" x14ac:dyDescent="0.3">
      <c r="A602" s="59" t="s">
        <v>253</v>
      </c>
      <c r="B602" s="60">
        <v>46044</v>
      </c>
      <c r="C602" s="62" t="s">
        <v>936</v>
      </c>
      <c r="D602" s="62" t="s">
        <v>1027</v>
      </c>
      <c r="E602" s="63">
        <v>0</v>
      </c>
      <c r="F602" s="63">
        <f t="shared" si="33"/>
        <v>0</v>
      </c>
      <c r="G602" s="64">
        <f t="shared" si="34"/>
        <v>0</v>
      </c>
      <c r="H602" s="65"/>
      <c r="I602" s="65"/>
      <c r="J602" s="66">
        <f t="shared" si="32"/>
        <v>0</v>
      </c>
      <c r="K602" s="67"/>
      <c r="L602" s="94">
        <v>4501668221</v>
      </c>
    </row>
    <row r="603" spans="1:12" ht="15" customHeight="1" x14ac:dyDescent="0.3">
      <c r="A603" s="59" t="s">
        <v>196</v>
      </c>
      <c r="B603" s="60">
        <v>46044</v>
      </c>
      <c r="C603" s="62" t="s">
        <v>937</v>
      </c>
      <c r="D603" s="62" t="s">
        <v>1024</v>
      </c>
      <c r="E603" s="63">
        <v>0</v>
      </c>
      <c r="F603" s="63">
        <f t="shared" si="33"/>
        <v>0</v>
      </c>
      <c r="G603" s="64">
        <f t="shared" si="34"/>
        <v>0</v>
      </c>
      <c r="H603" s="65"/>
      <c r="I603" s="65"/>
      <c r="J603" s="66">
        <f t="shared" si="32"/>
        <v>0</v>
      </c>
      <c r="K603" s="67"/>
      <c r="L603" s="94">
        <v>4501669480</v>
      </c>
    </row>
    <row r="604" spans="1:12" ht="15" customHeight="1" x14ac:dyDescent="0.3">
      <c r="A604" s="59" t="s">
        <v>203</v>
      </c>
      <c r="B604" s="60" t="s">
        <v>949</v>
      </c>
      <c r="C604" s="61" t="s">
        <v>938</v>
      </c>
      <c r="D604" s="62"/>
      <c r="E604" s="63">
        <v>7432000</v>
      </c>
      <c r="F604" s="63">
        <f t="shared" si="33"/>
        <v>594560</v>
      </c>
      <c r="G604" s="64">
        <f t="shared" si="34"/>
        <v>8026560</v>
      </c>
      <c r="H604" s="65">
        <v>8026560</v>
      </c>
      <c r="I604" s="65"/>
      <c r="J604" s="66">
        <f t="shared" si="32"/>
        <v>0</v>
      </c>
      <c r="K604" s="67">
        <v>46203</v>
      </c>
      <c r="L604" s="94"/>
    </row>
    <row r="605" spans="1:12" ht="15" customHeight="1" x14ac:dyDescent="0.3">
      <c r="A605" s="59" t="s">
        <v>253</v>
      </c>
      <c r="B605" s="60">
        <v>46044</v>
      </c>
      <c r="C605" s="62" t="s">
        <v>939</v>
      </c>
      <c r="D605" s="62" t="s">
        <v>1025</v>
      </c>
      <c r="E605" s="63">
        <v>0</v>
      </c>
      <c r="F605" s="63">
        <f t="shared" si="33"/>
        <v>0</v>
      </c>
      <c r="G605" s="64">
        <f t="shared" si="34"/>
        <v>0</v>
      </c>
      <c r="H605" s="65"/>
      <c r="I605" s="65"/>
      <c r="J605" s="66">
        <f t="shared" si="32"/>
        <v>0</v>
      </c>
      <c r="K605" s="67"/>
      <c r="L605" s="94">
        <v>4501669483</v>
      </c>
    </row>
    <row r="606" spans="1:12" ht="15" customHeight="1" x14ac:dyDescent="0.3">
      <c r="A606" s="59" t="s">
        <v>253</v>
      </c>
      <c r="B606" s="60" t="s">
        <v>950</v>
      </c>
      <c r="C606" s="61" t="s">
        <v>940</v>
      </c>
      <c r="D606" s="62"/>
      <c r="E606" s="63">
        <v>40498500</v>
      </c>
      <c r="F606" s="63">
        <f t="shared" si="33"/>
        <v>3239880</v>
      </c>
      <c r="G606" s="64">
        <f t="shared" si="34"/>
        <v>43738380</v>
      </c>
      <c r="H606" s="65">
        <v>43738380</v>
      </c>
      <c r="I606" s="65"/>
      <c r="J606" s="66">
        <f t="shared" si="32"/>
        <v>0</v>
      </c>
      <c r="K606" s="67">
        <v>46203</v>
      </c>
      <c r="L606" s="94">
        <v>4501671366</v>
      </c>
    </row>
    <row r="607" spans="1:12" ht="15" customHeight="1" x14ac:dyDescent="0.3">
      <c r="A607" s="59" t="s">
        <v>253</v>
      </c>
      <c r="B607" s="60">
        <v>46044</v>
      </c>
      <c r="C607" s="62" t="s">
        <v>941</v>
      </c>
      <c r="D607" s="62" t="s">
        <v>1026</v>
      </c>
      <c r="E607" s="71">
        <v>0</v>
      </c>
      <c r="F607" s="71">
        <f t="shared" si="33"/>
        <v>0</v>
      </c>
      <c r="G607" s="72">
        <f t="shared" si="34"/>
        <v>0</v>
      </c>
      <c r="H607" s="65"/>
      <c r="I607" s="65"/>
      <c r="J607" s="66">
        <f t="shared" si="32"/>
        <v>0</v>
      </c>
      <c r="K607" s="67"/>
      <c r="L607" s="94">
        <v>4501671418</v>
      </c>
    </row>
    <row r="608" spans="1:12" ht="15" customHeight="1" x14ac:dyDescent="0.3">
      <c r="A608" s="59" t="s">
        <v>203</v>
      </c>
      <c r="B608" s="60" t="s">
        <v>950</v>
      </c>
      <c r="C608" s="61" t="s">
        <v>942</v>
      </c>
      <c r="D608" s="62"/>
      <c r="E608" s="63">
        <v>48879000</v>
      </c>
      <c r="F608" s="63">
        <f t="shared" si="33"/>
        <v>3910320</v>
      </c>
      <c r="G608" s="64">
        <f t="shared" si="34"/>
        <v>52789320</v>
      </c>
      <c r="H608" s="65">
        <v>52789320</v>
      </c>
      <c r="I608" s="65"/>
      <c r="J608" s="66">
        <f t="shared" si="32"/>
        <v>0</v>
      </c>
      <c r="K608" s="67">
        <v>46203</v>
      </c>
      <c r="L608" s="94"/>
    </row>
    <row r="609" spans="1:13" ht="15" customHeight="1" x14ac:dyDescent="0.3">
      <c r="A609" s="59" t="s">
        <v>203</v>
      </c>
      <c r="B609" s="60" t="s">
        <v>950</v>
      </c>
      <c r="C609" s="61" t="s">
        <v>943</v>
      </c>
      <c r="D609" s="62"/>
      <c r="E609" s="63">
        <v>26695000</v>
      </c>
      <c r="F609" s="63">
        <f t="shared" si="33"/>
        <v>2135600</v>
      </c>
      <c r="G609" s="64">
        <f t="shared" si="34"/>
        <v>28830600</v>
      </c>
      <c r="H609" s="65">
        <v>28830600</v>
      </c>
      <c r="I609" s="65"/>
      <c r="J609" s="66">
        <f t="shared" si="32"/>
        <v>0</v>
      </c>
      <c r="K609" s="67">
        <v>46203</v>
      </c>
      <c r="L609" s="94"/>
    </row>
    <row r="610" spans="1:13" ht="15" customHeight="1" x14ac:dyDescent="0.3">
      <c r="A610" s="59" t="s">
        <v>196</v>
      </c>
      <c r="B610" s="60" t="s">
        <v>950</v>
      </c>
      <c r="C610" s="61" t="s">
        <v>944</v>
      </c>
      <c r="D610" s="62"/>
      <c r="E610" s="63">
        <v>29184000</v>
      </c>
      <c r="F610" s="63">
        <f t="shared" si="33"/>
        <v>2334720</v>
      </c>
      <c r="G610" s="64">
        <f t="shared" si="34"/>
        <v>31518720</v>
      </c>
      <c r="H610" s="65">
        <v>31518720</v>
      </c>
      <c r="I610" s="65"/>
      <c r="J610" s="66">
        <f t="shared" si="32"/>
        <v>0</v>
      </c>
      <c r="K610" s="67">
        <v>46203</v>
      </c>
      <c r="L610" s="94"/>
    </row>
    <row r="611" spans="1:13" ht="15" customHeight="1" x14ac:dyDescent="0.3">
      <c r="A611" s="59" t="s">
        <v>196</v>
      </c>
      <c r="B611" s="60" t="s">
        <v>950</v>
      </c>
      <c r="C611" s="61" t="s">
        <v>332</v>
      </c>
      <c r="D611" s="62"/>
      <c r="E611" s="63">
        <v>37252000</v>
      </c>
      <c r="F611" s="63">
        <f t="shared" si="33"/>
        <v>2980160</v>
      </c>
      <c r="G611" s="64">
        <f t="shared" si="34"/>
        <v>40232160</v>
      </c>
      <c r="H611" s="65">
        <v>40232160</v>
      </c>
      <c r="I611" s="65"/>
      <c r="J611" s="66">
        <f t="shared" si="32"/>
        <v>0</v>
      </c>
      <c r="K611" s="67">
        <v>46203</v>
      </c>
      <c r="L611" s="94"/>
    </row>
    <row r="612" spans="1:13" ht="15" customHeight="1" x14ac:dyDescent="0.3">
      <c r="A612" s="59" t="s">
        <v>196</v>
      </c>
      <c r="B612" s="60">
        <v>46053</v>
      </c>
      <c r="C612" s="62" t="s">
        <v>339</v>
      </c>
      <c r="D612" s="62" t="s">
        <v>1035</v>
      </c>
      <c r="E612" s="63">
        <v>0</v>
      </c>
      <c r="F612" s="63">
        <f t="shared" si="33"/>
        <v>0</v>
      </c>
      <c r="G612" s="64">
        <f t="shared" si="34"/>
        <v>0</v>
      </c>
      <c r="H612" s="65"/>
      <c r="I612" s="65"/>
      <c r="J612" s="66">
        <f t="shared" si="32"/>
        <v>0</v>
      </c>
      <c r="K612" s="67"/>
      <c r="L612" s="94">
        <v>4501674895</v>
      </c>
    </row>
    <row r="613" spans="1:13" ht="15" customHeight="1" x14ac:dyDescent="0.3">
      <c r="A613" s="59" t="s">
        <v>253</v>
      </c>
      <c r="B613" s="60" t="s">
        <v>951</v>
      </c>
      <c r="C613" s="61" t="s">
        <v>343</v>
      </c>
      <c r="D613" s="62"/>
      <c r="E613" s="63">
        <v>30799000</v>
      </c>
      <c r="F613" s="63">
        <f t="shared" si="33"/>
        <v>2463920</v>
      </c>
      <c r="G613" s="64">
        <f t="shared" si="34"/>
        <v>33262920</v>
      </c>
      <c r="H613" s="65">
        <v>33262920</v>
      </c>
      <c r="I613" s="65"/>
      <c r="J613" s="66">
        <f t="shared" si="32"/>
        <v>0</v>
      </c>
      <c r="K613" s="67">
        <v>46203</v>
      </c>
      <c r="L613" s="94">
        <v>4501675345</v>
      </c>
    </row>
    <row r="614" spans="1:13" ht="15" customHeight="1" x14ac:dyDescent="0.3">
      <c r="A614" s="59" t="s">
        <v>203</v>
      </c>
      <c r="B614" s="60" t="s">
        <v>951</v>
      </c>
      <c r="C614" s="61" t="s">
        <v>945</v>
      </c>
      <c r="D614" s="62"/>
      <c r="E614" s="63">
        <v>15409000</v>
      </c>
      <c r="F614" s="63">
        <f t="shared" si="33"/>
        <v>1232720</v>
      </c>
      <c r="G614" s="64">
        <f t="shared" si="34"/>
        <v>16641720</v>
      </c>
      <c r="H614" s="65">
        <v>16641720</v>
      </c>
      <c r="I614" s="65"/>
      <c r="J614" s="66">
        <f t="shared" si="32"/>
        <v>0</v>
      </c>
      <c r="K614" s="67">
        <v>46203</v>
      </c>
      <c r="L614" s="94"/>
    </row>
    <row r="615" spans="1:13" ht="15" customHeight="1" x14ac:dyDescent="0.3">
      <c r="A615" s="59" t="s">
        <v>253</v>
      </c>
      <c r="B615" s="60" t="s">
        <v>951</v>
      </c>
      <c r="C615" s="61" t="s">
        <v>946</v>
      </c>
      <c r="D615" s="62"/>
      <c r="E615" s="63">
        <v>42467000</v>
      </c>
      <c r="F615" s="63">
        <f t="shared" si="33"/>
        <v>3397360</v>
      </c>
      <c r="G615" s="64">
        <f t="shared" si="34"/>
        <v>45864360</v>
      </c>
      <c r="H615" s="65">
        <v>45864360</v>
      </c>
      <c r="I615" s="65"/>
      <c r="J615" s="66">
        <f t="shared" si="32"/>
        <v>0</v>
      </c>
      <c r="K615" s="67">
        <v>46203</v>
      </c>
      <c r="L615" s="94">
        <v>4501676093</v>
      </c>
    </row>
    <row r="616" spans="1:13" ht="15" customHeight="1" x14ac:dyDescent="0.3">
      <c r="A616" s="59" t="s">
        <v>203</v>
      </c>
      <c r="B616" s="60" t="s">
        <v>951</v>
      </c>
      <c r="C616" s="61" t="s">
        <v>947</v>
      </c>
      <c r="D616" s="62"/>
      <c r="E616" s="63">
        <v>29891000</v>
      </c>
      <c r="F616" s="63">
        <f t="shared" si="33"/>
        <v>2391280</v>
      </c>
      <c r="G616" s="64">
        <f t="shared" si="34"/>
        <v>32282280</v>
      </c>
      <c r="H616" s="65">
        <v>32282280</v>
      </c>
      <c r="I616" s="65"/>
      <c r="J616" s="66">
        <f t="shared" si="32"/>
        <v>0</v>
      </c>
      <c r="K616" s="67">
        <v>46203</v>
      </c>
      <c r="L616" s="94"/>
    </row>
    <row r="617" spans="1:13" ht="15" customHeight="1" x14ac:dyDescent="0.3">
      <c r="A617" s="59" t="s">
        <v>196</v>
      </c>
      <c r="B617" s="60" t="s">
        <v>951</v>
      </c>
      <c r="C617" s="62" t="s">
        <v>1014</v>
      </c>
      <c r="D617" s="62" t="s">
        <v>1029</v>
      </c>
      <c r="E617" s="63">
        <v>0</v>
      </c>
      <c r="F617" s="63">
        <f t="shared" si="33"/>
        <v>0</v>
      </c>
      <c r="G617" s="64">
        <f t="shared" si="34"/>
        <v>0</v>
      </c>
      <c r="H617" s="65"/>
      <c r="I617" s="65"/>
      <c r="J617" s="66">
        <f t="shared" si="32"/>
        <v>0</v>
      </c>
      <c r="K617" s="67"/>
      <c r="L617" s="94">
        <v>4501676091</v>
      </c>
    </row>
    <row r="618" spans="1:13" ht="15" customHeight="1" x14ac:dyDescent="0.3">
      <c r="A618" s="59" t="s">
        <v>196</v>
      </c>
      <c r="B618" s="60">
        <v>46051</v>
      </c>
      <c r="C618" s="62" t="s">
        <v>1015</v>
      </c>
      <c r="D618" s="62" t="s">
        <v>1034</v>
      </c>
      <c r="E618" s="63">
        <v>0</v>
      </c>
      <c r="F618" s="63">
        <f t="shared" si="33"/>
        <v>0</v>
      </c>
      <c r="G618" s="64">
        <f t="shared" si="34"/>
        <v>0</v>
      </c>
      <c r="H618" s="65"/>
      <c r="I618" s="65"/>
      <c r="J618" s="66">
        <f t="shared" si="32"/>
        <v>0</v>
      </c>
      <c r="K618" s="67"/>
      <c r="L618" s="94">
        <v>4501678893</v>
      </c>
    </row>
    <row r="619" spans="1:13" ht="15" customHeight="1" x14ac:dyDescent="0.3">
      <c r="A619" s="59" t="s">
        <v>203</v>
      </c>
      <c r="B619" s="60" t="s">
        <v>995</v>
      </c>
      <c r="C619" s="61" t="s">
        <v>165</v>
      </c>
      <c r="D619" s="62"/>
      <c r="E619" s="63">
        <v>25764000</v>
      </c>
      <c r="F619" s="63">
        <f t="shared" si="33"/>
        <v>2061120</v>
      </c>
      <c r="G619" s="64">
        <f t="shared" si="34"/>
        <v>27825120</v>
      </c>
      <c r="H619" s="65">
        <v>27825120</v>
      </c>
      <c r="I619" s="65"/>
      <c r="J619" s="66">
        <f t="shared" si="32"/>
        <v>0</v>
      </c>
      <c r="K619" s="67">
        <v>46203</v>
      </c>
      <c r="L619" s="94"/>
    </row>
    <row r="620" spans="1:13" ht="15" customHeight="1" x14ac:dyDescent="0.3">
      <c r="A620" s="59" t="s">
        <v>253</v>
      </c>
      <c r="B620" s="60">
        <v>46051</v>
      </c>
      <c r="C620" s="62" t="s">
        <v>1016</v>
      </c>
      <c r="D620" s="61" t="s">
        <v>1033</v>
      </c>
      <c r="E620" s="63">
        <v>0</v>
      </c>
      <c r="F620" s="63">
        <f t="shared" si="33"/>
        <v>0</v>
      </c>
      <c r="G620" s="64">
        <f t="shared" si="34"/>
        <v>0</v>
      </c>
      <c r="H620" s="65"/>
      <c r="I620" s="65"/>
      <c r="J620" s="66">
        <f t="shared" si="32"/>
        <v>0</v>
      </c>
      <c r="K620" s="67"/>
      <c r="L620" s="94">
        <v>4501679623</v>
      </c>
    </row>
    <row r="621" spans="1:13" ht="15" customHeight="1" x14ac:dyDescent="0.3">
      <c r="A621" s="59" t="s">
        <v>253</v>
      </c>
      <c r="B621" s="60">
        <v>46051</v>
      </c>
      <c r="C621" s="62" t="s">
        <v>1017</v>
      </c>
      <c r="D621" s="61" t="s">
        <v>1032</v>
      </c>
      <c r="E621" s="63">
        <v>0</v>
      </c>
      <c r="F621" s="63">
        <f t="shared" si="33"/>
        <v>0</v>
      </c>
      <c r="G621" s="64">
        <f t="shared" si="34"/>
        <v>0</v>
      </c>
      <c r="H621" s="65"/>
      <c r="I621" s="65"/>
      <c r="J621" s="66">
        <f t="shared" si="32"/>
        <v>0</v>
      </c>
      <c r="K621" s="67"/>
      <c r="L621" s="94">
        <v>4501679669</v>
      </c>
    </row>
    <row r="622" spans="1:13" ht="15" customHeight="1" x14ac:dyDescent="0.3">
      <c r="A622" s="59" t="s">
        <v>196</v>
      </c>
      <c r="B622" s="60">
        <v>46051</v>
      </c>
      <c r="C622" s="62" t="s">
        <v>1018</v>
      </c>
      <c r="D622" s="62" t="s">
        <v>1030</v>
      </c>
      <c r="E622" s="63">
        <v>0</v>
      </c>
      <c r="F622" s="63">
        <f t="shared" si="33"/>
        <v>0</v>
      </c>
      <c r="G622" s="64">
        <f t="shared" si="34"/>
        <v>0</v>
      </c>
      <c r="H622" s="65"/>
      <c r="I622" s="65"/>
      <c r="J622" s="66">
        <f t="shared" si="32"/>
        <v>0</v>
      </c>
      <c r="K622" s="67"/>
      <c r="L622" s="94">
        <v>4501679667</v>
      </c>
    </row>
    <row r="623" spans="1:13" ht="15" customHeight="1" x14ac:dyDescent="0.3">
      <c r="A623" s="59" t="s">
        <v>203</v>
      </c>
      <c r="B623" s="60" t="s">
        <v>995</v>
      </c>
      <c r="C623" s="61" t="s">
        <v>964</v>
      </c>
      <c r="D623" s="62"/>
      <c r="E623" s="63">
        <v>15500000</v>
      </c>
      <c r="F623" s="63">
        <f t="shared" si="33"/>
        <v>1240000</v>
      </c>
      <c r="G623" s="64">
        <f t="shared" si="34"/>
        <v>16740000</v>
      </c>
      <c r="H623" s="65">
        <v>16740000</v>
      </c>
      <c r="I623" s="65"/>
      <c r="J623" s="66">
        <f t="shared" si="32"/>
        <v>0</v>
      </c>
      <c r="K623" s="67">
        <v>46203</v>
      </c>
      <c r="L623" s="94"/>
    </row>
    <row r="624" spans="1:13" ht="15" customHeight="1" x14ac:dyDescent="0.3">
      <c r="A624" s="59" t="s">
        <v>1039</v>
      </c>
      <c r="B624" s="60">
        <v>46041</v>
      </c>
      <c r="C624" s="61" t="s">
        <v>1040</v>
      </c>
      <c r="D624" s="62"/>
      <c r="E624" s="63">
        <v>-4320000</v>
      </c>
      <c r="F624" s="63">
        <f t="shared" si="33"/>
        <v>-345600</v>
      </c>
      <c r="G624" s="64">
        <f t="shared" si="34"/>
        <v>-4665600</v>
      </c>
      <c r="H624" s="65">
        <v>-4665600</v>
      </c>
      <c r="I624" s="65"/>
      <c r="J624" s="66">
        <f t="shared" si="32"/>
        <v>0</v>
      </c>
      <c r="K624" s="67">
        <v>46203</v>
      </c>
      <c r="L624" s="94"/>
      <c r="M624" s="2" t="s">
        <v>1130</v>
      </c>
    </row>
    <row r="625" spans="1:13" ht="15" customHeight="1" x14ac:dyDescent="0.3">
      <c r="A625" s="59" t="s">
        <v>1039</v>
      </c>
      <c r="B625" s="60">
        <v>46041</v>
      </c>
      <c r="C625" s="61" t="s">
        <v>1041</v>
      </c>
      <c r="D625" s="62"/>
      <c r="E625" s="63">
        <v>-1620000</v>
      </c>
      <c r="F625" s="63">
        <f t="shared" si="33"/>
        <v>-129600</v>
      </c>
      <c r="G625" s="64">
        <f t="shared" si="34"/>
        <v>-1749600</v>
      </c>
      <c r="H625" s="65">
        <v>-1749600</v>
      </c>
      <c r="I625" s="65"/>
      <c r="J625" s="66">
        <f t="shared" si="32"/>
        <v>0</v>
      </c>
      <c r="K625" s="67">
        <v>46203</v>
      </c>
      <c r="L625" s="94"/>
      <c r="M625" s="2" t="s">
        <v>1130</v>
      </c>
    </row>
    <row r="626" spans="1:13" ht="15" customHeight="1" x14ac:dyDescent="0.3">
      <c r="A626" s="59" t="s">
        <v>1039</v>
      </c>
      <c r="B626" s="60">
        <v>46042</v>
      </c>
      <c r="C626" s="61" t="s">
        <v>1042</v>
      </c>
      <c r="D626" s="62"/>
      <c r="E626" s="63">
        <v>-340000</v>
      </c>
      <c r="F626" s="63">
        <f t="shared" si="33"/>
        <v>-27200</v>
      </c>
      <c r="G626" s="64">
        <f t="shared" si="34"/>
        <v>-367200</v>
      </c>
      <c r="H626" s="65">
        <v>-367200</v>
      </c>
      <c r="I626" s="65"/>
      <c r="J626" s="66">
        <f t="shared" si="32"/>
        <v>0</v>
      </c>
      <c r="K626" s="67">
        <v>46203</v>
      </c>
      <c r="L626" s="94"/>
      <c r="M626" s="2" t="s">
        <v>1130</v>
      </c>
    </row>
    <row r="627" spans="1:13" ht="15" customHeight="1" x14ac:dyDescent="0.3">
      <c r="A627" s="59" t="s">
        <v>253</v>
      </c>
      <c r="B627" s="60">
        <v>1896</v>
      </c>
      <c r="C627" s="62" t="s">
        <v>965</v>
      </c>
      <c r="D627" s="62" t="s">
        <v>1043</v>
      </c>
      <c r="E627" s="63">
        <v>0</v>
      </c>
      <c r="F627" s="63">
        <f t="shared" si="33"/>
        <v>0</v>
      </c>
      <c r="G627" s="64">
        <f t="shared" si="34"/>
        <v>0</v>
      </c>
      <c r="H627" s="65"/>
      <c r="I627" s="65"/>
      <c r="J627" s="66">
        <f t="shared" si="32"/>
        <v>0</v>
      </c>
      <c r="K627" s="67"/>
      <c r="L627" s="94"/>
    </row>
    <row r="628" spans="1:13" ht="15" customHeight="1" x14ac:dyDescent="0.3">
      <c r="A628" s="59" t="s">
        <v>196</v>
      </c>
      <c r="B628" s="60" t="s">
        <v>996</v>
      </c>
      <c r="C628" s="61" t="s">
        <v>966</v>
      </c>
      <c r="D628" s="62"/>
      <c r="E628" s="63">
        <v>4336000</v>
      </c>
      <c r="F628" s="63">
        <f t="shared" si="33"/>
        <v>346880</v>
      </c>
      <c r="G628" s="64">
        <f t="shared" si="34"/>
        <v>4682880</v>
      </c>
      <c r="H628" s="65">
        <v>4682880</v>
      </c>
      <c r="I628" s="65"/>
      <c r="J628" s="66">
        <f t="shared" ref="J628:J691" si="35">G628-H628</f>
        <v>0</v>
      </c>
      <c r="K628" s="67">
        <v>46203</v>
      </c>
      <c r="L628" s="94"/>
    </row>
    <row r="629" spans="1:13" ht="15" customHeight="1" x14ac:dyDescent="0.3">
      <c r="A629" s="59" t="s">
        <v>253</v>
      </c>
      <c r="B629" s="60" t="s">
        <v>996</v>
      </c>
      <c r="C629" s="61" t="s">
        <v>967</v>
      </c>
      <c r="D629" s="62"/>
      <c r="E629" s="63">
        <v>41514000</v>
      </c>
      <c r="F629" s="63">
        <f t="shared" si="33"/>
        <v>3321120</v>
      </c>
      <c r="G629" s="64">
        <f t="shared" si="34"/>
        <v>44835120</v>
      </c>
      <c r="H629" s="65">
        <v>44835120</v>
      </c>
      <c r="I629" s="65"/>
      <c r="J629" s="66">
        <f t="shared" si="35"/>
        <v>0</v>
      </c>
      <c r="K629" s="67">
        <v>46203</v>
      </c>
      <c r="L629" s="94"/>
    </row>
    <row r="630" spans="1:13" ht="15" customHeight="1" x14ac:dyDescent="0.3">
      <c r="A630" s="59" t="s">
        <v>253</v>
      </c>
      <c r="B630" s="60" t="s">
        <v>996</v>
      </c>
      <c r="C630" s="61" t="s">
        <v>968</v>
      </c>
      <c r="D630" s="62"/>
      <c r="E630" s="63">
        <v>6052000</v>
      </c>
      <c r="F630" s="63">
        <f t="shared" si="33"/>
        <v>484160</v>
      </c>
      <c r="G630" s="64">
        <f t="shared" si="34"/>
        <v>6536160</v>
      </c>
      <c r="H630" s="65">
        <v>6536160</v>
      </c>
      <c r="I630" s="65"/>
      <c r="J630" s="66">
        <f t="shared" si="35"/>
        <v>0</v>
      </c>
      <c r="K630" s="67">
        <v>46203</v>
      </c>
      <c r="L630" s="94"/>
    </row>
    <row r="631" spans="1:13" ht="15" customHeight="1" x14ac:dyDescent="0.3">
      <c r="A631" s="59" t="s">
        <v>253</v>
      </c>
      <c r="B631" s="60" t="s">
        <v>996</v>
      </c>
      <c r="C631" s="61" t="s">
        <v>969</v>
      </c>
      <c r="D631" s="62"/>
      <c r="E631" s="63">
        <v>18810000</v>
      </c>
      <c r="F631" s="63">
        <f t="shared" si="33"/>
        <v>1504800</v>
      </c>
      <c r="G631" s="64">
        <f t="shared" si="34"/>
        <v>20314800</v>
      </c>
      <c r="H631" s="65">
        <v>20314800</v>
      </c>
      <c r="I631" s="65"/>
      <c r="J631" s="66">
        <f t="shared" si="35"/>
        <v>0</v>
      </c>
      <c r="K631" s="67">
        <v>46203</v>
      </c>
      <c r="L631" s="94"/>
    </row>
    <row r="632" spans="1:13" ht="15" customHeight="1" x14ac:dyDescent="0.3">
      <c r="A632" s="59" t="s">
        <v>196</v>
      </c>
      <c r="B632" s="60">
        <v>44013</v>
      </c>
      <c r="C632" s="62" t="s">
        <v>1019</v>
      </c>
      <c r="D632" s="62" t="s">
        <v>1023</v>
      </c>
      <c r="E632" s="63">
        <v>0</v>
      </c>
      <c r="F632" s="63">
        <f t="shared" si="33"/>
        <v>0</v>
      </c>
      <c r="G632" s="64">
        <f t="shared" si="34"/>
        <v>0</v>
      </c>
      <c r="H632" s="65"/>
      <c r="I632" s="65"/>
      <c r="J632" s="66">
        <f t="shared" si="35"/>
        <v>0</v>
      </c>
      <c r="K632" s="67"/>
      <c r="L632" s="94">
        <v>4501686764</v>
      </c>
    </row>
    <row r="633" spans="1:13" ht="15" customHeight="1" x14ac:dyDescent="0.3">
      <c r="A633" s="59" t="s">
        <v>203</v>
      </c>
      <c r="B633" s="60" t="s">
        <v>996</v>
      </c>
      <c r="C633" s="61" t="s">
        <v>970</v>
      </c>
      <c r="D633" s="62"/>
      <c r="E633" s="63">
        <v>5360000</v>
      </c>
      <c r="F633" s="63">
        <f t="shared" si="33"/>
        <v>428800</v>
      </c>
      <c r="G633" s="64">
        <f t="shared" si="34"/>
        <v>5788800</v>
      </c>
      <c r="H633" s="65">
        <v>5788800</v>
      </c>
      <c r="I633" s="65"/>
      <c r="J633" s="66">
        <f t="shared" si="35"/>
        <v>0</v>
      </c>
      <c r="K633" s="67">
        <v>46203</v>
      </c>
      <c r="L633" s="94"/>
    </row>
    <row r="634" spans="1:13" ht="15" customHeight="1" x14ac:dyDescent="0.3">
      <c r="A634" s="59" t="s">
        <v>196</v>
      </c>
      <c r="B634" s="60">
        <v>46060</v>
      </c>
      <c r="C634" s="62" t="s">
        <v>1020</v>
      </c>
      <c r="D634" s="62" t="s">
        <v>1038</v>
      </c>
      <c r="E634" s="63">
        <v>0</v>
      </c>
      <c r="F634" s="63">
        <f t="shared" si="33"/>
        <v>0</v>
      </c>
      <c r="G634" s="64">
        <f t="shared" si="34"/>
        <v>0</v>
      </c>
      <c r="H634" s="65"/>
      <c r="I634" s="65"/>
      <c r="J634" s="66">
        <f t="shared" si="35"/>
        <v>0</v>
      </c>
      <c r="K634" s="67"/>
      <c r="L634" s="94">
        <v>4501687612</v>
      </c>
    </row>
    <row r="635" spans="1:13" ht="15" customHeight="1" x14ac:dyDescent="0.3">
      <c r="A635" s="59" t="s">
        <v>203</v>
      </c>
      <c r="B635" s="60" t="s">
        <v>997</v>
      </c>
      <c r="C635" s="61" t="s">
        <v>971</v>
      </c>
      <c r="D635" s="62"/>
      <c r="E635" s="63">
        <v>1005000</v>
      </c>
      <c r="F635" s="63">
        <f t="shared" si="33"/>
        <v>80400</v>
      </c>
      <c r="G635" s="64">
        <f t="shared" si="34"/>
        <v>1085400</v>
      </c>
      <c r="H635" s="65">
        <v>1085400</v>
      </c>
      <c r="I635" s="65"/>
      <c r="J635" s="66">
        <f t="shared" si="35"/>
        <v>0</v>
      </c>
      <c r="K635" s="67">
        <v>46203</v>
      </c>
      <c r="L635" s="94"/>
    </row>
    <row r="636" spans="1:13" ht="15" customHeight="1" x14ac:dyDescent="0.3">
      <c r="A636" s="59" t="s">
        <v>253</v>
      </c>
      <c r="B636" s="60" t="s">
        <v>997</v>
      </c>
      <c r="C636" s="61" t="s">
        <v>972</v>
      </c>
      <c r="D636" s="62"/>
      <c r="E636" s="63">
        <v>2260000</v>
      </c>
      <c r="F636" s="63">
        <f t="shared" si="33"/>
        <v>180800</v>
      </c>
      <c r="G636" s="64">
        <f t="shared" si="34"/>
        <v>2440800</v>
      </c>
      <c r="H636" s="65">
        <v>2440800</v>
      </c>
      <c r="I636" s="65"/>
      <c r="J636" s="66">
        <f t="shared" si="35"/>
        <v>0</v>
      </c>
      <c r="K636" s="67">
        <v>46203</v>
      </c>
      <c r="L636" s="94"/>
    </row>
    <row r="637" spans="1:13" ht="15" customHeight="1" x14ac:dyDescent="0.3">
      <c r="A637" s="59" t="s">
        <v>253</v>
      </c>
      <c r="B637" s="60" t="s">
        <v>997</v>
      </c>
      <c r="C637" s="61" t="s">
        <v>973</v>
      </c>
      <c r="D637" s="62"/>
      <c r="E637" s="63">
        <v>5360000</v>
      </c>
      <c r="F637" s="63">
        <f t="shared" si="33"/>
        <v>428800</v>
      </c>
      <c r="G637" s="64">
        <f t="shared" si="34"/>
        <v>5788800</v>
      </c>
      <c r="H637" s="65">
        <v>5788800</v>
      </c>
      <c r="I637" s="65"/>
      <c r="J637" s="66">
        <f t="shared" si="35"/>
        <v>0</v>
      </c>
      <c r="K637" s="67">
        <v>46203</v>
      </c>
      <c r="L637" s="94"/>
    </row>
    <row r="638" spans="1:13" ht="15" customHeight="1" x14ac:dyDescent="0.3">
      <c r="A638" s="59" t="s">
        <v>253</v>
      </c>
      <c r="B638" s="60">
        <v>46090</v>
      </c>
      <c r="C638" s="62" t="s">
        <v>974</v>
      </c>
      <c r="D638" s="62" t="s">
        <v>1044</v>
      </c>
      <c r="E638" s="63">
        <v>5360000</v>
      </c>
      <c r="F638" s="63"/>
      <c r="G638" s="64"/>
      <c r="H638" s="65"/>
      <c r="I638" s="65"/>
      <c r="J638" s="66">
        <f t="shared" si="35"/>
        <v>0</v>
      </c>
      <c r="K638" s="67" t="s">
        <v>181</v>
      </c>
      <c r="L638" s="94"/>
    </row>
    <row r="639" spans="1:13" ht="15" customHeight="1" x14ac:dyDescent="0.3">
      <c r="A639" s="59" t="s">
        <v>196</v>
      </c>
      <c r="B639" s="60">
        <v>46060</v>
      </c>
      <c r="C639" s="62" t="s">
        <v>1021</v>
      </c>
      <c r="D639" s="62" t="s">
        <v>1036</v>
      </c>
      <c r="E639" s="63">
        <v>0</v>
      </c>
      <c r="F639" s="63">
        <f t="shared" si="33"/>
        <v>0</v>
      </c>
      <c r="G639" s="64">
        <f t="shared" si="34"/>
        <v>0</v>
      </c>
      <c r="H639" s="65"/>
      <c r="I639" s="65"/>
      <c r="J639" s="66">
        <f t="shared" si="35"/>
        <v>0</v>
      </c>
      <c r="K639" s="67"/>
      <c r="L639" s="94">
        <v>4501690032</v>
      </c>
    </row>
    <row r="640" spans="1:13" ht="15" customHeight="1" x14ac:dyDescent="0.3">
      <c r="A640" s="59" t="s">
        <v>203</v>
      </c>
      <c r="B640" s="60" t="s">
        <v>998</v>
      </c>
      <c r="C640" s="61" t="s">
        <v>975</v>
      </c>
      <c r="D640" s="62"/>
      <c r="E640" s="63">
        <v>5360000</v>
      </c>
      <c r="F640" s="63">
        <f t="shared" si="33"/>
        <v>428800</v>
      </c>
      <c r="G640" s="64">
        <f t="shared" si="34"/>
        <v>5788800</v>
      </c>
      <c r="H640" s="65">
        <v>5788800</v>
      </c>
      <c r="I640" s="65"/>
      <c r="J640" s="66">
        <f t="shared" si="35"/>
        <v>0</v>
      </c>
      <c r="K640" s="67">
        <v>46203</v>
      </c>
      <c r="L640" s="94"/>
    </row>
    <row r="641" spans="1:12" ht="15" customHeight="1" x14ac:dyDescent="0.3">
      <c r="A641" s="59" t="s">
        <v>196</v>
      </c>
      <c r="B641" s="60" t="s">
        <v>998</v>
      </c>
      <c r="C641" s="61" t="s">
        <v>976</v>
      </c>
      <c r="D641" s="62"/>
      <c r="E641" s="63">
        <v>2040000</v>
      </c>
      <c r="F641" s="63">
        <f t="shared" si="33"/>
        <v>163200</v>
      </c>
      <c r="G641" s="64">
        <f t="shared" si="34"/>
        <v>2203200</v>
      </c>
      <c r="H641" s="65">
        <v>2203200</v>
      </c>
      <c r="I641" s="65"/>
      <c r="J641" s="66">
        <f t="shared" si="35"/>
        <v>0</v>
      </c>
      <c r="K641" s="67">
        <v>46203</v>
      </c>
      <c r="L641" s="94"/>
    </row>
    <row r="642" spans="1:12" ht="15" customHeight="1" x14ac:dyDescent="0.3">
      <c r="A642" s="59" t="s">
        <v>196</v>
      </c>
      <c r="B642" s="60">
        <v>46060</v>
      </c>
      <c r="C642" s="62" t="s">
        <v>1022</v>
      </c>
      <c r="D642" s="62" t="s">
        <v>1037</v>
      </c>
      <c r="E642" s="63">
        <v>0</v>
      </c>
      <c r="F642" s="63">
        <f t="shared" si="33"/>
        <v>0</v>
      </c>
      <c r="G642" s="64">
        <f t="shared" si="34"/>
        <v>0</v>
      </c>
      <c r="H642" s="65"/>
      <c r="I642" s="65"/>
      <c r="J642" s="66">
        <f t="shared" si="35"/>
        <v>0</v>
      </c>
      <c r="K642" s="67"/>
      <c r="L642" s="94">
        <v>4501691375</v>
      </c>
    </row>
    <row r="643" spans="1:12" ht="15" customHeight="1" x14ac:dyDescent="0.3">
      <c r="A643" s="59" t="s">
        <v>203</v>
      </c>
      <c r="B643" s="60" t="s">
        <v>998</v>
      </c>
      <c r="C643" s="61" t="s">
        <v>977</v>
      </c>
      <c r="D643" s="62"/>
      <c r="E643" s="63">
        <v>15420000</v>
      </c>
      <c r="F643" s="63">
        <f t="shared" si="33"/>
        <v>1233600</v>
      </c>
      <c r="G643" s="64">
        <f t="shared" si="34"/>
        <v>16653600</v>
      </c>
      <c r="H643" s="65">
        <v>16653600</v>
      </c>
      <c r="I643" s="65"/>
      <c r="J643" s="66">
        <f t="shared" si="35"/>
        <v>0</v>
      </c>
      <c r="K643" s="67">
        <v>46203</v>
      </c>
      <c r="L643" s="94"/>
    </row>
    <row r="644" spans="1:12" ht="15" customHeight="1" x14ac:dyDescent="0.3">
      <c r="A644" s="59" t="s">
        <v>253</v>
      </c>
      <c r="B644" s="60" t="s">
        <v>998</v>
      </c>
      <c r="C644" s="61" t="s">
        <v>978</v>
      </c>
      <c r="D644" s="62"/>
      <c r="E644" s="63">
        <v>9010000</v>
      </c>
      <c r="F644" s="63">
        <f t="shared" si="33"/>
        <v>720800</v>
      </c>
      <c r="G644" s="64">
        <f t="shared" si="34"/>
        <v>9730800</v>
      </c>
      <c r="H644" s="65">
        <v>9730800</v>
      </c>
      <c r="I644" s="65"/>
      <c r="J644" s="66">
        <f t="shared" si="35"/>
        <v>0</v>
      </c>
      <c r="K644" s="67">
        <v>46203</v>
      </c>
      <c r="L644" s="94"/>
    </row>
    <row r="645" spans="1:12" ht="15" customHeight="1" x14ac:dyDescent="0.3">
      <c r="A645" s="59" t="s">
        <v>196</v>
      </c>
      <c r="B645" s="60" t="s">
        <v>999</v>
      </c>
      <c r="C645" s="61" t="s">
        <v>979</v>
      </c>
      <c r="D645" s="62"/>
      <c r="E645" s="63">
        <v>33740000</v>
      </c>
      <c r="F645" s="63">
        <f t="shared" si="33"/>
        <v>2699200</v>
      </c>
      <c r="G645" s="64">
        <f t="shared" si="34"/>
        <v>36439200</v>
      </c>
      <c r="H645" s="65">
        <v>36439200</v>
      </c>
      <c r="I645" s="65"/>
      <c r="J645" s="66">
        <f t="shared" si="35"/>
        <v>0</v>
      </c>
      <c r="K645" s="67">
        <v>46203</v>
      </c>
      <c r="L645" s="94"/>
    </row>
    <row r="646" spans="1:12" ht="15" customHeight="1" x14ac:dyDescent="0.3">
      <c r="A646" s="59" t="s">
        <v>196</v>
      </c>
      <c r="B646" s="60" t="s">
        <v>999</v>
      </c>
      <c r="C646" s="61" t="s">
        <v>980</v>
      </c>
      <c r="D646" s="62"/>
      <c r="E646" s="63">
        <v>8000000</v>
      </c>
      <c r="F646" s="63">
        <f t="shared" si="33"/>
        <v>640000</v>
      </c>
      <c r="G646" s="64">
        <f t="shared" si="34"/>
        <v>8640000</v>
      </c>
      <c r="H646" s="65">
        <v>8640000</v>
      </c>
      <c r="I646" s="65"/>
      <c r="J646" s="66">
        <f t="shared" si="35"/>
        <v>0</v>
      </c>
      <c r="K646" s="67">
        <v>46203</v>
      </c>
      <c r="L646" s="94"/>
    </row>
    <row r="647" spans="1:12" ht="15" customHeight="1" x14ac:dyDescent="0.3">
      <c r="A647" s="59" t="s">
        <v>196</v>
      </c>
      <c r="B647" s="60" t="s">
        <v>999</v>
      </c>
      <c r="C647" s="61" t="s">
        <v>981</v>
      </c>
      <c r="D647" s="62"/>
      <c r="E647" s="63">
        <v>13330000</v>
      </c>
      <c r="F647" s="63">
        <f t="shared" si="33"/>
        <v>1066400</v>
      </c>
      <c r="G647" s="64">
        <f t="shared" si="34"/>
        <v>14396400</v>
      </c>
      <c r="H647" s="65">
        <v>14396400</v>
      </c>
      <c r="I647" s="65"/>
      <c r="J647" s="66">
        <f t="shared" si="35"/>
        <v>0</v>
      </c>
      <c r="K647" s="67">
        <v>46203</v>
      </c>
      <c r="L647" s="94"/>
    </row>
    <row r="648" spans="1:12" ht="15" customHeight="1" x14ac:dyDescent="0.3">
      <c r="A648" s="59" t="s">
        <v>253</v>
      </c>
      <c r="B648" s="60" t="s">
        <v>999</v>
      </c>
      <c r="C648" s="61" t="s">
        <v>982</v>
      </c>
      <c r="D648" s="62"/>
      <c r="E648" s="63">
        <v>10545000</v>
      </c>
      <c r="F648" s="63">
        <f t="shared" si="33"/>
        <v>843600</v>
      </c>
      <c r="G648" s="64">
        <f t="shared" si="34"/>
        <v>11388600</v>
      </c>
      <c r="H648" s="65">
        <v>11388600</v>
      </c>
      <c r="I648" s="65"/>
      <c r="J648" s="66">
        <f t="shared" si="35"/>
        <v>0</v>
      </c>
      <c r="K648" s="67">
        <v>46203</v>
      </c>
      <c r="L648" s="94"/>
    </row>
    <row r="649" spans="1:12" ht="15" customHeight="1" x14ac:dyDescent="0.3">
      <c r="A649" s="59" t="s">
        <v>253</v>
      </c>
      <c r="B649" s="60" t="s">
        <v>999</v>
      </c>
      <c r="C649" s="61" t="s">
        <v>983</v>
      </c>
      <c r="D649" s="62"/>
      <c r="E649" s="63">
        <v>11308800</v>
      </c>
      <c r="F649" s="63">
        <f t="shared" si="33"/>
        <v>904704</v>
      </c>
      <c r="G649" s="64">
        <f t="shared" si="34"/>
        <v>12213504</v>
      </c>
      <c r="H649" s="65">
        <v>12213504</v>
      </c>
      <c r="I649" s="65"/>
      <c r="J649" s="66">
        <f t="shared" si="35"/>
        <v>0</v>
      </c>
      <c r="K649" s="67">
        <v>46203</v>
      </c>
      <c r="L649" s="94"/>
    </row>
    <row r="650" spans="1:12" ht="15" customHeight="1" x14ac:dyDescent="0.3">
      <c r="A650" s="59" t="s">
        <v>196</v>
      </c>
      <c r="B650" s="60" t="s">
        <v>999</v>
      </c>
      <c r="C650" s="61" t="s">
        <v>984</v>
      </c>
      <c r="D650" s="62"/>
      <c r="E650" s="63">
        <v>13167000</v>
      </c>
      <c r="F650" s="63">
        <f t="shared" si="33"/>
        <v>1053360</v>
      </c>
      <c r="G650" s="64">
        <f t="shared" si="34"/>
        <v>14220360</v>
      </c>
      <c r="H650" s="65">
        <v>14220360</v>
      </c>
      <c r="I650" s="65"/>
      <c r="J650" s="66">
        <f t="shared" si="35"/>
        <v>0</v>
      </c>
      <c r="K650" s="67">
        <v>46203</v>
      </c>
      <c r="L650" s="94"/>
    </row>
    <row r="651" spans="1:12" ht="15" customHeight="1" x14ac:dyDescent="0.3">
      <c r="A651" s="59" t="s">
        <v>253</v>
      </c>
      <c r="B651" s="60" t="s">
        <v>1000</v>
      </c>
      <c r="C651" s="61" t="s">
        <v>985</v>
      </c>
      <c r="D651" s="62"/>
      <c r="E651" s="63">
        <v>7241000</v>
      </c>
      <c r="F651" s="63">
        <f t="shared" ref="F651:F718" si="36">+E651*0.08</f>
        <v>579280</v>
      </c>
      <c r="G651" s="64">
        <f t="shared" ref="G651:G718" si="37">E651+F651</f>
        <v>7820280</v>
      </c>
      <c r="H651" s="65">
        <v>7820280</v>
      </c>
      <c r="I651" s="65"/>
      <c r="J651" s="66">
        <f t="shared" si="35"/>
        <v>0</v>
      </c>
      <c r="K651" s="67">
        <v>46203</v>
      </c>
      <c r="L651" s="94"/>
    </row>
    <row r="652" spans="1:12" ht="15" customHeight="1" x14ac:dyDescent="0.3">
      <c r="A652" s="59" t="s">
        <v>196</v>
      </c>
      <c r="B652" s="60" t="s">
        <v>1000</v>
      </c>
      <c r="C652" s="61" t="s">
        <v>986</v>
      </c>
      <c r="D652" s="62"/>
      <c r="E652" s="63">
        <v>17370000</v>
      </c>
      <c r="F652" s="63">
        <f t="shared" si="36"/>
        <v>1389600</v>
      </c>
      <c r="G652" s="64">
        <f t="shared" si="37"/>
        <v>18759600</v>
      </c>
      <c r="H652" s="65">
        <v>18759600</v>
      </c>
      <c r="I652" s="65"/>
      <c r="J652" s="66">
        <f t="shared" si="35"/>
        <v>0</v>
      </c>
      <c r="K652" s="67">
        <v>46203</v>
      </c>
      <c r="L652" s="94"/>
    </row>
    <row r="653" spans="1:12" ht="15" customHeight="1" x14ac:dyDescent="0.3">
      <c r="A653" s="59" t="s">
        <v>203</v>
      </c>
      <c r="B653" s="60" t="s">
        <v>1000</v>
      </c>
      <c r="C653" s="61" t="s">
        <v>987</v>
      </c>
      <c r="D653" s="62"/>
      <c r="E653" s="63">
        <v>15420000</v>
      </c>
      <c r="F653" s="63">
        <f t="shared" si="36"/>
        <v>1233600</v>
      </c>
      <c r="G653" s="64">
        <f t="shared" si="37"/>
        <v>16653600</v>
      </c>
      <c r="H653" s="65">
        <v>16653600</v>
      </c>
      <c r="I653" s="65"/>
      <c r="J653" s="66">
        <f t="shared" si="35"/>
        <v>0</v>
      </c>
      <c r="K653" s="67">
        <v>46203</v>
      </c>
      <c r="L653" s="94"/>
    </row>
    <row r="654" spans="1:12" ht="15" customHeight="1" x14ac:dyDescent="0.3">
      <c r="A654" s="59" t="s">
        <v>253</v>
      </c>
      <c r="B654" s="60" t="s">
        <v>1000</v>
      </c>
      <c r="C654" s="61" t="s">
        <v>988</v>
      </c>
      <c r="D654" s="62"/>
      <c r="E654" s="63">
        <v>6180000</v>
      </c>
      <c r="F654" s="63">
        <f t="shared" si="36"/>
        <v>494400</v>
      </c>
      <c r="G654" s="64">
        <f t="shared" si="37"/>
        <v>6674400</v>
      </c>
      <c r="H654" s="65">
        <v>6674400</v>
      </c>
      <c r="I654" s="65"/>
      <c r="J654" s="66">
        <f t="shared" si="35"/>
        <v>0</v>
      </c>
      <c r="K654" s="67">
        <v>46203</v>
      </c>
      <c r="L654" s="94"/>
    </row>
    <row r="655" spans="1:12" ht="15" customHeight="1" x14ac:dyDescent="0.3">
      <c r="A655" s="59" t="s">
        <v>196</v>
      </c>
      <c r="B655" s="60" t="s">
        <v>1001</v>
      </c>
      <c r="C655" s="61" t="s">
        <v>989</v>
      </c>
      <c r="D655" s="62"/>
      <c r="E655" s="63">
        <v>22611900</v>
      </c>
      <c r="F655" s="63">
        <f t="shared" si="36"/>
        <v>1808952</v>
      </c>
      <c r="G655" s="64">
        <f t="shared" si="37"/>
        <v>24420852</v>
      </c>
      <c r="H655" s="64">
        <v>24420852</v>
      </c>
      <c r="I655" s="65"/>
      <c r="J655" s="66">
        <f t="shared" si="35"/>
        <v>0</v>
      </c>
      <c r="K655" s="67">
        <v>46203</v>
      </c>
      <c r="L655" s="94"/>
    </row>
    <row r="656" spans="1:12" ht="15" customHeight="1" x14ac:dyDescent="0.3">
      <c r="A656" s="59" t="s">
        <v>196</v>
      </c>
      <c r="B656" s="60" t="s">
        <v>1002</v>
      </c>
      <c r="C656" s="62" t="s">
        <v>990</v>
      </c>
      <c r="D656" s="62"/>
      <c r="E656" s="63">
        <v>2040000</v>
      </c>
      <c r="F656" s="63">
        <f t="shared" si="36"/>
        <v>163200</v>
      </c>
      <c r="G656" s="64">
        <f t="shared" si="37"/>
        <v>2203200</v>
      </c>
      <c r="H656" s="65">
        <v>2203200</v>
      </c>
      <c r="I656" s="65"/>
      <c r="J656" s="66">
        <f t="shared" si="35"/>
        <v>0</v>
      </c>
      <c r="K656" s="67">
        <v>46203</v>
      </c>
      <c r="L656" s="94"/>
    </row>
    <row r="657" spans="1:12" ht="15" customHeight="1" x14ac:dyDescent="0.3">
      <c r="A657" s="59" t="s">
        <v>196</v>
      </c>
      <c r="B657" s="60" t="s">
        <v>1003</v>
      </c>
      <c r="C657" s="61" t="s">
        <v>991</v>
      </c>
      <c r="D657" s="62"/>
      <c r="E657" s="63">
        <v>14306000</v>
      </c>
      <c r="F657" s="63">
        <f t="shared" si="36"/>
        <v>1144480</v>
      </c>
      <c r="G657" s="64">
        <f t="shared" si="37"/>
        <v>15450480</v>
      </c>
      <c r="H657" s="65">
        <v>15450480</v>
      </c>
      <c r="I657" s="65"/>
      <c r="J657" s="66">
        <f t="shared" si="35"/>
        <v>0</v>
      </c>
      <c r="K657" s="67">
        <v>46203</v>
      </c>
      <c r="L657" s="94"/>
    </row>
    <row r="658" spans="1:12" ht="15" customHeight="1" x14ac:dyDescent="0.3">
      <c r="A658" s="59" t="s">
        <v>196</v>
      </c>
      <c r="B658" s="60" t="s">
        <v>1003</v>
      </c>
      <c r="C658" s="61" t="s">
        <v>992</v>
      </c>
      <c r="D658" s="62"/>
      <c r="E658" s="63">
        <v>20475000</v>
      </c>
      <c r="F658" s="63">
        <f t="shared" si="36"/>
        <v>1638000</v>
      </c>
      <c r="G658" s="64">
        <f t="shared" si="37"/>
        <v>22113000</v>
      </c>
      <c r="H658" s="65">
        <v>22113000</v>
      </c>
      <c r="I658" s="65"/>
      <c r="J658" s="66">
        <f t="shared" si="35"/>
        <v>0</v>
      </c>
      <c r="K658" s="67">
        <v>46203</v>
      </c>
      <c r="L658" s="94"/>
    </row>
    <row r="659" spans="1:12" ht="15" customHeight="1" x14ac:dyDescent="0.3">
      <c r="A659" s="59" t="s">
        <v>196</v>
      </c>
      <c r="B659" s="60" t="s">
        <v>1003</v>
      </c>
      <c r="C659" s="61" t="s">
        <v>993</v>
      </c>
      <c r="D659" s="62"/>
      <c r="E659" s="63">
        <v>5360000</v>
      </c>
      <c r="F659" s="63">
        <f t="shared" si="36"/>
        <v>428800</v>
      </c>
      <c r="G659" s="64">
        <f t="shared" si="37"/>
        <v>5788800</v>
      </c>
      <c r="H659" s="65">
        <v>5788800</v>
      </c>
      <c r="I659" s="65"/>
      <c r="J659" s="66">
        <f t="shared" si="35"/>
        <v>0</v>
      </c>
      <c r="K659" s="67">
        <v>46203</v>
      </c>
      <c r="L659" s="94"/>
    </row>
    <row r="660" spans="1:12" ht="15" customHeight="1" x14ac:dyDescent="0.3">
      <c r="A660" s="59" t="s">
        <v>196</v>
      </c>
      <c r="B660" s="60" t="s">
        <v>1003</v>
      </c>
      <c r="C660" s="61" t="s">
        <v>994</v>
      </c>
      <c r="D660" s="62"/>
      <c r="E660" s="63">
        <v>1005000</v>
      </c>
      <c r="F660" s="63">
        <f t="shared" si="36"/>
        <v>80400</v>
      </c>
      <c r="G660" s="64">
        <f t="shared" si="37"/>
        <v>1085400</v>
      </c>
      <c r="H660" s="65">
        <v>1085400</v>
      </c>
      <c r="I660" s="65"/>
      <c r="J660" s="66">
        <f t="shared" si="35"/>
        <v>0</v>
      </c>
      <c r="K660" s="67">
        <v>46203</v>
      </c>
      <c r="L660" s="94"/>
    </row>
    <row r="661" spans="1:12" ht="15" customHeight="1" x14ac:dyDescent="0.3">
      <c r="A661" s="59" t="s">
        <v>203</v>
      </c>
      <c r="B661" s="60" t="s">
        <v>1010</v>
      </c>
      <c r="C661" s="61" t="s">
        <v>1004</v>
      </c>
      <c r="D661" s="62"/>
      <c r="E661" s="63">
        <v>3240000</v>
      </c>
      <c r="F661" s="63">
        <f t="shared" si="36"/>
        <v>259200</v>
      </c>
      <c r="G661" s="64">
        <f t="shared" si="37"/>
        <v>3499200</v>
      </c>
      <c r="H661" s="65">
        <v>3499200</v>
      </c>
      <c r="I661" s="65"/>
      <c r="J661" s="66">
        <f t="shared" si="35"/>
        <v>0</v>
      </c>
      <c r="K661" s="67">
        <v>46203</v>
      </c>
      <c r="L661" s="94"/>
    </row>
    <row r="662" spans="1:12" ht="15" customHeight="1" x14ac:dyDescent="0.3">
      <c r="A662" s="59" t="s">
        <v>196</v>
      </c>
      <c r="B662" s="60" t="s">
        <v>1010</v>
      </c>
      <c r="C662" s="61" t="s">
        <v>1005</v>
      </c>
      <c r="D662" s="62"/>
      <c r="E662" s="63">
        <v>1620000</v>
      </c>
      <c r="F662" s="63">
        <f t="shared" si="36"/>
        <v>129600</v>
      </c>
      <c r="G662" s="64">
        <f t="shared" si="37"/>
        <v>1749600</v>
      </c>
      <c r="H662" s="65">
        <v>1749600</v>
      </c>
      <c r="I662" s="65"/>
      <c r="J662" s="66">
        <f t="shared" si="35"/>
        <v>0</v>
      </c>
      <c r="K662" s="67">
        <v>46203</v>
      </c>
      <c r="L662" s="94"/>
    </row>
    <row r="663" spans="1:12" ht="15" customHeight="1" x14ac:dyDescent="0.3">
      <c r="A663" s="59" t="s">
        <v>253</v>
      </c>
      <c r="B663" s="60" t="s">
        <v>1010</v>
      </c>
      <c r="C663" s="61" t="s">
        <v>1006</v>
      </c>
      <c r="D663" s="62"/>
      <c r="E663" s="63">
        <v>4050000</v>
      </c>
      <c r="F663" s="63">
        <f t="shared" si="36"/>
        <v>324000</v>
      </c>
      <c r="G663" s="64">
        <f t="shared" si="37"/>
        <v>4374000</v>
      </c>
      <c r="H663" s="65">
        <v>4374000</v>
      </c>
      <c r="I663" s="65"/>
      <c r="J663" s="66">
        <f t="shared" si="35"/>
        <v>0</v>
      </c>
      <c r="K663" s="67">
        <v>46203</v>
      </c>
      <c r="L663" s="94"/>
    </row>
    <row r="664" spans="1:12" ht="15" customHeight="1" x14ac:dyDescent="0.3">
      <c r="A664" s="59" t="s">
        <v>253</v>
      </c>
      <c r="B664" s="60" t="s">
        <v>1011</v>
      </c>
      <c r="C664" s="61" t="s">
        <v>1007</v>
      </c>
      <c r="D664" s="62"/>
      <c r="E664" s="63">
        <v>19575000</v>
      </c>
      <c r="F664" s="63">
        <f t="shared" si="36"/>
        <v>1566000</v>
      </c>
      <c r="G664" s="64">
        <f t="shared" si="37"/>
        <v>21141000</v>
      </c>
      <c r="H664" s="65">
        <v>21141000</v>
      </c>
      <c r="I664" s="65"/>
      <c r="J664" s="66">
        <f t="shared" si="35"/>
        <v>0</v>
      </c>
      <c r="K664" s="67">
        <v>46203</v>
      </c>
      <c r="L664" s="94"/>
    </row>
    <row r="665" spans="1:12" ht="15" customHeight="1" x14ac:dyDescent="0.3">
      <c r="A665" s="59" t="s">
        <v>196</v>
      </c>
      <c r="B665" s="60" t="s">
        <v>1011</v>
      </c>
      <c r="C665" s="61" t="s">
        <v>1008</v>
      </c>
      <c r="D665" s="62"/>
      <c r="E665" s="63">
        <v>15545000</v>
      </c>
      <c r="F665" s="63">
        <f t="shared" si="36"/>
        <v>1243600</v>
      </c>
      <c r="G665" s="64">
        <f t="shared" si="37"/>
        <v>16788600</v>
      </c>
      <c r="H665" s="65">
        <v>16788600</v>
      </c>
      <c r="I665" s="65"/>
      <c r="J665" s="66">
        <f t="shared" si="35"/>
        <v>0</v>
      </c>
      <c r="K665" s="67">
        <v>46203</v>
      </c>
      <c r="L665" s="94"/>
    </row>
    <row r="666" spans="1:12" ht="15" customHeight="1" x14ac:dyDescent="0.3">
      <c r="A666" s="59" t="s">
        <v>203</v>
      </c>
      <c r="B666" s="60" t="s">
        <v>1012</v>
      </c>
      <c r="C666" s="61" t="s">
        <v>667</v>
      </c>
      <c r="D666" s="62"/>
      <c r="E666" s="63">
        <v>18125000</v>
      </c>
      <c r="F666" s="63">
        <f t="shared" si="36"/>
        <v>1450000</v>
      </c>
      <c r="G666" s="64">
        <f t="shared" si="37"/>
        <v>19575000</v>
      </c>
      <c r="H666" s="65">
        <v>19575000</v>
      </c>
      <c r="I666" s="65"/>
      <c r="J666" s="66">
        <f t="shared" si="35"/>
        <v>0</v>
      </c>
      <c r="K666" s="67">
        <v>46203</v>
      </c>
      <c r="L666" s="94"/>
    </row>
    <row r="667" spans="1:12" ht="15" customHeight="1" x14ac:dyDescent="0.3">
      <c r="A667" s="59" t="s">
        <v>196</v>
      </c>
      <c r="B667" s="60" t="s">
        <v>1013</v>
      </c>
      <c r="C667" s="61" t="s">
        <v>1009</v>
      </c>
      <c r="D667" s="62"/>
      <c r="E667" s="63">
        <v>4860000</v>
      </c>
      <c r="F667" s="63">
        <f t="shared" si="36"/>
        <v>388800</v>
      </c>
      <c r="G667" s="64">
        <f t="shared" si="37"/>
        <v>5248800</v>
      </c>
      <c r="H667" s="65">
        <v>5248800</v>
      </c>
      <c r="I667" s="65"/>
      <c r="J667" s="66">
        <f t="shared" si="35"/>
        <v>0</v>
      </c>
      <c r="K667" s="67">
        <v>46203</v>
      </c>
      <c r="L667" s="94"/>
    </row>
    <row r="668" spans="1:12" ht="15" customHeight="1" x14ac:dyDescent="0.3">
      <c r="A668" s="59" t="s">
        <v>196</v>
      </c>
      <c r="B668" s="60" t="s">
        <v>1063</v>
      </c>
      <c r="C668" s="61" t="s">
        <v>1045</v>
      </c>
      <c r="D668" s="62"/>
      <c r="E668" s="63">
        <v>6140000</v>
      </c>
      <c r="F668" s="63">
        <f t="shared" si="36"/>
        <v>491200</v>
      </c>
      <c r="G668" s="64">
        <f t="shared" si="37"/>
        <v>6631200</v>
      </c>
      <c r="H668" s="65">
        <v>6631200</v>
      </c>
      <c r="I668" s="65"/>
      <c r="J668" s="66">
        <f t="shared" si="35"/>
        <v>0</v>
      </c>
      <c r="K668" s="67">
        <v>46203</v>
      </c>
      <c r="L668" s="94"/>
    </row>
    <row r="669" spans="1:12" ht="15" customHeight="1" x14ac:dyDescent="0.3">
      <c r="A669" s="59" t="s">
        <v>203</v>
      </c>
      <c r="B669" s="60" t="s">
        <v>1064</v>
      </c>
      <c r="C669" s="61" t="s">
        <v>1046</v>
      </c>
      <c r="D669" s="62"/>
      <c r="E669" s="63">
        <v>5925000</v>
      </c>
      <c r="F669" s="63">
        <f t="shared" si="36"/>
        <v>474000</v>
      </c>
      <c r="G669" s="64">
        <f t="shared" si="37"/>
        <v>6399000</v>
      </c>
      <c r="H669" s="65">
        <v>6399000</v>
      </c>
      <c r="I669" s="65"/>
      <c r="J669" s="66">
        <f t="shared" si="35"/>
        <v>0</v>
      </c>
      <c r="K669" s="67">
        <v>46203</v>
      </c>
      <c r="L669" s="94"/>
    </row>
    <row r="670" spans="1:12" ht="15" customHeight="1" x14ac:dyDescent="0.3">
      <c r="A670" s="59" t="s">
        <v>196</v>
      </c>
      <c r="B670" s="60" t="s">
        <v>1064</v>
      </c>
      <c r="C670" s="61" t="s">
        <v>1047</v>
      </c>
      <c r="D670" s="62"/>
      <c r="E670" s="63">
        <v>9050000</v>
      </c>
      <c r="F670" s="63">
        <f t="shared" si="36"/>
        <v>724000</v>
      </c>
      <c r="G670" s="64">
        <f t="shared" si="37"/>
        <v>9774000</v>
      </c>
      <c r="H670" s="65">
        <v>9774000</v>
      </c>
      <c r="I670" s="65"/>
      <c r="J670" s="66">
        <f t="shared" si="35"/>
        <v>0</v>
      </c>
      <c r="K670" s="67">
        <v>46203</v>
      </c>
      <c r="L670" s="94"/>
    </row>
    <row r="671" spans="1:12" ht="15" customHeight="1" x14ac:dyDescent="0.3">
      <c r="A671" s="59" t="s">
        <v>253</v>
      </c>
      <c r="B671" s="60" t="s">
        <v>1064</v>
      </c>
      <c r="C671" s="61" t="s">
        <v>1048</v>
      </c>
      <c r="D671" s="62"/>
      <c r="E671" s="63">
        <v>2685000</v>
      </c>
      <c r="F671" s="63">
        <f t="shared" si="36"/>
        <v>214800</v>
      </c>
      <c r="G671" s="64">
        <f t="shared" si="37"/>
        <v>2899800</v>
      </c>
      <c r="H671" s="65">
        <v>2899800</v>
      </c>
      <c r="I671" s="65"/>
      <c r="J671" s="66">
        <f t="shared" si="35"/>
        <v>0</v>
      </c>
      <c r="K671" s="67">
        <v>46203</v>
      </c>
      <c r="L671" s="94"/>
    </row>
    <row r="672" spans="1:12" ht="15" customHeight="1" x14ac:dyDescent="0.3">
      <c r="A672" s="59" t="s">
        <v>253</v>
      </c>
      <c r="B672" s="60" t="s">
        <v>1065</v>
      </c>
      <c r="C672" s="61" t="s">
        <v>1049</v>
      </c>
      <c r="D672" s="62"/>
      <c r="E672" s="63">
        <v>6525000</v>
      </c>
      <c r="F672" s="63">
        <f t="shared" si="36"/>
        <v>522000</v>
      </c>
      <c r="G672" s="64">
        <f t="shared" si="37"/>
        <v>7047000</v>
      </c>
      <c r="H672" s="65">
        <v>7047000</v>
      </c>
      <c r="I672" s="65"/>
      <c r="J672" s="66">
        <f t="shared" si="35"/>
        <v>0</v>
      </c>
      <c r="K672" s="67">
        <v>46203</v>
      </c>
      <c r="L672" s="94"/>
    </row>
    <row r="673" spans="1:13" ht="15" customHeight="1" x14ac:dyDescent="0.3">
      <c r="A673" s="59" t="s">
        <v>203</v>
      </c>
      <c r="B673" s="60" t="s">
        <v>1065</v>
      </c>
      <c r="C673" s="61" t="s">
        <v>1050</v>
      </c>
      <c r="D673" s="62"/>
      <c r="E673" s="63">
        <v>4920000</v>
      </c>
      <c r="F673" s="63">
        <f t="shared" si="36"/>
        <v>393600</v>
      </c>
      <c r="G673" s="64">
        <f t="shared" si="37"/>
        <v>5313600</v>
      </c>
      <c r="H673" s="65">
        <v>5313600</v>
      </c>
      <c r="I673" s="65"/>
      <c r="J673" s="66">
        <f t="shared" si="35"/>
        <v>0</v>
      </c>
      <c r="K673" s="67">
        <v>46203</v>
      </c>
      <c r="L673" s="94"/>
    </row>
    <row r="674" spans="1:13" ht="15" customHeight="1" x14ac:dyDescent="0.3">
      <c r="A674" s="59" t="s">
        <v>203</v>
      </c>
      <c r="B674" s="60" t="s">
        <v>1066</v>
      </c>
      <c r="C674" s="61" t="s">
        <v>1051</v>
      </c>
      <c r="D674" s="62"/>
      <c r="E674" s="63">
        <v>1920000</v>
      </c>
      <c r="F674" s="63">
        <f t="shared" si="36"/>
        <v>153600</v>
      </c>
      <c r="G674" s="64">
        <f t="shared" si="37"/>
        <v>2073600</v>
      </c>
      <c r="H674" s="65">
        <v>2073600</v>
      </c>
      <c r="I674" s="65"/>
      <c r="J674" s="66">
        <f t="shared" si="35"/>
        <v>0</v>
      </c>
      <c r="K674" s="67">
        <v>46203</v>
      </c>
      <c r="L674" s="94"/>
    </row>
    <row r="675" spans="1:13" ht="15" customHeight="1" x14ac:dyDescent="0.3">
      <c r="A675" s="59" t="s">
        <v>196</v>
      </c>
      <c r="B675" s="60" t="s">
        <v>1066</v>
      </c>
      <c r="C675" s="61" t="s">
        <v>1052</v>
      </c>
      <c r="D675" s="62"/>
      <c r="E675" s="63">
        <v>1920000</v>
      </c>
      <c r="F675" s="63">
        <f t="shared" si="36"/>
        <v>153600</v>
      </c>
      <c r="G675" s="64">
        <f t="shared" si="37"/>
        <v>2073600</v>
      </c>
      <c r="H675" s="65">
        <v>2073600</v>
      </c>
      <c r="I675" s="65"/>
      <c r="J675" s="66">
        <f t="shared" si="35"/>
        <v>0</v>
      </c>
      <c r="K675" s="67">
        <v>46203</v>
      </c>
      <c r="L675" s="94"/>
    </row>
    <row r="676" spans="1:13" ht="15" customHeight="1" x14ac:dyDescent="0.3">
      <c r="A676" s="59" t="s">
        <v>196</v>
      </c>
      <c r="B676" s="60">
        <v>46114</v>
      </c>
      <c r="C676" s="62" t="s">
        <v>1053</v>
      </c>
      <c r="D676" s="62" t="s">
        <v>1077</v>
      </c>
      <c r="E676" s="63">
        <v>8960000</v>
      </c>
      <c r="F676" s="63">
        <f t="shared" si="36"/>
        <v>716800</v>
      </c>
      <c r="G676" s="64">
        <f t="shared" si="37"/>
        <v>9676800</v>
      </c>
      <c r="H676" s="65">
        <v>9676800</v>
      </c>
      <c r="I676" s="65"/>
      <c r="J676" s="66">
        <f t="shared" si="35"/>
        <v>0</v>
      </c>
      <c r="K676" s="67">
        <v>46203</v>
      </c>
      <c r="L676" s="94"/>
    </row>
    <row r="677" spans="1:13" ht="15" customHeight="1" x14ac:dyDescent="0.3">
      <c r="A677" s="59" t="s">
        <v>203</v>
      </c>
      <c r="B677" s="60" t="s">
        <v>1067</v>
      </c>
      <c r="C677" s="61" t="s">
        <v>1054</v>
      </c>
      <c r="D677" s="62"/>
      <c r="E677" s="63">
        <v>5885000</v>
      </c>
      <c r="F677" s="63">
        <f t="shared" si="36"/>
        <v>470800</v>
      </c>
      <c r="G677" s="64">
        <f t="shared" si="37"/>
        <v>6355800</v>
      </c>
      <c r="H677" s="65">
        <v>6355800</v>
      </c>
      <c r="I677" s="65"/>
      <c r="J677" s="66">
        <f t="shared" si="35"/>
        <v>0</v>
      </c>
      <c r="K677" s="67">
        <v>46203</v>
      </c>
      <c r="L677" s="94"/>
    </row>
    <row r="678" spans="1:13" ht="15" customHeight="1" x14ac:dyDescent="0.3">
      <c r="A678" s="59" t="s">
        <v>253</v>
      </c>
      <c r="B678" s="60" t="s">
        <v>1067</v>
      </c>
      <c r="C678" s="61" t="s">
        <v>1055</v>
      </c>
      <c r="D678" s="62"/>
      <c r="E678" s="63">
        <v>3000000</v>
      </c>
      <c r="F678" s="63">
        <f t="shared" si="36"/>
        <v>240000</v>
      </c>
      <c r="G678" s="64">
        <f t="shared" si="37"/>
        <v>3240000</v>
      </c>
      <c r="H678" s="65">
        <v>3240000</v>
      </c>
      <c r="I678" s="65"/>
      <c r="J678" s="66">
        <f t="shared" si="35"/>
        <v>0</v>
      </c>
      <c r="K678" s="67">
        <v>46203</v>
      </c>
      <c r="L678" s="94"/>
    </row>
    <row r="679" spans="1:13" ht="15" customHeight="1" x14ac:dyDescent="0.3">
      <c r="A679" s="59" t="s">
        <v>253</v>
      </c>
      <c r="B679" s="60" t="s">
        <v>1068</v>
      </c>
      <c r="C679" s="61" t="s">
        <v>1056</v>
      </c>
      <c r="D679" s="62"/>
      <c r="E679" s="63">
        <v>2490000</v>
      </c>
      <c r="F679" s="63">
        <f t="shared" si="36"/>
        <v>199200</v>
      </c>
      <c r="G679" s="64">
        <f t="shared" si="37"/>
        <v>2689200</v>
      </c>
      <c r="H679" s="65">
        <v>2689200</v>
      </c>
      <c r="I679" s="65"/>
      <c r="J679" s="66">
        <f t="shared" si="35"/>
        <v>0</v>
      </c>
      <c r="K679" s="67">
        <v>46203</v>
      </c>
      <c r="L679" s="94"/>
    </row>
    <row r="680" spans="1:13" ht="15" customHeight="1" x14ac:dyDescent="0.3">
      <c r="A680" s="59" t="s">
        <v>196</v>
      </c>
      <c r="B680" s="60" t="s">
        <v>1068</v>
      </c>
      <c r="C680" s="61" t="s">
        <v>1057</v>
      </c>
      <c r="D680" s="62"/>
      <c r="E680" s="63">
        <v>2625000</v>
      </c>
      <c r="F680" s="63">
        <f t="shared" si="36"/>
        <v>210000</v>
      </c>
      <c r="G680" s="64">
        <f t="shared" si="37"/>
        <v>2835000</v>
      </c>
      <c r="H680" s="65">
        <v>2835000</v>
      </c>
      <c r="I680" s="65"/>
      <c r="J680" s="66">
        <f t="shared" si="35"/>
        <v>0</v>
      </c>
      <c r="K680" s="67">
        <v>46203</v>
      </c>
      <c r="L680" s="94"/>
    </row>
    <row r="681" spans="1:13" ht="15" customHeight="1" x14ac:dyDescent="0.3">
      <c r="A681" s="59" t="s">
        <v>203</v>
      </c>
      <c r="B681" s="60" t="s">
        <v>1068</v>
      </c>
      <c r="C681" s="61" t="s">
        <v>1058</v>
      </c>
      <c r="D681" s="62"/>
      <c r="E681" s="63">
        <v>6965000</v>
      </c>
      <c r="F681" s="63">
        <f t="shared" si="36"/>
        <v>557200</v>
      </c>
      <c r="G681" s="64">
        <f t="shared" si="37"/>
        <v>7522200</v>
      </c>
      <c r="H681" s="65">
        <v>7522200</v>
      </c>
      <c r="I681" s="65"/>
      <c r="J681" s="66">
        <f t="shared" si="35"/>
        <v>0</v>
      </c>
      <c r="K681" s="67">
        <v>46203</v>
      </c>
      <c r="L681" s="94"/>
    </row>
    <row r="682" spans="1:13" ht="15" customHeight="1" x14ac:dyDescent="0.3">
      <c r="A682" s="59" t="s">
        <v>196</v>
      </c>
      <c r="B682" s="60" t="s">
        <v>1069</v>
      </c>
      <c r="C682" s="61" t="s">
        <v>1059</v>
      </c>
      <c r="D682" s="62"/>
      <c r="E682" s="63">
        <v>2820000</v>
      </c>
      <c r="F682" s="63">
        <f t="shared" si="36"/>
        <v>225600</v>
      </c>
      <c r="G682" s="64">
        <f t="shared" si="37"/>
        <v>3045600</v>
      </c>
      <c r="H682" s="65">
        <v>3045600</v>
      </c>
      <c r="I682" s="65"/>
      <c r="J682" s="66">
        <f t="shared" si="35"/>
        <v>0</v>
      </c>
      <c r="K682" s="67">
        <v>46203</v>
      </c>
      <c r="L682" s="94"/>
    </row>
    <row r="683" spans="1:13" ht="15" customHeight="1" x14ac:dyDescent="0.3">
      <c r="A683" s="59" t="s">
        <v>203</v>
      </c>
      <c r="B683" s="60" t="s">
        <v>1069</v>
      </c>
      <c r="C683" s="61" t="s">
        <v>1060</v>
      </c>
      <c r="D683" s="62"/>
      <c r="E683" s="63">
        <v>5040000</v>
      </c>
      <c r="F683" s="63">
        <f t="shared" si="36"/>
        <v>403200</v>
      </c>
      <c r="G683" s="64">
        <f t="shared" si="37"/>
        <v>5443200</v>
      </c>
      <c r="H683" s="65">
        <v>5443200</v>
      </c>
      <c r="I683" s="65"/>
      <c r="J683" s="66">
        <f t="shared" si="35"/>
        <v>0</v>
      </c>
      <c r="K683" s="67">
        <v>46203</v>
      </c>
      <c r="L683" s="94"/>
    </row>
    <row r="684" spans="1:13" ht="15" customHeight="1" x14ac:dyDescent="0.3">
      <c r="A684" s="59" t="s">
        <v>253</v>
      </c>
      <c r="B684" s="60" t="s">
        <v>1069</v>
      </c>
      <c r="C684" s="61" t="s">
        <v>423</v>
      </c>
      <c r="D684" s="62"/>
      <c r="E684" s="63">
        <v>6640000</v>
      </c>
      <c r="F684" s="63">
        <f t="shared" si="36"/>
        <v>531200</v>
      </c>
      <c r="G684" s="64">
        <f t="shared" si="37"/>
        <v>7171200</v>
      </c>
      <c r="H684" s="65">
        <v>7171200</v>
      </c>
      <c r="I684" s="65"/>
      <c r="J684" s="66">
        <f t="shared" si="35"/>
        <v>0</v>
      </c>
      <c r="K684" s="67">
        <v>46203</v>
      </c>
      <c r="L684" s="94"/>
    </row>
    <row r="685" spans="1:13" ht="15" customHeight="1" x14ac:dyDescent="0.3">
      <c r="A685" s="59" t="s">
        <v>203</v>
      </c>
      <c r="B685" s="60" t="s">
        <v>1070</v>
      </c>
      <c r="C685" s="61" t="s">
        <v>1061</v>
      </c>
      <c r="D685" s="62"/>
      <c r="E685" s="63">
        <v>2850000</v>
      </c>
      <c r="F685" s="63">
        <f t="shared" si="36"/>
        <v>228000</v>
      </c>
      <c r="G685" s="64">
        <f t="shared" si="37"/>
        <v>3078000</v>
      </c>
      <c r="H685" s="65">
        <v>3078000</v>
      </c>
      <c r="I685" s="65"/>
      <c r="J685" s="66">
        <f t="shared" si="35"/>
        <v>0</v>
      </c>
      <c r="K685" s="67">
        <v>46203</v>
      </c>
      <c r="L685" s="94"/>
    </row>
    <row r="686" spans="1:13" ht="15" customHeight="1" x14ac:dyDescent="0.3">
      <c r="A686" s="59" t="s">
        <v>196</v>
      </c>
      <c r="B686" s="60" t="s">
        <v>1070</v>
      </c>
      <c r="C686" s="61" t="s">
        <v>113</v>
      </c>
      <c r="D686" s="62"/>
      <c r="E686" s="63">
        <v>640000</v>
      </c>
      <c r="F686" s="63">
        <f t="shared" si="36"/>
        <v>51200</v>
      </c>
      <c r="G686" s="64">
        <f t="shared" si="37"/>
        <v>691200</v>
      </c>
      <c r="H686" s="65">
        <v>691200</v>
      </c>
      <c r="I686" s="65"/>
      <c r="J686" s="66">
        <f t="shared" si="35"/>
        <v>0</v>
      </c>
      <c r="K686" s="67">
        <v>46203</v>
      </c>
      <c r="L686" s="94"/>
    </row>
    <row r="687" spans="1:13" ht="15" customHeight="1" x14ac:dyDescent="0.3">
      <c r="A687" s="59" t="s">
        <v>253</v>
      </c>
      <c r="B687" s="60" t="s">
        <v>1070</v>
      </c>
      <c r="C687" s="61" t="s">
        <v>1062</v>
      </c>
      <c r="D687" s="62"/>
      <c r="E687" s="63">
        <v>1920000</v>
      </c>
      <c r="F687" s="63">
        <f t="shared" si="36"/>
        <v>153600</v>
      </c>
      <c r="G687" s="64">
        <f t="shared" si="37"/>
        <v>2073600</v>
      </c>
      <c r="H687" s="65">
        <v>2073600</v>
      </c>
      <c r="I687" s="65"/>
      <c r="J687" s="66">
        <f t="shared" si="35"/>
        <v>0</v>
      </c>
      <c r="K687" s="67">
        <v>46203</v>
      </c>
      <c r="L687" s="94"/>
    </row>
    <row r="688" spans="1:13" ht="15" customHeight="1" x14ac:dyDescent="0.3">
      <c r="A688" s="59" t="s">
        <v>203</v>
      </c>
      <c r="B688" s="60" t="s">
        <v>1075</v>
      </c>
      <c r="C688" s="62" t="s">
        <v>1071</v>
      </c>
      <c r="D688" s="62"/>
      <c r="E688" s="63">
        <v>-7204800</v>
      </c>
      <c r="F688" s="63">
        <f t="shared" si="36"/>
        <v>-576384</v>
      </c>
      <c r="G688" s="64">
        <f t="shared" si="37"/>
        <v>-7781184</v>
      </c>
      <c r="H688" s="64">
        <v>-7781184</v>
      </c>
      <c r="I688" s="65"/>
      <c r="J688" s="66">
        <f t="shared" si="35"/>
        <v>0</v>
      </c>
      <c r="K688" s="67">
        <v>46203</v>
      </c>
      <c r="L688" s="94"/>
      <c r="M688" s="2" t="s">
        <v>1130</v>
      </c>
    </row>
    <row r="689" spans="1:13" ht="15" customHeight="1" x14ac:dyDescent="0.3">
      <c r="A689" s="59" t="s">
        <v>203</v>
      </c>
      <c r="B689" s="60" t="s">
        <v>1075</v>
      </c>
      <c r="C689" s="62" t="s">
        <v>1072</v>
      </c>
      <c r="D689" s="62"/>
      <c r="E689" s="63">
        <v>-349000</v>
      </c>
      <c r="F689" s="63">
        <f t="shared" si="36"/>
        <v>-27920</v>
      </c>
      <c r="G689" s="64">
        <f t="shared" si="37"/>
        <v>-376920</v>
      </c>
      <c r="H689" s="64">
        <v>-376920</v>
      </c>
      <c r="I689" s="65"/>
      <c r="J689" s="66">
        <f t="shared" si="35"/>
        <v>0</v>
      </c>
      <c r="K689" s="67">
        <v>46203</v>
      </c>
      <c r="L689" s="94"/>
      <c r="M689" s="2" t="s">
        <v>1130</v>
      </c>
    </row>
    <row r="690" spans="1:13" ht="15" customHeight="1" x14ac:dyDescent="0.3">
      <c r="A690" s="59" t="s">
        <v>196</v>
      </c>
      <c r="B690" s="60" t="s">
        <v>1076</v>
      </c>
      <c r="C690" s="62" t="s">
        <v>1073</v>
      </c>
      <c r="D690" s="62"/>
      <c r="E690" s="63">
        <v>-782200</v>
      </c>
      <c r="F690" s="63">
        <f t="shared" si="36"/>
        <v>-62576</v>
      </c>
      <c r="G690" s="64">
        <f t="shared" si="37"/>
        <v>-844776</v>
      </c>
      <c r="H690" s="65">
        <v>-844776</v>
      </c>
      <c r="I690" s="65"/>
      <c r="J690" s="66">
        <f t="shared" si="35"/>
        <v>0</v>
      </c>
      <c r="K690" s="67">
        <v>46203</v>
      </c>
      <c r="L690" s="94"/>
      <c r="M690" s="2" t="s">
        <v>1128</v>
      </c>
    </row>
    <row r="691" spans="1:13" ht="15" customHeight="1" x14ac:dyDescent="0.3">
      <c r="A691" s="59" t="s">
        <v>196</v>
      </c>
      <c r="B691" s="60" t="s">
        <v>1076</v>
      </c>
      <c r="C691" s="62" t="s">
        <v>1074</v>
      </c>
      <c r="D691" s="62"/>
      <c r="E691" s="63">
        <v>-503500</v>
      </c>
      <c r="F691" s="63">
        <f t="shared" si="36"/>
        <v>-40280</v>
      </c>
      <c r="G691" s="64">
        <f t="shared" si="37"/>
        <v>-543780</v>
      </c>
      <c r="H691" s="65">
        <v>-543780</v>
      </c>
      <c r="I691" s="65"/>
      <c r="J691" s="66">
        <f t="shared" si="35"/>
        <v>0</v>
      </c>
      <c r="K691" s="67">
        <v>46203</v>
      </c>
      <c r="L691" s="94"/>
      <c r="M691" s="2" t="s">
        <v>1128</v>
      </c>
    </row>
    <row r="692" spans="1:13" ht="15" customHeight="1" x14ac:dyDescent="0.3">
      <c r="A692" s="59" t="s">
        <v>203</v>
      </c>
      <c r="B692" s="60" t="s">
        <v>1088</v>
      </c>
      <c r="C692" s="61" t="s">
        <v>1078</v>
      </c>
      <c r="D692" s="62"/>
      <c r="E692" s="63">
        <v>3045000</v>
      </c>
      <c r="F692" s="63">
        <f t="shared" si="36"/>
        <v>243600</v>
      </c>
      <c r="G692" s="64">
        <f t="shared" si="37"/>
        <v>3288600</v>
      </c>
      <c r="H692" s="65">
        <v>3288600</v>
      </c>
      <c r="I692" s="65"/>
      <c r="J692" s="66">
        <f t="shared" ref="J692:J754" si="38">G692-H692</f>
        <v>0</v>
      </c>
      <c r="K692" s="67">
        <v>46203</v>
      </c>
      <c r="L692" s="94"/>
    </row>
    <row r="693" spans="1:13" ht="15" customHeight="1" x14ac:dyDescent="0.3">
      <c r="A693" s="59" t="s">
        <v>196</v>
      </c>
      <c r="B693" s="60" t="s">
        <v>1088</v>
      </c>
      <c r="C693" s="61" t="s">
        <v>1079</v>
      </c>
      <c r="D693" s="62"/>
      <c r="E693" s="63">
        <v>5120000</v>
      </c>
      <c r="F693" s="63">
        <f t="shared" si="36"/>
        <v>409600</v>
      </c>
      <c r="G693" s="64">
        <f t="shared" si="37"/>
        <v>5529600</v>
      </c>
      <c r="H693" s="65">
        <v>5529600</v>
      </c>
      <c r="I693" s="65"/>
      <c r="J693" s="66">
        <f t="shared" si="38"/>
        <v>0</v>
      </c>
      <c r="K693" s="67">
        <v>46203</v>
      </c>
      <c r="L693" s="94"/>
    </row>
    <row r="694" spans="1:13" ht="15" customHeight="1" x14ac:dyDescent="0.3">
      <c r="A694" s="59" t="s">
        <v>203</v>
      </c>
      <c r="B694" s="60" t="s">
        <v>1089</v>
      </c>
      <c r="C694" s="62" t="s">
        <v>1080</v>
      </c>
      <c r="D694" s="62"/>
      <c r="E694" s="63">
        <v>1005000</v>
      </c>
      <c r="F694" s="63">
        <f t="shared" si="36"/>
        <v>80400</v>
      </c>
      <c r="G694" s="64">
        <f t="shared" si="37"/>
        <v>1085400</v>
      </c>
      <c r="H694" s="65">
        <v>1085400</v>
      </c>
      <c r="I694" s="65"/>
      <c r="J694" s="66">
        <f t="shared" si="38"/>
        <v>0</v>
      </c>
      <c r="K694" s="67">
        <v>46203</v>
      </c>
      <c r="L694" s="94"/>
    </row>
    <row r="695" spans="1:13" ht="15" customHeight="1" x14ac:dyDescent="0.3">
      <c r="A695" s="59" t="s">
        <v>196</v>
      </c>
      <c r="B695" s="60" t="s">
        <v>1089</v>
      </c>
      <c r="C695" s="61" t="s">
        <v>1081</v>
      </c>
      <c r="D695" s="62"/>
      <c r="E695" s="63">
        <v>9080000</v>
      </c>
      <c r="F695" s="63">
        <f t="shared" si="36"/>
        <v>726400</v>
      </c>
      <c r="G695" s="64">
        <f t="shared" si="37"/>
        <v>9806400</v>
      </c>
      <c r="H695" s="65">
        <v>9806400</v>
      </c>
      <c r="I695" s="65"/>
      <c r="J695" s="66">
        <f t="shared" si="38"/>
        <v>0</v>
      </c>
      <c r="K695" s="67">
        <v>46203</v>
      </c>
      <c r="L695" s="94"/>
    </row>
    <row r="696" spans="1:13" ht="15" customHeight="1" x14ac:dyDescent="0.3">
      <c r="A696" s="59" t="s">
        <v>203</v>
      </c>
      <c r="B696" s="60" t="s">
        <v>1090</v>
      </c>
      <c r="C696" s="62" t="s">
        <v>1082</v>
      </c>
      <c r="D696" s="62"/>
      <c r="E696" s="63">
        <v>3690000</v>
      </c>
      <c r="F696" s="63">
        <f t="shared" si="36"/>
        <v>295200</v>
      </c>
      <c r="G696" s="64">
        <f t="shared" si="37"/>
        <v>3985200</v>
      </c>
      <c r="H696" s="65">
        <v>3985200</v>
      </c>
      <c r="I696" s="65"/>
      <c r="J696" s="66">
        <f t="shared" si="38"/>
        <v>0</v>
      </c>
      <c r="K696" s="67">
        <v>46203</v>
      </c>
      <c r="L696" s="94"/>
    </row>
    <row r="697" spans="1:13" ht="15" customHeight="1" x14ac:dyDescent="0.3">
      <c r="A697" s="59" t="s">
        <v>253</v>
      </c>
      <c r="B697" s="60" t="s">
        <v>1090</v>
      </c>
      <c r="C697" s="62" t="s">
        <v>1083</v>
      </c>
      <c r="D697" s="62"/>
      <c r="E697" s="63">
        <v>3540000</v>
      </c>
      <c r="F697" s="63">
        <f t="shared" si="36"/>
        <v>283200</v>
      </c>
      <c r="G697" s="64">
        <f t="shared" si="37"/>
        <v>3823200</v>
      </c>
      <c r="H697" s="65">
        <v>3823200</v>
      </c>
      <c r="I697" s="65"/>
      <c r="J697" s="66">
        <f t="shared" si="38"/>
        <v>0</v>
      </c>
      <c r="K697" s="67">
        <v>46203</v>
      </c>
      <c r="L697" s="94"/>
    </row>
    <row r="698" spans="1:13" ht="15" customHeight="1" x14ac:dyDescent="0.3">
      <c r="A698" s="59" t="s">
        <v>203</v>
      </c>
      <c r="B698" s="60" t="s">
        <v>1091</v>
      </c>
      <c r="C698" s="62" t="s">
        <v>1084</v>
      </c>
      <c r="D698" s="62"/>
      <c r="E698" s="63">
        <v>3690000</v>
      </c>
      <c r="F698" s="63">
        <f t="shared" si="36"/>
        <v>295200</v>
      </c>
      <c r="G698" s="64">
        <f t="shared" si="37"/>
        <v>3985200</v>
      </c>
      <c r="H698" s="65">
        <v>3985200</v>
      </c>
      <c r="I698" s="65"/>
      <c r="J698" s="66">
        <f t="shared" si="38"/>
        <v>0</v>
      </c>
      <c r="K698" s="67">
        <v>46203</v>
      </c>
      <c r="L698" s="94"/>
    </row>
    <row r="699" spans="1:13" ht="15" customHeight="1" x14ac:dyDescent="0.3">
      <c r="A699" s="59" t="s">
        <v>253</v>
      </c>
      <c r="B699" s="60" t="s">
        <v>1091</v>
      </c>
      <c r="C699" s="62" t="s">
        <v>262</v>
      </c>
      <c r="D699" s="62"/>
      <c r="E699" s="63">
        <v>1005000</v>
      </c>
      <c r="F699" s="63">
        <f t="shared" si="36"/>
        <v>80400</v>
      </c>
      <c r="G699" s="64">
        <f t="shared" si="37"/>
        <v>1085400</v>
      </c>
      <c r="H699" s="65">
        <v>1085400</v>
      </c>
      <c r="I699" s="65"/>
      <c r="J699" s="66">
        <f t="shared" si="38"/>
        <v>0</v>
      </c>
      <c r="K699" s="67">
        <v>46203</v>
      </c>
      <c r="L699" s="94"/>
    </row>
    <row r="700" spans="1:13" ht="15" customHeight="1" x14ac:dyDescent="0.3">
      <c r="A700" s="59" t="s">
        <v>203</v>
      </c>
      <c r="B700" s="60" t="s">
        <v>1092</v>
      </c>
      <c r="C700" s="61" t="s">
        <v>1085</v>
      </c>
      <c r="D700" s="62"/>
      <c r="E700" s="63">
        <v>1040000</v>
      </c>
      <c r="F700" s="63">
        <f t="shared" si="36"/>
        <v>83200</v>
      </c>
      <c r="G700" s="64">
        <f t="shared" si="37"/>
        <v>1123200</v>
      </c>
      <c r="H700" s="65">
        <v>1123200</v>
      </c>
      <c r="I700" s="65"/>
      <c r="J700" s="66">
        <f t="shared" si="38"/>
        <v>0</v>
      </c>
      <c r="K700" s="67">
        <v>46203</v>
      </c>
      <c r="L700" s="94"/>
    </row>
    <row r="701" spans="1:13" ht="15" customHeight="1" x14ac:dyDescent="0.3">
      <c r="A701" s="59" t="s">
        <v>196</v>
      </c>
      <c r="B701" s="60" t="s">
        <v>1092</v>
      </c>
      <c r="C701" s="62" t="s">
        <v>1086</v>
      </c>
      <c r="D701" s="62"/>
      <c r="E701" s="63">
        <v>5015000</v>
      </c>
      <c r="F701" s="63">
        <f t="shared" si="36"/>
        <v>401200</v>
      </c>
      <c r="G701" s="64">
        <f t="shared" si="37"/>
        <v>5416200</v>
      </c>
      <c r="H701" s="65">
        <v>5416200</v>
      </c>
      <c r="I701" s="65"/>
      <c r="J701" s="66">
        <f t="shared" si="38"/>
        <v>0</v>
      </c>
      <c r="K701" s="67">
        <v>46203</v>
      </c>
      <c r="L701" s="94"/>
    </row>
    <row r="702" spans="1:13" ht="15" customHeight="1" x14ac:dyDescent="0.3">
      <c r="A702" s="59" t="s">
        <v>203</v>
      </c>
      <c r="B702" s="60" t="s">
        <v>1093</v>
      </c>
      <c r="C702" s="61" t="s">
        <v>1087</v>
      </c>
      <c r="D702" s="62"/>
      <c r="E702" s="63">
        <v>2855000</v>
      </c>
      <c r="F702" s="63">
        <f t="shared" si="36"/>
        <v>228400</v>
      </c>
      <c r="G702" s="64">
        <f t="shared" si="37"/>
        <v>3083400</v>
      </c>
      <c r="H702" s="65">
        <v>3083400</v>
      </c>
      <c r="I702" s="65"/>
      <c r="J702" s="66">
        <f t="shared" si="38"/>
        <v>0</v>
      </c>
      <c r="K702" s="67">
        <v>46203</v>
      </c>
      <c r="L702" s="94"/>
    </row>
    <row r="703" spans="1:13" ht="15" customHeight="1" x14ac:dyDescent="0.3">
      <c r="A703" s="59" t="s">
        <v>196</v>
      </c>
      <c r="B703" s="60" t="s">
        <v>1103</v>
      </c>
      <c r="C703" s="61" t="s">
        <v>1094</v>
      </c>
      <c r="D703" s="62"/>
      <c r="E703" s="63">
        <v>7480000</v>
      </c>
      <c r="F703" s="63">
        <f t="shared" si="36"/>
        <v>598400</v>
      </c>
      <c r="G703" s="64">
        <f t="shared" si="37"/>
        <v>8078400</v>
      </c>
      <c r="H703" s="65">
        <v>8078400</v>
      </c>
      <c r="I703" s="65"/>
      <c r="J703" s="66">
        <f t="shared" si="38"/>
        <v>0</v>
      </c>
      <c r="K703" s="67">
        <v>46203</v>
      </c>
      <c r="L703" s="94"/>
    </row>
    <row r="704" spans="1:13" ht="15" customHeight="1" x14ac:dyDescent="0.3">
      <c r="A704" s="59" t="s">
        <v>203</v>
      </c>
      <c r="B704" s="60" t="s">
        <v>1103</v>
      </c>
      <c r="C704" s="61" t="s">
        <v>725</v>
      </c>
      <c r="D704" s="62"/>
      <c r="E704" s="63">
        <v>3690000</v>
      </c>
      <c r="F704" s="63">
        <f t="shared" si="36"/>
        <v>295200</v>
      </c>
      <c r="G704" s="64">
        <f t="shared" si="37"/>
        <v>3985200</v>
      </c>
      <c r="H704" s="65">
        <v>3985200</v>
      </c>
      <c r="I704" s="65"/>
      <c r="J704" s="66">
        <f t="shared" si="38"/>
        <v>0</v>
      </c>
      <c r="K704" s="67">
        <v>46203</v>
      </c>
      <c r="L704" s="94"/>
    </row>
    <row r="705" spans="1:13" ht="15" customHeight="1" x14ac:dyDescent="0.3">
      <c r="A705" s="59" t="s">
        <v>203</v>
      </c>
      <c r="B705" s="60" t="s">
        <v>1104</v>
      </c>
      <c r="C705" s="61" t="s">
        <v>1095</v>
      </c>
      <c r="D705" s="62"/>
      <c r="E705" s="63">
        <v>11160000</v>
      </c>
      <c r="F705" s="63">
        <f t="shared" si="36"/>
        <v>892800</v>
      </c>
      <c r="G705" s="64">
        <f t="shared" si="37"/>
        <v>12052800</v>
      </c>
      <c r="H705" s="65">
        <v>12052800</v>
      </c>
      <c r="I705" s="65"/>
      <c r="J705" s="66">
        <f t="shared" si="38"/>
        <v>0</v>
      </c>
      <c r="K705" s="67">
        <v>46203</v>
      </c>
      <c r="L705" s="94"/>
    </row>
    <row r="706" spans="1:13" ht="15" customHeight="1" x14ac:dyDescent="0.3">
      <c r="A706" s="59" t="s">
        <v>253</v>
      </c>
      <c r="B706" s="60" t="s">
        <v>1104</v>
      </c>
      <c r="C706" s="61" t="s">
        <v>1096</v>
      </c>
      <c r="D706" s="62"/>
      <c r="E706" s="63">
        <v>5085000</v>
      </c>
      <c r="F706" s="63">
        <f t="shared" si="36"/>
        <v>406800</v>
      </c>
      <c r="G706" s="64">
        <f t="shared" si="37"/>
        <v>5491800</v>
      </c>
      <c r="H706" s="65">
        <v>5491800</v>
      </c>
      <c r="I706" s="65"/>
      <c r="J706" s="66">
        <f t="shared" si="38"/>
        <v>0</v>
      </c>
      <c r="K706" s="67">
        <v>46203</v>
      </c>
      <c r="L706" s="94"/>
    </row>
    <row r="707" spans="1:13" ht="15" customHeight="1" x14ac:dyDescent="0.3">
      <c r="A707" s="59" t="s">
        <v>253</v>
      </c>
      <c r="B707" s="60" t="s">
        <v>1105</v>
      </c>
      <c r="C707" s="61" t="s">
        <v>1097</v>
      </c>
      <c r="D707" s="62"/>
      <c r="E707" s="63">
        <v>3045000</v>
      </c>
      <c r="F707" s="63">
        <f t="shared" si="36"/>
        <v>243600</v>
      </c>
      <c r="G707" s="64">
        <f t="shared" si="37"/>
        <v>3288600</v>
      </c>
      <c r="H707" s="65">
        <v>3288600</v>
      </c>
      <c r="I707" s="65"/>
      <c r="J707" s="66">
        <f t="shared" si="38"/>
        <v>0</v>
      </c>
      <c r="K707" s="67">
        <v>46203</v>
      </c>
      <c r="L707" s="94"/>
    </row>
    <row r="708" spans="1:13" ht="15" customHeight="1" x14ac:dyDescent="0.3">
      <c r="A708" s="59" t="s">
        <v>196</v>
      </c>
      <c r="B708" s="60" t="s">
        <v>1105</v>
      </c>
      <c r="C708" s="61" t="s">
        <v>1098</v>
      </c>
      <c r="D708" s="62"/>
      <c r="E708" s="63">
        <v>7090000</v>
      </c>
      <c r="F708" s="63">
        <f t="shared" si="36"/>
        <v>567200</v>
      </c>
      <c r="G708" s="64">
        <f t="shared" si="37"/>
        <v>7657200</v>
      </c>
      <c r="H708" s="65">
        <v>7657200</v>
      </c>
      <c r="I708" s="65"/>
      <c r="J708" s="66">
        <f t="shared" si="38"/>
        <v>0</v>
      </c>
      <c r="K708" s="67">
        <v>46203</v>
      </c>
      <c r="L708" s="94"/>
    </row>
    <row r="709" spans="1:13" ht="15" customHeight="1" x14ac:dyDescent="0.3">
      <c r="A709" s="59" t="s">
        <v>203</v>
      </c>
      <c r="B709" s="60" t="s">
        <v>1105</v>
      </c>
      <c r="C709" s="61" t="s">
        <v>1099</v>
      </c>
      <c r="D709" s="62"/>
      <c r="E709" s="63">
        <v>3390000</v>
      </c>
      <c r="F709" s="63">
        <f t="shared" si="36"/>
        <v>271200</v>
      </c>
      <c r="G709" s="64">
        <f t="shared" si="37"/>
        <v>3661200</v>
      </c>
      <c r="H709" s="65">
        <v>3661200</v>
      </c>
      <c r="I709" s="65"/>
      <c r="J709" s="66">
        <f t="shared" si="38"/>
        <v>0</v>
      </c>
      <c r="K709" s="67">
        <v>46203</v>
      </c>
      <c r="L709" s="94"/>
    </row>
    <row r="710" spans="1:13" ht="15" customHeight="1" x14ac:dyDescent="0.3">
      <c r="A710" s="59" t="s">
        <v>203</v>
      </c>
      <c r="B710" s="60" t="s">
        <v>1106</v>
      </c>
      <c r="C710" s="61" t="s">
        <v>1100</v>
      </c>
      <c r="D710" s="62"/>
      <c r="E710" s="63">
        <v>3930000</v>
      </c>
      <c r="F710" s="63">
        <f t="shared" si="36"/>
        <v>314400</v>
      </c>
      <c r="G710" s="64">
        <f t="shared" si="37"/>
        <v>4244400</v>
      </c>
      <c r="H710" s="65">
        <v>4244400</v>
      </c>
      <c r="I710" s="65"/>
      <c r="J710" s="66">
        <f t="shared" si="38"/>
        <v>0</v>
      </c>
      <c r="K710" s="67">
        <v>46203</v>
      </c>
      <c r="L710" s="94"/>
    </row>
    <row r="711" spans="1:13" ht="15" customHeight="1" x14ac:dyDescent="0.3">
      <c r="A711" s="59" t="s">
        <v>253</v>
      </c>
      <c r="B711" s="60">
        <v>46155</v>
      </c>
      <c r="C711" s="61" t="s">
        <v>1124</v>
      </c>
      <c r="D711" s="62"/>
      <c r="E711" s="63">
        <v>-2556000</v>
      </c>
      <c r="F711" s="63">
        <f t="shared" si="36"/>
        <v>-204480</v>
      </c>
      <c r="G711" s="64">
        <f t="shared" si="37"/>
        <v>-2760480</v>
      </c>
      <c r="H711" s="73">
        <v>-2760480</v>
      </c>
      <c r="I711" s="65"/>
      <c r="J711" s="66">
        <f t="shared" si="38"/>
        <v>0</v>
      </c>
      <c r="K711" s="67">
        <v>46203</v>
      </c>
      <c r="L711" s="94"/>
      <c r="M711" s="2" t="s">
        <v>1128</v>
      </c>
    </row>
    <row r="712" spans="1:13" ht="15" customHeight="1" x14ac:dyDescent="0.3">
      <c r="A712" s="59" t="s">
        <v>253</v>
      </c>
      <c r="B712" s="60">
        <v>46155</v>
      </c>
      <c r="C712" s="61" t="s">
        <v>1125</v>
      </c>
      <c r="D712" s="62"/>
      <c r="E712" s="63">
        <v>-206000</v>
      </c>
      <c r="F712" s="63">
        <f t="shared" si="36"/>
        <v>-16480</v>
      </c>
      <c r="G712" s="64">
        <f t="shared" si="37"/>
        <v>-222480</v>
      </c>
      <c r="H712" s="73">
        <v>-222480</v>
      </c>
      <c r="I712" s="65"/>
      <c r="J712" s="66">
        <f t="shared" si="38"/>
        <v>0</v>
      </c>
      <c r="K712" s="67">
        <v>46203</v>
      </c>
      <c r="L712" s="94"/>
      <c r="M712" s="2" t="s">
        <v>1128</v>
      </c>
    </row>
    <row r="713" spans="1:13" ht="15" customHeight="1" x14ac:dyDescent="0.3">
      <c r="A713" s="59" t="s">
        <v>253</v>
      </c>
      <c r="B713" s="60">
        <v>46155</v>
      </c>
      <c r="C713" s="61" t="s">
        <v>1126</v>
      </c>
      <c r="D713" s="62"/>
      <c r="E713" s="63">
        <v>-3275000</v>
      </c>
      <c r="F713" s="63">
        <f t="shared" si="36"/>
        <v>-262000</v>
      </c>
      <c r="G713" s="64">
        <f t="shared" si="37"/>
        <v>-3537000</v>
      </c>
      <c r="H713" s="73">
        <v>-3537000</v>
      </c>
      <c r="I713" s="65"/>
      <c r="J713" s="66">
        <f t="shared" si="38"/>
        <v>0</v>
      </c>
      <c r="K713" s="67">
        <v>46203</v>
      </c>
      <c r="L713" s="94"/>
      <c r="M713" s="2" t="s">
        <v>1128</v>
      </c>
    </row>
    <row r="714" spans="1:13" ht="15" customHeight="1" x14ac:dyDescent="0.3">
      <c r="A714" s="59" t="s">
        <v>253</v>
      </c>
      <c r="B714" s="60">
        <v>46155</v>
      </c>
      <c r="C714" s="61" t="s">
        <v>1127</v>
      </c>
      <c r="D714" s="62"/>
      <c r="E714" s="63">
        <v>-16619300</v>
      </c>
      <c r="F714" s="63">
        <f t="shared" si="36"/>
        <v>-1329544</v>
      </c>
      <c r="G714" s="64">
        <f t="shared" si="37"/>
        <v>-17948844</v>
      </c>
      <c r="H714" s="73">
        <v>-17948844</v>
      </c>
      <c r="I714" s="65"/>
      <c r="J714" s="66">
        <f t="shared" si="38"/>
        <v>0</v>
      </c>
      <c r="K714" s="67">
        <v>46203</v>
      </c>
      <c r="L714" s="94"/>
      <c r="M714" s="2" t="s">
        <v>1128</v>
      </c>
    </row>
    <row r="715" spans="1:13" ht="15" customHeight="1" x14ac:dyDescent="0.3">
      <c r="A715" s="59" t="s">
        <v>196</v>
      </c>
      <c r="B715" s="60" t="s">
        <v>1107</v>
      </c>
      <c r="C715" s="61" t="s">
        <v>1101</v>
      </c>
      <c r="D715" s="62"/>
      <c r="E715" s="63">
        <v>5840000</v>
      </c>
      <c r="F715" s="63">
        <f t="shared" si="36"/>
        <v>467200</v>
      </c>
      <c r="G715" s="64">
        <f t="shared" si="37"/>
        <v>6307200</v>
      </c>
      <c r="H715" s="65">
        <v>6307200</v>
      </c>
      <c r="I715" s="65"/>
      <c r="J715" s="66">
        <f t="shared" si="38"/>
        <v>0</v>
      </c>
      <c r="K715" s="67">
        <v>46203</v>
      </c>
      <c r="L715" s="94"/>
    </row>
    <row r="716" spans="1:13" ht="15" customHeight="1" x14ac:dyDescent="0.3">
      <c r="A716" s="59" t="s">
        <v>203</v>
      </c>
      <c r="B716" s="60" t="s">
        <v>1107</v>
      </c>
      <c r="C716" s="61" t="s">
        <v>1102</v>
      </c>
      <c r="D716" s="62"/>
      <c r="E716" s="63">
        <v>1005000</v>
      </c>
      <c r="F716" s="63">
        <f t="shared" si="36"/>
        <v>80400</v>
      </c>
      <c r="G716" s="64">
        <f t="shared" si="37"/>
        <v>1085400</v>
      </c>
      <c r="H716" s="65">
        <v>1085400</v>
      </c>
      <c r="I716" s="65"/>
      <c r="J716" s="66">
        <f t="shared" si="38"/>
        <v>0</v>
      </c>
      <c r="K716" s="67">
        <v>46203</v>
      </c>
      <c r="L716" s="94"/>
    </row>
    <row r="717" spans="1:13" ht="15" customHeight="1" x14ac:dyDescent="0.3">
      <c r="A717" s="59" t="s">
        <v>253</v>
      </c>
      <c r="B717" s="60" t="s">
        <v>1119</v>
      </c>
      <c r="C717" s="62" t="s">
        <v>1108</v>
      </c>
      <c r="D717" s="62"/>
      <c r="E717" s="63">
        <v>1920000</v>
      </c>
      <c r="F717" s="63">
        <f t="shared" si="36"/>
        <v>153600</v>
      </c>
      <c r="G717" s="64">
        <f t="shared" si="37"/>
        <v>2073600</v>
      </c>
      <c r="H717" s="65">
        <v>2073600</v>
      </c>
      <c r="I717" s="65"/>
      <c r="J717" s="66">
        <f t="shared" si="38"/>
        <v>0</v>
      </c>
      <c r="K717" s="67">
        <v>46203</v>
      </c>
      <c r="L717" s="94"/>
    </row>
    <row r="718" spans="1:13" ht="15" customHeight="1" x14ac:dyDescent="0.3">
      <c r="A718" s="59" t="s">
        <v>196</v>
      </c>
      <c r="B718" s="60" t="s">
        <v>1119</v>
      </c>
      <c r="C718" s="62" t="s">
        <v>1109</v>
      </c>
      <c r="D718" s="62"/>
      <c r="E718" s="63">
        <v>3770000</v>
      </c>
      <c r="F718" s="63">
        <f t="shared" si="36"/>
        <v>301600</v>
      </c>
      <c r="G718" s="64">
        <f t="shared" si="37"/>
        <v>4071600</v>
      </c>
      <c r="H718" s="65">
        <v>4071600</v>
      </c>
      <c r="I718" s="65"/>
      <c r="J718" s="66">
        <f t="shared" si="38"/>
        <v>0</v>
      </c>
      <c r="K718" s="67">
        <v>46203</v>
      </c>
      <c r="L718" s="94"/>
    </row>
    <row r="719" spans="1:13" ht="15" customHeight="1" x14ac:dyDescent="0.3">
      <c r="A719" s="59" t="s">
        <v>253</v>
      </c>
      <c r="B719" s="60" t="s">
        <v>1120</v>
      </c>
      <c r="C719" s="62" t="s">
        <v>1110</v>
      </c>
      <c r="D719" s="62"/>
      <c r="E719" s="63">
        <v>3520000</v>
      </c>
      <c r="F719" s="63">
        <f t="shared" ref="F719:F777" si="39">+E719*0.08</f>
        <v>281600</v>
      </c>
      <c r="G719" s="64">
        <f t="shared" ref="G719" si="40">E719+F719</f>
        <v>3801600</v>
      </c>
      <c r="H719" s="65">
        <v>3801600</v>
      </c>
      <c r="I719" s="65"/>
      <c r="J719" s="66">
        <f t="shared" si="38"/>
        <v>0</v>
      </c>
      <c r="K719" s="67">
        <v>46203</v>
      </c>
      <c r="L719" s="94"/>
    </row>
    <row r="720" spans="1:13" ht="15" customHeight="1" x14ac:dyDescent="0.3">
      <c r="A720" s="59" t="s">
        <v>203</v>
      </c>
      <c r="B720" s="60" t="s">
        <v>1120</v>
      </c>
      <c r="C720" s="62" t="s">
        <v>1111</v>
      </c>
      <c r="D720" s="62"/>
      <c r="E720" s="63">
        <v>3810000</v>
      </c>
      <c r="F720" s="63">
        <f t="shared" si="39"/>
        <v>304800</v>
      </c>
      <c r="G720" s="64">
        <f t="shared" ref="G720:G777" si="41">E720+F720</f>
        <v>4114800</v>
      </c>
      <c r="H720" s="65">
        <v>4114800</v>
      </c>
      <c r="I720" s="65"/>
      <c r="J720" s="66">
        <f t="shared" si="38"/>
        <v>0</v>
      </c>
      <c r="K720" s="67">
        <v>46203</v>
      </c>
      <c r="L720" s="94"/>
    </row>
    <row r="721" spans="1:13" ht="15" customHeight="1" x14ac:dyDescent="0.3">
      <c r="A721" s="59" t="s">
        <v>196</v>
      </c>
      <c r="B721" s="60" t="s">
        <v>1120</v>
      </c>
      <c r="C721" s="62" t="s">
        <v>1112</v>
      </c>
      <c r="D721" s="62"/>
      <c r="E721" s="63">
        <v>1005000</v>
      </c>
      <c r="F721" s="63">
        <f t="shared" si="39"/>
        <v>80400</v>
      </c>
      <c r="G721" s="64">
        <f t="shared" si="41"/>
        <v>1085400</v>
      </c>
      <c r="H721" s="65">
        <v>1085400</v>
      </c>
      <c r="I721" s="65"/>
      <c r="J721" s="66">
        <f t="shared" si="38"/>
        <v>0</v>
      </c>
      <c r="K721" s="67">
        <v>46203</v>
      </c>
      <c r="L721" s="94"/>
    </row>
    <row r="722" spans="1:13" ht="15" customHeight="1" x14ac:dyDescent="0.3">
      <c r="A722" s="59" t="s">
        <v>203</v>
      </c>
      <c r="B722" s="60" t="s">
        <v>1121</v>
      </c>
      <c r="C722" s="61" t="s">
        <v>1113</v>
      </c>
      <c r="D722" s="62"/>
      <c r="E722" s="63">
        <v>2000000</v>
      </c>
      <c r="F722" s="63">
        <f t="shared" si="39"/>
        <v>160000</v>
      </c>
      <c r="G722" s="64">
        <f t="shared" si="41"/>
        <v>2160000</v>
      </c>
      <c r="H722" s="65">
        <v>2160000</v>
      </c>
      <c r="I722" s="65"/>
      <c r="J722" s="66">
        <f t="shared" si="38"/>
        <v>0</v>
      </c>
      <c r="K722" s="67">
        <v>46218</v>
      </c>
      <c r="L722" s="94"/>
    </row>
    <row r="723" spans="1:13" ht="15" customHeight="1" x14ac:dyDescent="0.3">
      <c r="A723" s="59" t="s">
        <v>203</v>
      </c>
      <c r="B723" s="60" t="s">
        <v>1122</v>
      </c>
      <c r="C723" s="61" t="s">
        <v>761</v>
      </c>
      <c r="D723" s="62"/>
      <c r="E723" s="63">
        <v>7745000</v>
      </c>
      <c r="F723" s="63">
        <f t="shared" si="39"/>
        <v>619600</v>
      </c>
      <c r="G723" s="64">
        <f t="shared" si="41"/>
        <v>8364600</v>
      </c>
      <c r="H723" s="65">
        <v>8364600</v>
      </c>
      <c r="I723" s="65"/>
      <c r="J723" s="66">
        <f t="shared" si="38"/>
        <v>0</v>
      </c>
      <c r="K723" s="67">
        <v>46218</v>
      </c>
      <c r="L723" s="94"/>
    </row>
    <row r="724" spans="1:13" ht="15" customHeight="1" x14ac:dyDescent="0.3">
      <c r="A724" s="59" t="s">
        <v>253</v>
      </c>
      <c r="B724" s="60" t="s">
        <v>1122</v>
      </c>
      <c r="C724" s="61" t="s">
        <v>1114</v>
      </c>
      <c r="D724" s="62"/>
      <c r="E724" s="63">
        <v>5380000</v>
      </c>
      <c r="F724" s="63">
        <f t="shared" si="39"/>
        <v>430400</v>
      </c>
      <c r="G724" s="64">
        <f t="shared" si="41"/>
        <v>5810400</v>
      </c>
      <c r="H724" s="65">
        <v>5810400</v>
      </c>
      <c r="I724" s="65"/>
      <c r="J724" s="66">
        <f t="shared" si="38"/>
        <v>0</v>
      </c>
      <c r="K724" s="67">
        <v>46218</v>
      </c>
      <c r="L724" s="94"/>
    </row>
    <row r="725" spans="1:13" ht="15" customHeight="1" x14ac:dyDescent="0.3">
      <c r="A725" s="59" t="s">
        <v>196</v>
      </c>
      <c r="B725" s="60" t="s">
        <v>1122</v>
      </c>
      <c r="C725" s="61" t="s">
        <v>1115</v>
      </c>
      <c r="D725" s="62"/>
      <c r="E725" s="63">
        <v>6730000</v>
      </c>
      <c r="F725" s="63">
        <f t="shared" si="39"/>
        <v>538400</v>
      </c>
      <c r="G725" s="64">
        <f t="shared" si="41"/>
        <v>7268400</v>
      </c>
      <c r="H725" s="65">
        <v>7268400</v>
      </c>
      <c r="I725" s="65"/>
      <c r="J725" s="66">
        <f t="shared" si="38"/>
        <v>0</v>
      </c>
      <c r="K725" s="67">
        <v>46218</v>
      </c>
      <c r="L725" s="94"/>
    </row>
    <row r="726" spans="1:13" ht="15" customHeight="1" x14ac:dyDescent="0.3">
      <c r="A726" s="59" t="s">
        <v>253</v>
      </c>
      <c r="B726" s="60" t="s">
        <v>1122</v>
      </c>
      <c r="C726" s="62" t="s">
        <v>1116</v>
      </c>
      <c r="D726" s="62"/>
      <c r="E726" s="63">
        <v>-880650</v>
      </c>
      <c r="F726" s="63">
        <f t="shared" si="39"/>
        <v>-70452</v>
      </c>
      <c r="G726" s="64">
        <f t="shared" si="41"/>
        <v>-951102</v>
      </c>
      <c r="H726" s="73">
        <v>-951102</v>
      </c>
      <c r="I726" s="65"/>
      <c r="J726" s="66">
        <f t="shared" si="38"/>
        <v>0</v>
      </c>
      <c r="K726" s="67">
        <v>46203</v>
      </c>
      <c r="L726" s="94"/>
      <c r="M726" s="2" t="s">
        <v>1131</v>
      </c>
    </row>
    <row r="727" spans="1:13" ht="15" customHeight="1" x14ac:dyDescent="0.3">
      <c r="A727" s="59" t="s">
        <v>253</v>
      </c>
      <c r="B727" s="60">
        <v>46205</v>
      </c>
      <c r="C727" s="62" t="s">
        <v>767</v>
      </c>
      <c r="D727" s="62" t="s">
        <v>1152</v>
      </c>
      <c r="E727" s="63">
        <v>0</v>
      </c>
      <c r="F727" s="63">
        <f t="shared" si="39"/>
        <v>0</v>
      </c>
      <c r="G727" s="64">
        <f t="shared" si="41"/>
        <v>0</v>
      </c>
      <c r="H727" s="65"/>
      <c r="I727" s="65"/>
      <c r="J727" s="66">
        <f t="shared" si="38"/>
        <v>0</v>
      </c>
      <c r="K727" s="67"/>
      <c r="L727" s="94"/>
    </row>
    <row r="728" spans="1:13" ht="15" customHeight="1" x14ac:dyDescent="0.3">
      <c r="A728" s="59" t="s">
        <v>203</v>
      </c>
      <c r="B728" s="60" t="s">
        <v>1123</v>
      </c>
      <c r="C728" s="61" t="s">
        <v>1117</v>
      </c>
      <c r="D728" s="62"/>
      <c r="E728" s="63">
        <v>4590000</v>
      </c>
      <c r="F728" s="63">
        <f t="shared" si="39"/>
        <v>367200</v>
      </c>
      <c r="G728" s="64">
        <f t="shared" si="41"/>
        <v>4957200</v>
      </c>
      <c r="H728" s="65">
        <v>4957200</v>
      </c>
      <c r="I728" s="65"/>
      <c r="J728" s="66">
        <f t="shared" si="38"/>
        <v>0</v>
      </c>
      <c r="K728" s="67">
        <v>46218</v>
      </c>
      <c r="L728" s="94"/>
    </row>
    <row r="729" spans="1:13" ht="15" customHeight="1" x14ac:dyDescent="0.3">
      <c r="A729" s="59" t="s">
        <v>196</v>
      </c>
      <c r="B729" s="60" t="s">
        <v>1123</v>
      </c>
      <c r="C729" s="61" t="s">
        <v>1118</v>
      </c>
      <c r="D729" s="62"/>
      <c r="E729" s="63">
        <v>6370000</v>
      </c>
      <c r="F729" s="63">
        <f t="shared" si="39"/>
        <v>509600</v>
      </c>
      <c r="G729" s="64">
        <f t="shared" si="41"/>
        <v>6879600</v>
      </c>
      <c r="H729" s="65">
        <v>6879600</v>
      </c>
      <c r="I729" s="65"/>
      <c r="J729" s="66">
        <f t="shared" si="38"/>
        <v>0</v>
      </c>
      <c r="K729" s="67">
        <v>46218</v>
      </c>
      <c r="L729" s="94"/>
    </row>
    <row r="730" spans="1:13" ht="15" customHeight="1" x14ac:dyDescent="0.3">
      <c r="A730" s="59" t="s">
        <v>196</v>
      </c>
      <c r="B730" s="60" t="s">
        <v>1147</v>
      </c>
      <c r="C730" s="61" t="s">
        <v>1132</v>
      </c>
      <c r="D730" s="62"/>
      <c r="E730" s="63">
        <v>3600000</v>
      </c>
      <c r="F730" s="63">
        <f t="shared" si="39"/>
        <v>288000</v>
      </c>
      <c r="G730" s="64">
        <f t="shared" si="41"/>
        <v>3888000</v>
      </c>
      <c r="H730" s="65">
        <v>3888000</v>
      </c>
      <c r="I730" s="65"/>
      <c r="J730" s="66">
        <f t="shared" si="38"/>
        <v>0</v>
      </c>
      <c r="K730" s="67">
        <v>46218</v>
      </c>
      <c r="L730" s="94"/>
    </row>
    <row r="731" spans="1:13" ht="15" customHeight="1" x14ac:dyDescent="0.3">
      <c r="A731" s="59" t="s">
        <v>203</v>
      </c>
      <c r="B731" s="60" t="s">
        <v>1147</v>
      </c>
      <c r="C731" s="61" t="s">
        <v>1133</v>
      </c>
      <c r="D731" s="62"/>
      <c r="E731" s="63">
        <v>4695000</v>
      </c>
      <c r="F731" s="63">
        <f t="shared" si="39"/>
        <v>375600</v>
      </c>
      <c r="G731" s="64">
        <f t="shared" si="41"/>
        <v>5070600</v>
      </c>
      <c r="H731" s="65">
        <v>5070600</v>
      </c>
      <c r="I731" s="65"/>
      <c r="J731" s="66">
        <f t="shared" si="38"/>
        <v>0</v>
      </c>
      <c r="K731" s="67"/>
      <c r="L731" s="94">
        <v>46248</v>
      </c>
    </row>
    <row r="732" spans="1:13" ht="15" customHeight="1" x14ac:dyDescent="0.3">
      <c r="A732" s="59" t="s">
        <v>253</v>
      </c>
      <c r="B732" s="60" t="s">
        <v>1147</v>
      </c>
      <c r="C732" s="61" t="s">
        <v>1134</v>
      </c>
      <c r="D732" s="62"/>
      <c r="E732" s="63">
        <v>4620000</v>
      </c>
      <c r="F732" s="63">
        <f t="shared" si="39"/>
        <v>369600</v>
      </c>
      <c r="G732" s="64">
        <f t="shared" si="41"/>
        <v>4989600</v>
      </c>
      <c r="H732" s="65">
        <v>4989600</v>
      </c>
      <c r="I732" s="65"/>
      <c r="J732" s="66">
        <f t="shared" si="38"/>
        <v>0</v>
      </c>
      <c r="K732" s="67">
        <v>46218</v>
      </c>
      <c r="L732" s="94"/>
    </row>
    <row r="733" spans="1:13" ht="15" customHeight="1" x14ac:dyDescent="0.3">
      <c r="A733" s="59" t="s">
        <v>253</v>
      </c>
      <c r="B733" s="60" t="s">
        <v>1148</v>
      </c>
      <c r="C733" s="61" t="s">
        <v>1135</v>
      </c>
      <c r="D733" s="62"/>
      <c r="E733" s="63">
        <v>5810000</v>
      </c>
      <c r="F733" s="63">
        <f t="shared" si="39"/>
        <v>464800</v>
      </c>
      <c r="G733" s="64">
        <f t="shared" si="41"/>
        <v>6274800</v>
      </c>
      <c r="H733" s="65">
        <v>6274800</v>
      </c>
      <c r="I733" s="65"/>
      <c r="J733" s="66">
        <f t="shared" si="38"/>
        <v>0</v>
      </c>
      <c r="K733" s="67">
        <v>46218</v>
      </c>
      <c r="L733" s="94"/>
    </row>
    <row r="734" spans="1:13" ht="15" customHeight="1" x14ac:dyDescent="0.3">
      <c r="A734" s="59" t="s">
        <v>203</v>
      </c>
      <c r="B734" s="60" t="s">
        <v>1148</v>
      </c>
      <c r="C734" s="61" t="s">
        <v>1136</v>
      </c>
      <c r="D734" s="62"/>
      <c r="E734" s="63">
        <v>9935000</v>
      </c>
      <c r="F734" s="63">
        <f t="shared" si="39"/>
        <v>794800</v>
      </c>
      <c r="G734" s="64">
        <f t="shared" si="41"/>
        <v>10729800</v>
      </c>
      <c r="H734" s="65">
        <v>10729800</v>
      </c>
      <c r="I734" s="65"/>
      <c r="J734" s="66">
        <f t="shared" si="38"/>
        <v>0</v>
      </c>
      <c r="K734" s="67">
        <v>46218</v>
      </c>
      <c r="L734" s="94"/>
    </row>
    <row r="735" spans="1:13" ht="15" customHeight="1" x14ac:dyDescent="0.3">
      <c r="A735" s="59" t="s">
        <v>196</v>
      </c>
      <c r="B735" s="60" t="s">
        <v>1148</v>
      </c>
      <c r="C735" s="61" t="s">
        <v>1137</v>
      </c>
      <c r="D735" s="62"/>
      <c r="E735" s="63">
        <v>8655000</v>
      </c>
      <c r="F735" s="63">
        <f t="shared" si="39"/>
        <v>692400</v>
      </c>
      <c r="G735" s="64">
        <f t="shared" si="41"/>
        <v>9347400</v>
      </c>
      <c r="H735" s="65">
        <v>9347400</v>
      </c>
      <c r="I735" s="65"/>
      <c r="J735" s="66">
        <f t="shared" si="38"/>
        <v>0</v>
      </c>
      <c r="K735" s="67">
        <v>46218</v>
      </c>
      <c r="L735" s="94"/>
    </row>
    <row r="736" spans="1:13" ht="15" customHeight="1" x14ac:dyDescent="0.3">
      <c r="A736" s="59" t="s">
        <v>196</v>
      </c>
      <c r="B736" s="60" t="s">
        <v>1149</v>
      </c>
      <c r="C736" s="61" t="s">
        <v>1138</v>
      </c>
      <c r="D736" s="62"/>
      <c r="E736" s="63">
        <v>7165000</v>
      </c>
      <c r="F736" s="63">
        <f t="shared" si="39"/>
        <v>573200</v>
      </c>
      <c r="G736" s="64">
        <f t="shared" si="41"/>
        <v>7738200</v>
      </c>
      <c r="H736" s="65">
        <v>7738200</v>
      </c>
      <c r="I736" s="65"/>
      <c r="J736" s="66">
        <f t="shared" si="38"/>
        <v>0</v>
      </c>
      <c r="K736" s="67">
        <v>46218</v>
      </c>
      <c r="L736" s="94"/>
    </row>
    <row r="737" spans="1:12" ht="15" customHeight="1" x14ac:dyDescent="0.3">
      <c r="A737" s="59" t="s">
        <v>203</v>
      </c>
      <c r="B737" s="60" t="s">
        <v>1149</v>
      </c>
      <c r="C737" s="61" t="s">
        <v>1139</v>
      </c>
      <c r="D737" s="62"/>
      <c r="E737" s="63">
        <v>7815000</v>
      </c>
      <c r="F737" s="63">
        <f t="shared" si="39"/>
        <v>625200</v>
      </c>
      <c r="G737" s="64">
        <f t="shared" si="41"/>
        <v>8440200</v>
      </c>
      <c r="H737" s="65">
        <v>8440200</v>
      </c>
      <c r="I737" s="65"/>
      <c r="J737" s="66">
        <f t="shared" si="38"/>
        <v>0</v>
      </c>
      <c r="K737" s="67">
        <v>46218</v>
      </c>
      <c r="L737" s="94"/>
    </row>
    <row r="738" spans="1:12" ht="15" customHeight="1" x14ac:dyDescent="0.3">
      <c r="A738" s="59" t="s">
        <v>253</v>
      </c>
      <c r="B738" s="60" t="s">
        <v>1149</v>
      </c>
      <c r="C738" s="61" t="s">
        <v>1140</v>
      </c>
      <c r="D738" s="62"/>
      <c r="E738" s="63">
        <v>5410000</v>
      </c>
      <c r="F738" s="63">
        <f t="shared" si="39"/>
        <v>432800</v>
      </c>
      <c r="G738" s="64">
        <f t="shared" si="41"/>
        <v>5842800</v>
      </c>
      <c r="H738" s="65">
        <v>5842800</v>
      </c>
      <c r="I738" s="65"/>
      <c r="J738" s="66">
        <f t="shared" si="38"/>
        <v>0</v>
      </c>
      <c r="K738" s="67">
        <v>46218</v>
      </c>
      <c r="L738" s="94" t="s">
        <v>1187</v>
      </c>
    </row>
    <row r="739" spans="1:12" ht="15" customHeight="1" x14ac:dyDescent="0.3">
      <c r="A739" s="59" t="s">
        <v>253</v>
      </c>
      <c r="B739" s="60" t="s">
        <v>1150</v>
      </c>
      <c r="C739" s="61" t="s">
        <v>1141</v>
      </c>
      <c r="D739" s="62"/>
      <c r="E739" s="63">
        <v>6640000</v>
      </c>
      <c r="F739" s="63">
        <f t="shared" si="39"/>
        <v>531200</v>
      </c>
      <c r="G739" s="64">
        <f t="shared" si="41"/>
        <v>7171200</v>
      </c>
      <c r="H739" s="65">
        <v>7171200</v>
      </c>
      <c r="I739" s="65"/>
      <c r="J739" s="66">
        <f t="shared" si="38"/>
        <v>0</v>
      </c>
      <c r="K739" s="67">
        <v>46218</v>
      </c>
      <c r="L739" s="94" t="s">
        <v>1187</v>
      </c>
    </row>
    <row r="740" spans="1:12" ht="15" customHeight="1" x14ac:dyDescent="0.3">
      <c r="A740" s="59" t="s">
        <v>203</v>
      </c>
      <c r="B740" s="60" t="s">
        <v>1150</v>
      </c>
      <c r="C740" s="61" t="s">
        <v>1142</v>
      </c>
      <c r="D740" s="62"/>
      <c r="E740" s="63">
        <v>6690000</v>
      </c>
      <c r="F740" s="63">
        <f t="shared" si="39"/>
        <v>535200</v>
      </c>
      <c r="G740" s="64">
        <f t="shared" si="41"/>
        <v>7225200</v>
      </c>
      <c r="H740" s="65">
        <v>7225200</v>
      </c>
      <c r="I740" s="65"/>
      <c r="J740" s="66">
        <f t="shared" si="38"/>
        <v>0</v>
      </c>
      <c r="K740" s="67">
        <v>46218</v>
      </c>
      <c r="L740" s="94" t="s">
        <v>1187</v>
      </c>
    </row>
    <row r="741" spans="1:12" ht="15" customHeight="1" x14ac:dyDescent="0.3">
      <c r="A741" s="59" t="s">
        <v>196</v>
      </c>
      <c r="B741" s="60" t="s">
        <v>1150</v>
      </c>
      <c r="C741" s="61" t="s">
        <v>1143</v>
      </c>
      <c r="D741" s="62"/>
      <c r="E741" s="63">
        <v>11310000</v>
      </c>
      <c r="F741" s="63">
        <f t="shared" si="39"/>
        <v>904800</v>
      </c>
      <c r="G741" s="64">
        <f t="shared" si="41"/>
        <v>12214800</v>
      </c>
      <c r="H741" s="65">
        <v>12214800</v>
      </c>
      <c r="I741" s="65"/>
      <c r="J741" s="66">
        <f t="shared" si="38"/>
        <v>0</v>
      </c>
      <c r="K741" s="67">
        <v>46218</v>
      </c>
      <c r="L741" s="94" t="s">
        <v>1187</v>
      </c>
    </row>
    <row r="742" spans="1:12" ht="15" customHeight="1" x14ac:dyDescent="0.3">
      <c r="A742" s="59" t="s">
        <v>203</v>
      </c>
      <c r="B742" s="60" t="s">
        <v>1151</v>
      </c>
      <c r="C742" s="61" t="s">
        <v>1144</v>
      </c>
      <c r="D742" s="62"/>
      <c r="E742" s="63">
        <v>960000</v>
      </c>
      <c r="F742" s="63">
        <f t="shared" si="39"/>
        <v>76800</v>
      </c>
      <c r="G742" s="64">
        <f t="shared" si="41"/>
        <v>1036800</v>
      </c>
      <c r="H742" s="65">
        <v>1036800</v>
      </c>
      <c r="I742" s="65"/>
      <c r="J742" s="66">
        <f t="shared" si="38"/>
        <v>0</v>
      </c>
      <c r="K742" s="67"/>
      <c r="L742" s="94">
        <v>46248</v>
      </c>
    </row>
    <row r="743" spans="1:12" ht="15" customHeight="1" x14ac:dyDescent="0.3">
      <c r="A743" s="59" t="s">
        <v>253</v>
      </c>
      <c r="B743" s="60" t="s">
        <v>1151</v>
      </c>
      <c r="C743" s="61" t="s">
        <v>1145</v>
      </c>
      <c r="D743" s="62"/>
      <c r="E743" s="63">
        <v>2685000</v>
      </c>
      <c r="F743" s="63">
        <f t="shared" si="39"/>
        <v>214800</v>
      </c>
      <c r="G743" s="64">
        <f t="shared" si="41"/>
        <v>2899800</v>
      </c>
      <c r="H743" s="65">
        <v>2899800</v>
      </c>
      <c r="I743" s="65"/>
      <c r="J743" s="66">
        <f t="shared" si="38"/>
        <v>0</v>
      </c>
      <c r="K743" s="67"/>
      <c r="L743" s="94">
        <v>46248</v>
      </c>
    </row>
    <row r="744" spans="1:12" ht="15" customHeight="1" x14ac:dyDescent="0.3">
      <c r="A744" s="59" t="s">
        <v>253</v>
      </c>
      <c r="B744" s="60" t="s">
        <v>1151</v>
      </c>
      <c r="C744" s="61" t="s">
        <v>1146</v>
      </c>
      <c r="D744" s="62"/>
      <c r="E744" s="63">
        <v>5080000</v>
      </c>
      <c r="F744" s="63">
        <f t="shared" si="39"/>
        <v>406400</v>
      </c>
      <c r="G744" s="64">
        <f t="shared" si="41"/>
        <v>5486400</v>
      </c>
      <c r="H744" s="65">
        <v>5486400</v>
      </c>
      <c r="I744" s="65"/>
      <c r="J744" s="66">
        <f t="shared" si="38"/>
        <v>0</v>
      </c>
      <c r="K744" s="67"/>
      <c r="L744" s="94">
        <v>46248</v>
      </c>
    </row>
    <row r="745" spans="1:12" ht="15" customHeight="1" x14ac:dyDescent="0.3">
      <c r="A745" s="59" t="s">
        <v>203</v>
      </c>
      <c r="B745" s="60" t="s">
        <v>1160</v>
      </c>
      <c r="C745" s="61" t="s">
        <v>1154</v>
      </c>
      <c r="D745" s="62"/>
      <c r="E745" s="63">
        <v>3000000</v>
      </c>
      <c r="F745" s="63">
        <f t="shared" si="39"/>
        <v>240000</v>
      </c>
      <c r="G745" s="64">
        <f t="shared" si="41"/>
        <v>3240000</v>
      </c>
      <c r="H745" s="65">
        <v>3240000</v>
      </c>
      <c r="I745" s="65"/>
      <c r="J745" s="66">
        <f t="shared" si="38"/>
        <v>0</v>
      </c>
      <c r="K745" s="67"/>
      <c r="L745" s="94">
        <v>46248</v>
      </c>
    </row>
    <row r="746" spans="1:12" ht="15" customHeight="1" x14ac:dyDescent="0.3">
      <c r="A746" s="59" t="s">
        <v>253</v>
      </c>
      <c r="B746" s="60" t="s">
        <v>1160</v>
      </c>
      <c r="C746" s="61" t="s">
        <v>1155</v>
      </c>
      <c r="D746" s="62"/>
      <c r="E746" s="63">
        <v>2045000</v>
      </c>
      <c r="F746" s="63">
        <f t="shared" si="39"/>
        <v>163600</v>
      </c>
      <c r="G746" s="64">
        <f t="shared" si="41"/>
        <v>2208600</v>
      </c>
      <c r="H746" s="65">
        <v>2208600</v>
      </c>
      <c r="I746" s="65"/>
      <c r="J746" s="66">
        <f t="shared" si="38"/>
        <v>0</v>
      </c>
      <c r="K746" s="67"/>
      <c r="L746" s="94">
        <v>46248</v>
      </c>
    </row>
    <row r="747" spans="1:12" ht="15" customHeight="1" x14ac:dyDescent="0.3">
      <c r="A747" s="59" t="s">
        <v>203</v>
      </c>
      <c r="B747" s="60" t="s">
        <v>1161</v>
      </c>
      <c r="C747" s="61" t="s">
        <v>1156</v>
      </c>
      <c r="D747" s="62"/>
      <c r="E747" s="63">
        <v>2820000</v>
      </c>
      <c r="F747" s="63">
        <f t="shared" si="39"/>
        <v>225600</v>
      </c>
      <c r="G747" s="64">
        <f t="shared" si="41"/>
        <v>3045600</v>
      </c>
      <c r="H747" s="65">
        <v>3045600</v>
      </c>
      <c r="I747" s="65"/>
      <c r="J747" s="66">
        <f t="shared" si="38"/>
        <v>0</v>
      </c>
      <c r="K747" s="67"/>
      <c r="L747" s="94">
        <v>46248</v>
      </c>
    </row>
    <row r="748" spans="1:12" ht="15" customHeight="1" x14ac:dyDescent="0.3">
      <c r="A748" s="59" t="s">
        <v>196</v>
      </c>
      <c r="B748" s="60" t="s">
        <v>1161</v>
      </c>
      <c r="C748" s="61" t="s">
        <v>1157</v>
      </c>
      <c r="D748" s="62"/>
      <c r="E748" s="63">
        <v>2775000</v>
      </c>
      <c r="F748" s="63">
        <f t="shared" si="39"/>
        <v>222000</v>
      </c>
      <c r="G748" s="64">
        <f t="shared" si="41"/>
        <v>2997000</v>
      </c>
      <c r="H748" s="65">
        <v>2997000</v>
      </c>
      <c r="I748" s="65"/>
      <c r="J748" s="66">
        <f t="shared" si="38"/>
        <v>0</v>
      </c>
      <c r="K748" s="67"/>
      <c r="L748" s="94">
        <v>46248</v>
      </c>
    </row>
    <row r="749" spans="1:12" ht="15" customHeight="1" x14ac:dyDescent="0.3">
      <c r="A749" s="59" t="s">
        <v>196</v>
      </c>
      <c r="B749" s="60" t="s">
        <v>1162</v>
      </c>
      <c r="C749" s="61" t="s">
        <v>1158</v>
      </c>
      <c r="D749" s="62"/>
      <c r="E749" s="63">
        <v>5090000</v>
      </c>
      <c r="F749" s="63">
        <f t="shared" si="39"/>
        <v>407200</v>
      </c>
      <c r="G749" s="64">
        <f t="shared" si="41"/>
        <v>5497200</v>
      </c>
      <c r="H749" s="65">
        <v>5497200</v>
      </c>
      <c r="I749" s="65"/>
      <c r="J749" s="66">
        <f t="shared" si="38"/>
        <v>0</v>
      </c>
      <c r="K749" s="67"/>
      <c r="L749" s="94">
        <v>46248</v>
      </c>
    </row>
    <row r="750" spans="1:12" ht="15" customHeight="1" x14ac:dyDescent="0.3">
      <c r="A750" s="59" t="s">
        <v>203</v>
      </c>
      <c r="B750" s="60" t="s">
        <v>1162</v>
      </c>
      <c r="C750" s="61" t="s">
        <v>1159</v>
      </c>
      <c r="D750" s="62"/>
      <c r="E750" s="63">
        <v>3540000</v>
      </c>
      <c r="F750" s="63">
        <f t="shared" si="39"/>
        <v>283200</v>
      </c>
      <c r="G750" s="64">
        <f t="shared" si="41"/>
        <v>3823200</v>
      </c>
      <c r="H750" s="65">
        <v>3823200</v>
      </c>
      <c r="I750" s="65"/>
      <c r="J750" s="66">
        <f t="shared" si="38"/>
        <v>0</v>
      </c>
      <c r="K750" s="67"/>
      <c r="L750" s="94">
        <v>46248</v>
      </c>
    </row>
    <row r="751" spans="1:12" ht="15" customHeight="1" x14ac:dyDescent="0.3">
      <c r="A751" s="59" t="s">
        <v>203</v>
      </c>
      <c r="B751" s="60" t="s">
        <v>1169</v>
      </c>
      <c r="C751" s="61" t="s">
        <v>1163</v>
      </c>
      <c r="D751" s="62"/>
      <c r="E751" s="63">
        <v>4625000</v>
      </c>
      <c r="F751" s="63">
        <f t="shared" si="39"/>
        <v>370000</v>
      </c>
      <c r="G751" s="64">
        <f t="shared" si="41"/>
        <v>4995000</v>
      </c>
      <c r="H751" s="65">
        <v>4995000</v>
      </c>
      <c r="I751" s="65"/>
      <c r="J751" s="66">
        <f t="shared" si="38"/>
        <v>0</v>
      </c>
      <c r="K751" s="67"/>
      <c r="L751" s="94">
        <v>46248</v>
      </c>
    </row>
    <row r="752" spans="1:12" ht="15" customHeight="1" x14ac:dyDescent="0.3">
      <c r="A752" s="59" t="s">
        <v>196</v>
      </c>
      <c r="B752" s="60" t="s">
        <v>1169</v>
      </c>
      <c r="C752" s="61" t="s">
        <v>1164</v>
      </c>
      <c r="D752" s="62"/>
      <c r="E752" s="63">
        <v>4775000</v>
      </c>
      <c r="F752" s="63">
        <f t="shared" si="39"/>
        <v>382000</v>
      </c>
      <c r="G752" s="64">
        <f t="shared" si="41"/>
        <v>5157000</v>
      </c>
      <c r="H752" s="65">
        <v>5157000</v>
      </c>
      <c r="I752" s="65"/>
      <c r="J752" s="66">
        <f t="shared" si="38"/>
        <v>0</v>
      </c>
      <c r="K752" s="67"/>
      <c r="L752" s="94">
        <v>46248</v>
      </c>
    </row>
    <row r="753" spans="1:12" ht="15" customHeight="1" x14ac:dyDescent="0.3">
      <c r="A753" s="59" t="s">
        <v>253</v>
      </c>
      <c r="B753" s="60" t="s">
        <v>1169</v>
      </c>
      <c r="C753" s="61" t="s">
        <v>1165</v>
      </c>
      <c r="D753" s="62"/>
      <c r="E753" s="63">
        <v>8655000</v>
      </c>
      <c r="F753" s="63">
        <f t="shared" si="39"/>
        <v>692400</v>
      </c>
      <c r="G753" s="64">
        <f t="shared" si="41"/>
        <v>9347400</v>
      </c>
      <c r="H753" s="65">
        <v>9347400</v>
      </c>
      <c r="I753" s="65"/>
      <c r="J753" s="66">
        <f t="shared" si="38"/>
        <v>0</v>
      </c>
      <c r="K753" s="67"/>
      <c r="L753" s="94">
        <v>46248</v>
      </c>
    </row>
    <row r="754" spans="1:12" ht="15" customHeight="1" x14ac:dyDescent="0.3">
      <c r="A754" s="59" t="s">
        <v>196</v>
      </c>
      <c r="B754" s="60" t="s">
        <v>1170</v>
      </c>
      <c r="C754" s="61" t="s">
        <v>1166</v>
      </c>
      <c r="D754" s="62"/>
      <c r="E754" s="63">
        <v>4010000</v>
      </c>
      <c r="F754" s="63">
        <f t="shared" si="39"/>
        <v>320800</v>
      </c>
      <c r="G754" s="64">
        <f t="shared" si="41"/>
        <v>4330800</v>
      </c>
      <c r="H754" s="65">
        <v>4330800</v>
      </c>
      <c r="I754" s="65"/>
      <c r="J754" s="66">
        <f t="shared" si="38"/>
        <v>0</v>
      </c>
      <c r="K754" s="67"/>
      <c r="L754" s="94">
        <v>46248</v>
      </c>
    </row>
    <row r="755" spans="1:12" ht="15" customHeight="1" x14ac:dyDescent="0.3">
      <c r="A755" s="59" t="s">
        <v>203</v>
      </c>
      <c r="B755" s="60" t="s">
        <v>1170</v>
      </c>
      <c r="C755" s="61" t="s">
        <v>1167</v>
      </c>
      <c r="D755" s="62"/>
      <c r="E755" s="63">
        <v>4350000</v>
      </c>
      <c r="F755" s="63">
        <f t="shared" si="39"/>
        <v>348000</v>
      </c>
      <c r="G755" s="64">
        <f t="shared" si="41"/>
        <v>4698000</v>
      </c>
      <c r="H755" s="65">
        <v>4698000</v>
      </c>
      <c r="I755" s="65"/>
      <c r="J755" s="66">
        <f t="shared" ref="J755:J818" si="42">G755-H755</f>
        <v>0</v>
      </c>
      <c r="K755" s="67"/>
      <c r="L755" s="94">
        <v>46248</v>
      </c>
    </row>
    <row r="756" spans="1:12" ht="15" customHeight="1" x14ac:dyDescent="0.3">
      <c r="A756" s="59" t="s">
        <v>253</v>
      </c>
      <c r="B756" s="60" t="s">
        <v>1170</v>
      </c>
      <c r="C756" s="61" t="s">
        <v>1168</v>
      </c>
      <c r="D756" s="62"/>
      <c r="E756" s="63">
        <v>2090000</v>
      </c>
      <c r="F756" s="63">
        <f t="shared" si="39"/>
        <v>167200</v>
      </c>
      <c r="G756" s="64">
        <f t="shared" si="41"/>
        <v>2257200</v>
      </c>
      <c r="H756" s="65">
        <v>2257200</v>
      </c>
      <c r="I756" s="65"/>
      <c r="J756" s="66">
        <f t="shared" si="42"/>
        <v>0</v>
      </c>
      <c r="K756" s="67"/>
      <c r="L756" s="94">
        <v>46248</v>
      </c>
    </row>
    <row r="757" spans="1:12" ht="15" customHeight="1" x14ac:dyDescent="0.3">
      <c r="A757" s="59" t="s">
        <v>203</v>
      </c>
      <c r="B757" s="60" t="s">
        <v>1183</v>
      </c>
      <c r="C757" s="61" t="s">
        <v>1171</v>
      </c>
      <c r="D757" s="62"/>
      <c r="E757" s="63">
        <v>810000</v>
      </c>
      <c r="F757" s="63">
        <f t="shared" si="39"/>
        <v>64800</v>
      </c>
      <c r="G757" s="64">
        <f t="shared" si="41"/>
        <v>874800</v>
      </c>
      <c r="H757" s="65">
        <v>874800</v>
      </c>
      <c r="I757" s="65"/>
      <c r="J757" s="66">
        <f t="shared" si="42"/>
        <v>0</v>
      </c>
      <c r="K757" s="67"/>
      <c r="L757" s="94">
        <v>46248</v>
      </c>
    </row>
    <row r="758" spans="1:12" ht="15" customHeight="1" x14ac:dyDescent="0.3">
      <c r="A758" s="59" t="s">
        <v>196</v>
      </c>
      <c r="B758" s="60" t="s">
        <v>1183</v>
      </c>
      <c r="C758" s="61" t="s">
        <v>1172</v>
      </c>
      <c r="D758" s="62"/>
      <c r="E758" s="63">
        <v>1450000</v>
      </c>
      <c r="F758" s="63">
        <f t="shared" si="39"/>
        <v>116000</v>
      </c>
      <c r="G758" s="64">
        <f t="shared" si="41"/>
        <v>1566000</v>
      </c>
      <c r="H758" s="65">
        <v>1566000</v>
      </c>
      <c r="I758" s="65"/>
      <c r="J758" s="66">
        <f t="shared" si="42"/>
        <v>0</v>
      </c>
      <c r="K758" s="67"/>
      <c r="L758" s="94">
        <v>46248</v>
      </c>
    </row>
    <row r="759" spans="1:12" ht="15" customHeight="1" x14ac:dyDescent="0.3">
      <c r="A759" s="59" t="s">
        <v>253</v>
      </c>
      <c r="B759" s="60" t="s">
        <v>1183</v>
      </c>
      <c r="C759" s="61" t="s">
        <v>1173</v>
      </c>
      <c r="D759" s="62"/>
      <c r="E759" s="63">
        <v>1450000</v>
      </c>
      <c r="F759" s="63">
        <f t="shared" si="39"/>
        <v>116000</v>
      </c>
      <c r="G759" s="64">
        <f t="shared" si="41"/>
        <v>1566000</v>
      </c>
      <c r="H759" s="65">
        <v>1566000</v>
      </c>
      <c r="I759" s="65"/>
      <c r="J759" s="66">
        <f t="shared" si="42"/>
        <v>0</v>
      </c>
      <c r="K759" s="67"/>
      <c r="L759" s="94">
        <v>46248</v>
      </c>
    </row>
    <row r="760" spans="1:12" ht="15" customHeight="1" x14ac:dyDescent="0.3">
      <c r="A760" s="59" t="s">
        <v>253</v>
      </c>
      <c r="B760" s="60">
        <v>46244</v>
      </c>
      <c r="C760" s="62" t="s">
        <v>1174</v>
      </c>
      <c r="D760" s="62" t="s">
        <v>1186</v>
      </c>
      <c r="E760" s="63">
        <v>1633500</v>
      </c>
      <c r="F760" s="63">
        <f t="shared" si="39"/>
        <v>130680</v>
      </c>
      <c r="G760" s="64">
        <f t="shared" si="41"/>
        <v>1764180</v>
      </c>
      <c r="H760" s="65"/>
      <c r="I760" s="65"/>
      <c r="J760" s="66">
        <f t="shared" si="42"/>
        <v>1764180</v>
      </c>
      <c r="K760" s="67"/>
      <c r="L760" s="94"/>
    </row>
    <row r="761" spans="1:12" ht="15" customHeight="1" x14ac:dyDescent="0.3">
      <c r="A761" s="59" t="s">
        <v>253</v>
      </c>
      <c r="B761" s="60" t="s">
        <v>1184</v>
      </c>
      <c r="C761" s="62" t="s">
        <v>1175</v>
      </c>
      <c r="D761" s="62"/>
      <c r="E761" s="63">
        <v>6733500</v>
      </c>
      <c r="F761" s="63">
        <f t="shared" si="39"/>
        <v>538680</v>
      </c>
      <c r="G761" s="64">
        <f t="shared" si="41"/>
        <v>7272180</v>
      </c>
      <c r="H761" s="65"/>
      <c r="I761" s="65"/>
      <c r="J761" s="66">
        <f t="shared" si="42"/>
        <v>7272180</v>
      </c>
      <c r="K761" s="67"/>
      <c r="L761" s="94"/>
    </row>
    <row r="762" spans="1:12" ht="15" customHeight="1" x14ac:dyDescent="0.3">
      <c r="A762" s="59" t="s">
        <v>203</v>
      </c>
      <c r="B762" s="60" t="s">
        <v>1184</v>
      </c>
      <c r="C762" s="62" t="s">
        <v>1176</v>
      </c>
      <c r="D762" s="62"/>
      <c r="E762" s="63">
        <v>4336500</v>
      </c>
      <c r="F762" s="63">
        <f t="shared" si="39"/>
        <v>346920</v>
      </c>
      <c r="G762" s="64">
        <f t="shared" si="41"/>
        <v>4683420</v>
      </c>
      <c r="H762" s="65"/>
      <c r="I762" s="65"/>
      <c r="J762" s="66">
        <f t="shared" si="42"/>
        <v>4683420</v>
      </c>
      <c r="K762" s="67"/>
      <c r="L762" s="94"/>
    </row>
    <row r="763" spans="1:12" ht="15" customHeight="1" x14ac:dyDescent="0.3">
      <c r="A763" s="59" t="s">
        <v>196</v>
      </c>
      <c r="B763" s="60" t="s">
        <v>1184</v>
      </c>
      <c r="C763" s="62" t="s">
        <v>1177</v>
      </c>
      <c r="D763" s="62"/>
      <c r="E763" s="63">
        <v>8974500</v>
      </c>
      <c r="F763" s="63">
        <f t="shared" si="39"/>
        <v>717960</v>
      </c>
      <c r="G763" s="64">
        <f t="shared" si="41"/>
        <v>9692460</v>
      </c>
      <c r="H763" s="65"/>
      <c r="I763" s="65"/>
      <c r="J763" s="66">
        <f t="shared" si="42"/>
        <v>9692460</v>
      </c>
      <c r="K763" s="67"/>
      <c r="L763" s="94"/>
    </row>
    <row r="764" spans="1:12" ht="15" customHeight="1" x14ac:dyDescent="0.3">
      <c r="A764" s="59" t="s">
        <v>253</v>
      </c>
      <c r="B764" s="60" t="s">
        <v>1185</v>
      </c>
      <c r="C764" s="62" t="s">
        <v>1178</v>
      </c>
      <c r="D764" s="62"/>
      <c r="E764" s="63">
        <v>16101000</v>
      </c>
      <c r="F764" s="63">
        <f t="shared" si="39"/>
        <v>1288080</v>
      </c>
      <c r="G764" s="64">
        <f t="shared" si="41"/>
        <v>17389080</v>
      </c>
      <c r="H764" s="65"/>
      <c r="I764" s="65"/>
      <c r="J764" s="66">
        <f t="shared" si="42"/>
        <v>17389080</v>
      </c>
      <c r="K764" s="67"/>
      <c r="L764" s="94"/>
    </row>
    <row r="765" spans="1:12" ht="15" customHeight="1" x14ac:dyDescent="0.3">
      <c r="A765" s="59" t="s">
        <v>196</v>
      </c>
      <c r="B765" s="60" t="s">
        <v>1185</v>
      </c>
      <c r="C765" s="62" t="s">
        <v>1179</v>
      </c>
      <c r="D765" s="62"/>
      <c r="E765" s="63">
        <v>20947500</v>
      </c>
      <c r="F765" s="63">
        <f t="shared" si="39"/>
        <v>1675800</v>
      </c>
      <c r="G765" s="64">
        <f t="shared" si="41"/>
        <v>22623300</v>
      </c>
      <c r="H765" s="65"/>
      <c r="I765" s="65"/>
      <c r="J765" s="66">
        <f t="shared" si="42"/>
        <v>22623300</v>
      </c>
      <c r="K765" s="67"/>
      <c r="L765" s="94"/>
    </row>
    <row r="766" spans="1:12" ht="15" customHeight="1" x14ac:dyDescent="0.3">
      <c r="A766" s="59" t="s">
        <v>203</v>
      </c>
      <c r="B766" s="60" t="s">
        <v>1185</v>
      </c>
      <c r="C766" s="62" t="s">
        <v>1180</v>
      </c>
      <c r="D766" s="62"/>
      <c r="E766" s="63">
        <v>6070500</v>
      </c>
      <c r="F766" s="63">
        <f t="shared" si="39"/>
        <v>485640</v>
      </c>
      <c r="G766" s="64">
        <f t="shared" si="41"/>
        <v>6556140</v>
      </c>
      <c r="H766" s="65"/>
      <c r="I766" s="65"/>
      <c r="J766" s="66">
        <f t="shared" si="42"/>
        <v>6556140</v>
      </c>
      <c r="K766" s="67"/>
      <c r="L766" s="94"/>
    </row>
    <row r="767" spans="1:12" ht="15" customHeight="1" x14ac:dyDescent="0.3">
      <c r="A767" s="59" t="s">
        <v>253</v>
      </c>
      <c r="B767" s="60" t="s">
        <v>1185</v>
      </c>
      <c r="C767" s="62" t="s">
        <v>1181</v>
      </c>
      <c r="D767" s="62"/>
      <c r="E767" s="63">
        <v>8019000</v>
      </c>
      <c r="F767" s="63">
        <f t="shared" si="39"/>
        <v>641520</v>
      </c>
      <c r="G767" s="64">
        <f t="shared" si="41"/>
        <v>8660520</v>
      </c>
      <c r="H767" s="65"/>
      <c r="I767" s="65"/>
      <c r="J767" s="66">
        <f t="shared" si="42"/>
        <v>8660520</v>
      </c>
      <c r="K767" s="67"/>
      <c r="L767" s="94"/>
    </row>
    <row r="768" spans="1:12" ht="15" customHeight="1" x14ac:dyDescent="0.3">
      <c r="A768" s="59" t="s">
        <v>196</v>
      </c>
      <c r="B768" s="60" t="s">
        <v>1185</v>
      </c>
      <c r="C768" s="62" t="s">
        <v>1182</v>
      </c>
      <c r="D768" s="62"/>
      <c r="E768" s="63">
        <v>13851000</v>
      </c>
      <c r="F768" s="63">
        <f t="shared" si="39"/>
        <v>1108080</v>
      </c>
      <c r="G768" s="64">
        <f t="shared" si="41"/>
        <v>14959080</v>
      </c>
      <c r="H768" s="65"/>
      <c r="I768" s="65"/>
      <c r="J768" s="66">
        <f t="shared" si="42"/>
        <v>14959080</v>
      </c>
      <c r="K768" s="67"/>
      <c r="L768" s="94"/>
    </row>
    <row r="769" spans="1:12" ht="15" customHeight="1" x14ac:dyDescent="0.3">
      <c r="A769" s="59"/>
      <c r="B769" s="60"/>
      <c r="C769" s="62"/>
      <c r="D769" s="62"/>
      <c r="E769" s="63"/>
      <c r="F769" s="63">
        <f t="shared" si="39"/>
        <v>0</v>
      </c>
      <c r="G769" s="64">
        <f t="shared" si="41"/>
        <v>0</v>
      </c>
      <c r="H769" s="65"/>
      <c r="I769" s="65"/>
      <c r="J769" s="66">
        <f t="shared" si="42"/>
        <v>0</v>
      </c>
      <c r="K769" s="67"/>
      <c r="L769" s="94"/>
    </row>
    <row r="770" spans="1:12" ht="15" customHeight="1" x14ac:dyDescent="0.3">
      <c r="A770" s="59"/>
      <c r="B770" s="60"/>
      <c r="C770" s="62"/>
      <c r="D770" s="62"/>
      <c r="E770" s="63"/>
      <c r="F770" s="63">
        <f t="shared" si="39"/>
        <v>0</v>
      </c>
      <c r="G770" s="64">
        <f t="shared" si="41"/>
        <v>0</v>
      </c>
      <c r="H770" s="65"/>
      <c r="I770" s="65"/>
      <c r="J770" s="66">
        <f t="shared" si="42"/>
        <v>0</v>
      </c>
      <c r="K770" s="67"/>
      <c r="L770" s="94"/>
    </row>
    <row r="771" spans="1:12" ht="15" customHeight="1" x14ac:dyDescent="0.3">
      <c r="A771" s="59"/>
      <c r="B771" s="60"/>
      <c r="C771" s="62"/>
      <c r="D771" s="62"/>
      <c r="E771" s="63"/>
      <c r="F771" s="63">
        <f t="shared" si="39"/>
        <v>0</v>
      </c>
      <c r="G771" s="64">
        <f t="shared" si="41"/>
        <v>0</v>
      </c>
      <c r="H771" s="65"/>
      <c r="I771" s="65"/>
      <c r="J771" s="66">
        <f t="shared" si="42"/>
        <v>0</v>
      </c>
      <c r="K771" s="67"/>
      <c r="L771" s="94"/>
    </row>
    <row r="772" spans="1:12" ht="15" customHeight="1" x14ac:dyDescent="0.3">
      <c r="A772" s="59"/>
      <c r="B772" s="60"/>
      <c r="C772" s="62"/>
      <c r="D772" s="62"/>
      <c r="E772" s="63"/>
      <c r="F772" s="63">
        <f t="shared" si="39"/>
        <v>0</v>
      </c>
      <c r="G772" s="64">
        <f t="shared" si="41"/>
        <v>0</v>
      </c>
      <c r="H772" s="65"/>
      <c r="I772" s="65"/>
      <c r="J772" s="66">
        <f t="shared" si="42"/>
        <v>0</v>
      </c>
      <c r="K772" s="67"/>
      <c r="L772" s="94"/>
    </row>
    <row r="773" spans="1:12" ht="15" customHeight="1" x14ac:dyDescent="0.3">
      <c r="A773" s="59"/>
      <c r="B773" s="60"/>
      <c r="C773" s="62"/>
      <c r="D773" s="62"/>
      <c r="E773" s="63"/>
      <c r="F773" s="63">
        <f t="shared" si="39"/>
        <v>0</v>
      </c>
      <c r="G773" s="64">
        <f t="shared" si="41"/>
        <v>0</v>
      </c>
      <c r="H773" s="65"/>
      <c r="I773" s="65"/>
      <c r="J773" s="66">
        <f t="shared" si="42"/>
        <v>0</v>
      </c>
      <c r="K773" s="67"/>
      <c r="L773" s="94"/>
    </row>
    <row r="774" spans="1:12" ht="15" customHeight="1" x14ac:dyDescent="0.3">
      <c r="A774" s="59"/>
      <c r="B774" s="60"/>
      <c r="C774" s="62"/>
      <c r="D774" s="62"/>
      <c r="E774" s="63"/>
      <c r="F774" s="63">
        <f t="shared" si="39"/>
        <v>0</v>
      </c>
      <c r="G774" s="64">
        <f t="shared" si="41"/>
        <v>0</v>
      </c>
      <c r="H774" s="65"/>
      <c r="I774" s="65"/>
      <c r="J774" s="66">
        <f t="shared" si="42"/>
        <v>0</v>
      </c>
      <c r="K774" s="67"/>
      <c r="L774" s="94"/>
    </row>
    <row r="775" spans="1:12" ht="15" customHeight="1" x14ac:dyDescent="0.3">
      <c r="A775" s="59"/>
      <c r="B775" s="60"/>
      <c r="C775" s="62"/>
      <c r="D775" s="62"/>
      <c r="E775" s="63"/>
      <c r="F775" s="63">
        <f t="shared" si="39"/>
        <v>0</v>
      </c>
      <c r="G775" s="64">
        <f t="shared" si="41"/>
        <v>0</v>
      </c>
      <c r="H775" s="65"/>
      <c r="I775" s="65"/>
      <c r="J775" s="66">
        <f t="shared" si="42"/>
        <v>0</v>
      </c>
      <c r="K775" s="67"/>
      <c r="L775" s="94"/>
    </row>
    <row r="776" spans="1:12" ht="15" customHeight="1" x14ac:dyDescent="0.3">
      <c r="A776" s="59"/>
      <c r="B776" s="60"/>
      <c r="C776" s="62"/>
      <c r="D776" s="62"/>
      <c r="E776" s="63"/>
      <c r="F776" s="63">
        <f t="shared" si="39"/>
        <v>0</v>
      </c>
      <c r="G776" s="64">
        <f t="shared" si="41"/>
        <v>0</v>
      </c>
      <c r="H776" s="65"/>
      <c r="I776" s="65"/>
      <c r="J776" s="66">
        <f t="shared" si="42"/>
        <v>0</v>
      </c>
      <c r="K776" s="67"/>
      <c r="L776" s="94"/>
    </row>
    <row r="777" spans="1:12" ht="15" customHeight="1" x14ac:dyDescent="0.3">
      <c r="A777" s="59"/>
      <c r="B777" s="60"/>
      <c r="C777" s="62"/>
      <c r="D777" s="62"/>
      <c r="E777" s="63"/>
      <c r="F777" s="63">
        <f t="shared" si="39"/>
        <v>0</v>
      </c>
      <c r="G777" s="64">
        <f t="shared" si="41"/>
        <v>0</v>
      </c>
      <c r="H777" s="65"/>
      <c r="I777" s="65"/>
      <c r="J777" s="66">
        <f t="shared" si="42"/>
        <v>0</v>
      </c>
      <c r="K777" s="67"/>
      <c r="L777" s="94"/>
    </row>
    <row r="778" spans="1:12" ht="15" customHeight="1" x14ac:dyDescent="0.3">
      <c r="A778" s="59"/>
      <c r="B778" s="60"/>
      <c r="C778" s="62"/>
      <c r="D778" s="62"/>
      <c r="E778" s="63"/>
      <c r="F778" s="63">
        <f t="shared" ref="F778:F841" si="43">+E778*0.08</f>
        <v>0</v>
      </c>
      <c r="G778" s="64">
        <f t="shared" ref="G778:G841" si="44">E778+F778</f>
        <v>0</v>
      </c>
      <c r="H778" s="65"/>
      <c r="I778" s="65"/>
      <c r="J778" s="66">
        <f t="shared" si="42"/>
        <v>0</v>
      </c>
      <c r="K778" s="67"/>
      <c r="L778" s="94"/>
    </row>
    <row r="779" spans="1:12" ht="15" customHeight="1" x14ac:dyDescent="0.3">
      <c r="A779" s="59"/>
      <c r="B779" s="60"/>
      <c r="C779" s="62"/>
      <c r="D779" s="62"/>
      <c r="E779" s="63"/>
      <c r="F779" s="63">
        <f t="shared" si="43"/>
        <v>0</v>
      </c>
      <c r="G779" s="64">
        <f t="shared" si="44"/>
        <v>0</v>
      </c>
      <c r="H779" s="65"/>
      <c r="I779" s="65"/>
      <c r="J779" s="66">
        <f t="shared" si="42"/>
        <v>0</v>
      </c>
      <c r="K779" s="67"/>
      <c r="L779" s="94"/>
    </row>
    <row r="780" spans="1:12" ht="15" customHeight="1" x14ac:dyDescent="0.3">
      <c r="A780" s="59"/>
      <c r="B780" s="60"/>
      <c r="C780" s="62"/>
      <c r="D780" s="62"/>
      <c r="E780" s="63"/>
      <c r="F780" s="63">
        <f t="shared" si="43"/>
        <v>0</v>
      </c>
      <c r="G780" s="64">
        <f t="shared" si="44"/>
        <v>0</v>
      </c>
      <c r="H780" s="65"/>
      <c r="I780" s="65"/>
      <c r="J780" s="66">
        <f t="shared" si="42"/>
        <v>0</v>
      </c>
      <c r="K780" s="67"/>
      <c r="L780" s="94"/>
    </row>
    <row r="781" spans="1:12" ht="15" customHeight="1" x14ac:dyDescent="0.3">
      <c r="A781" s="59"/>
      <c r="B781" s="60"/>
      <c r="C781" s="62"/>
      <c r="D781" s="62"/>
      <c r="E781" s="63"/>
      <c r="F781" s="63">
        <f t="shared" si="43"/>
        <v>0</v>
      </c>
      <c r="G781" s="64">
        <f t="shared" si="44"/>
        <v>0</v>
      </c>
      <c r="H781" s="65"/>
      <c r="I781" s="65"/>
      <c r="J781" s="66">
        <f t="shared" si="42"/>
        <v>0</v>
      </c>
      <c r="K781" s="67"/>
      <c r="L781" s="94"/>
    </row>
    <row r="782" spans="1:12" ht="15" customHeight="1" x14ac:dyDescent="0.3">
      <c r="A782" s="59"/>
      <c r="B782" s="60"/>
      <c r="C782" s="62"/>
      <c r="D782" s="62"/>
      <c r="E782" s="63"/>
      <c r="F782" s="63">
        <f t="shared" si="43"/>
        <v>0</v>
      </c>
      <c r="G782" s="64">
        <f t="shared" si="44"/>
        <v>0</v>
      </c>
      <c r="H782" s="65"/>
      <c r="I782" s="65"/>
      <c r="J782" s="66">
        <f t="shared" si="42"/>
        <v>0</v>
      </c>
      <c r="K782" s="67"/>
      <c r="L782" s="94"/>
    </row>
    <row r="783" spans="1:12" ht="15" customHeight="1" x14ac:dyDescent="0.3">
      <c r="A783" s="59"/>
      <c r="B783" s="60"/>
      <c r="C783" s="62"/>
      <c r="D783" s="62"/>
      <c r="E783" s="63"/>
      <c r="F783" s="63">
        <f t="shared" si="43"/>
        <v>0</v>
      </c>
      <c r="G783" s="64">
        <f t="shared" si="44"/>
        <v>0</v>
      </c>
      <c r="H783" s="65"/>
      <c r="I783" s="65"/>
      <c r="J783" s="66">
        <f t="shared" si="42"/>
        <v>0</v>
      </c>
      <c r="K783" s="67"/>
      <c r="L783" s="94"/>
    </row>
    <row r="784" spans="1:12" ht="15" customHeight="1" x14ac:dyDescent="0.3">
      <c r="A784" s="59"/>
      <c r="B784" s="60"/>
      <c r="C784" s="62"/>
      <c r="D784" s="62"/>
      <c r="E784" s="63"/>
      <c r="F784" s="63">
        <f t="shared" si="43"/>
        <v>0</v>
      </c>
      <c r="G784" s="64">
        <f t="shared" si="44"/>
        <v>0</v>
      </c>
      <c r="H784" s="65"/>
      <c r="I784" s="65"/>
      <c r="J784" s="66">
        <f t="shared" si="42"/>
        <v>0</v>
      </c>
      <c r="K784" s="67"/>
      <c r="L784" s="94"/>
    </row>
    <row r="785" spans="1:12" ht="15" customHeight="1" x14ac:dyDescent="0.3">
      <c r="A785" s="59"/>
      <c r="B785" s="60"/>
      <c r="C785" s="62"/>
      <c r="D785" s="62"/>
      <c r="E785" s="63"/>
      <c r="F785" s="63">
        <f t="shared" si="43"/>
        <v>0</v>
      </c>
      <c r="G785" s="64">
        <f t="shared" si="44"/>
        <v>0</v>
      </c>
      <c r="H785" s="65"/>
      <c r="I785" s="65"/>
      <c r="J785" s="66">
        <f t="shared" si="42"/>
        <v>0</v>
      </c>
      <c r="K785" s="67"/>
      <c r="L785" s="94"/>
    </row>
    <row r="786" spans="1:12" ht="15" customHeight="1" x14ac:dyDescent="0.3">
      <c r="A786" s="59"/>
      <c r="B786" s="60"/>
      <c r="C786" s="62"/>
      <c r="D786" s="62"/>
      <c r="E786" s="63"/>
      <c r="F786" s="63">
        <f t="shared" si="43"/>
        <v>0</v>
      </c>
      <c r="G786" s="64">
        <f t="shared" si="44"/>
        <v>0</v>
      </c>
      <c r="H786" s="65"/>
      <c r="I786" s="65"/>
      <c r="J786" s="66">
        <f t="shared" si="42"/>
        <v>0</v>
      </c>
      <c r="K786" s="67"/>
      <c r="L786" s="94"/>
    </row>
    <row r="787" spans="1:12" ht="15" customHeight="1" x14ac:dyDescent="0.3">
      <c r="A787" s="59"/>
      <c r="B787" s="60"/>
      <c r="C787" s="62"/>
      <c r="D787" s="62"/>
      <c r="E787" s="63"/>
      <c r="F787" s="63">
        <f t="shared" si="43"/>
        <v>0</v>
      </c>
      <c r="G787" s="64">
        <f t="shared" si="44"/>
        <v>0</v>
      </c>
      <c r="H787" s="65"/>
      <c r="I787" s="65"/>
      <c r="J787" s="66">
        <f t="shared" si="42"/>
        <v>0</v>
      </c>
      <c r="K787" s="67"/>
      <c r="L787" s="94"/>
    </row>
    <row r="788" spans="1:12" ht="15" customHeight="1" x14ac:dyDescent="0.3">
      <c r="A788" s="59"/>
      <c r="B788" s="60"/>
      <c r="C788" s="62"/>
      <c r="D788" s="62"/>
      <c r="E788" s="63"/>
      <c r="F788" s="63">
        <f t="shared" si="43"/>
        <v>0</v>
      </c>
      <c r="G788" s="64">
        <f t="shared" si="44"/>
        <v>0</v>
      </c>
      <c r="H788" s="65"/>
      <c r="I788" s="65"/>
      <c r="J788" s="66">
        <f t="shared" si="42"/>
        <v>0</v>
      </c>
      <c r="K788" s="67"/>
      <c r="L788" s="94"/>
    </row>
    <row r="789" spans="1:12" ht="15" customHeight="1" x14ac:dyDescent="0.3">
      <c r="A789" s="59"/>
      <c r="B789" s="60"/>
      <c r="C789" s="62"/>
      <c r="D789" s="62"/>
      <c r="E789" s="63"/>
      <c r="F789" s="63">
        <f t="shared" si="43"/>
        <v>0</v>
      </c>
      <c r="G789" s="64">
        <f t="shared" si="44"/>
        <v>0</v>
      </c>
      <c r="H789" s="65"/>
      <c r="I789" s="65"/>
      <c r="J789" s="66">
        <f t="shared" si="42"/>
        <v>0</v>
      </c>
      <c r="K789" s="67"/>
      <c r="L789" s="94"/>
    </row>
    <row r="790" spans="1:12" ht="15" customHeight="1" x14ac:dyDescent="0.3">
      <c r="A790" s="59"/>
      <c r="B790" s="60"/>
      <c r="C790" s="62"/>
      <c r="D790" s="62"/>
      <c r="E790" s="63"/>
      <c r="F790" s="63">
        <f t="shared" si="43"/>
        <v>0</v>
      </c>
      <c r="G790" s="64">
        <f t="shared" si="44"/>
        <v>0</v>
      </c>
      <c r="H790" s="65"/>
      <c r="I790" s="65"/>
      <c r="J790" s="66">
        <f t="shared" si="42"/>
        <v>0</v>
      </c>
      <c r="K790" s="67"/>
      <c r="L790" s="94"/>
    </row>
    <row r="791" spans="1:12" ht="15" customHeight="1" x14ac:dyDescent="0.3">
      <c r="A791" s="59"/>
      <c r="B791" s="60"/>
      <c r="C791" s="62"/>
      <c r="D791" s="62"/>
      <c r="E791" s="63"/>
      <c r="F791" s="63">
        <f t="shared" si="43"/>
        <v>0</v>
      </c>
      <c r="G791" s="64">
        <f t="shared" si="44"/>
        <v>0</v>
      </c>
      <c r="H791" s="65"/>
      <c r="I791" s="65"/>
      <c r="J791" s="66">
        <f t="shared" si="42"/>
        <v>0</v>
      </c>
      <c r="K791" s="67"/>
      <c r="L791" s="94"/>
    </row>
    <row r="792" spans="1:12" ht="15" customHeight="1" x14ac:dyDescent="0.3">
      <c r="A792" s="59"/>
      <c r="B792" s="60"/>
      <c r="C792" s="62"/>
      <c r="D792" s="62"/>
      <c r="E792" s="63"/>
      <c r="F792" s="63">
        <f t="shared" si="43"/>
        <v>0</v>
      </c>
      <c r="G792" s="64">
        <f t="shared" si="44"/>
        <v>0</v>
      </c>
      <c r="H792" s="65"/>
      <c r="I792" s="65"/>
      <c r="J792" s="66">
        <f t="shared" si="42"/>
        <v>0</v>
      </c>
      <c r="K792" s="67"/>
      <c r="L792" s="94"/>
    </row>
    <row r="793" spans="1:12" ht="15" customHeight="1" x14ac:dyDescent="0.3">
      <c r="A793" s="59"/>
      <c r="B793" s="60"/>
      <c r="C793" s="62"/>
      <c r="D793" s="62"/>
      <c r="E793" s="63"/>
      <c r="F793" s="63">
        <f t="shared" si="43"/>
        <v>0</v>
      </c>
      <c r="G793" s="64">
        <f t="shared" si="44"/>
        <v>0</v>
      </c>
      <c r="H793" s="65"/>
      <c r="I793" s="65"/>
      <c r="J793" s="66">
        <f t="shared" si="42"/>
        <v>0</v>
      </c>
      <c r="K793" s="67"/>
      <c r="L793" s="94"/>
    </row>
    <row r="794" spans="1:12" ht="15" customHeight="1" x14ac:dyDescent="0.3">
      <c r="A794" s="59"/>
      <c r="B794" s="60"/>
      <c r="C794" s="62"/>
      <c r="D794" s="62"/>
      <c r="E794" s="63"/>
      <c r="F794" s="63">
        <f t="shared" si="43"/>
        <v>0</v>
      </c>
      <c r="G794" s="64">
        <f t="shared" si="44"/>
        <v>0</v>
      </c>
      <c r="H794" s="65"/>
      <c r="I794" s="65"/>
      <c r="J794" s="66">
        <f t="shared" si="42"/>
        <v>0</v>
      </c>
      <c r="K794" s="67"/>
      <c r="L794" s="94"/>
    </row>
    <row r="795" spans="1:12" ht="15" customHeight="1" x14ac:dyDescent="0.3">
      <c r="A795" s="59"/>
      <c r="B795" s="60"/>
      <c r="C795" s="62"/>
      <c r="D795" s="62"/>
      <c r="E795" s="63"/>
      <c r="F795" s="63">
        <f t="shared" si="43"/>
        <v>0</v>
      </c>
      <c r="G795" s="64">
        <f t="shared" si="44"/>
        <v>0</v>
      </c>
      <c r="H795" s="65"/>
      <c r="I795" s="65"/>
      <c r="J795" s="66">
        <f t="shared" si="42"/>
        <v>0</v>
      </c>
      <c r="K795" s="67"/>
      <c r="L795" s="94"/>
    </row>
    <row r="796" spans="1:12" ht="15" customHeight="1" x14ac:dyDescent="0.3">
      <c r="A796" s="59"/>
      <c r="B796" s="60"/>
      <c r="C796" s="62"/>
      <c r="D796" s="62"/>
      <c r="E796" s="63"/>
      <c r="F796" s="63">
        <f t="shared" si="43"/>
        <v>0</v>
      </c>
      <c r="G796" s="64">
        <f t="shared" si="44"/>
        <v>0</v>
      </c>
      <c r="H796" s="65"/>
      <c r="I796" s="65"/>
      <c r="J796" s="66">
        <f t="shared" si="42"/>
        <v>0</v>
      </c>
      <c r="K796" s="67"/>
      <c r="L796" s="94"/>
    </row>
    <row r="797" spans="1:12" ht="15" customHeight="1" x14ac:dyDescent="0.3">
      <c r="A797" s="59"/>
      <c r="B797" s="60"/>
      <c r="C797" s="62"/>
      <c r="D797" s="62"/>
      <c r="E797" s="63"/>
      <c r="F797" s="63">
        <f t="shared" si="43"/>
        <v>0</v>
      </c>
      <c r="G797" s="64">
        <f t="shared" si="44"/>
        <v>0</v>
      </c>
      <c r="H797" s="65"/>
      <c r="I797" s="65"/>
      <c r="J797" s="66">
        <f t="shared" si="42"/>
        <v>0</v>
      </c>
      <c r="K797" s="67"/>
      <c r="L797" s="94"/>
    </row>
    <row r="798" spans="1:12" ht="15" customHeight="1" x14ac:dyDescent="0.3">
      <c r="A798" s="59"/>
      <c r="B798" s="60"/>
      <c r="C798" s="62"/>
      <c r="D798" s="62"/>
      <c r="E798" s="63"/>
      <c r="F798" s="63">
        <f t="shared" si="43"/>
        <v>0</v>
      </c>
      <c r="G798" s="64">
        <f t="shared" si="44"/>
        <v>0</v>
      </c>
      <c r="H798" s="65"/>
      <c r="I798" s="65"/>
      <c r="J798" s="66">
        <f t="shared" si="42"/>
        <v>0</v>
      </c>
      <c r="K798" s="67"/>
      <c r="L798" s="94"/>
    </row>
    <row r="799" spans="1:12" ht="15" customHeight="1" x14ac:dyDescent="0.3">
      <c r="A799" s="59"/>
      <c r="B799" s="60"/>
      <c r="C799" s="62"/>
      <c r="D799" s="62"/>
      <c r="E799" s="63"/>
      <c r="F799" s="63">
        <f t="shared" si="43"/>
        <v>0</v>
      </c>
      <c r="G799" s="64">
        <f t="shared" si="44"/>
        <v>0</v>
      </c>
      <c r="H799" s="65"/>
      <c r="I799" s="65"/>
      <c r="J799" s="66">
        <f t="shared" si="42"/>
        <v>0</v>
      </c>
      <c r="K799" s="67"/>
      <c r="L799" s="94"/>
    </row>
    <row r="800" spans="1:12" ht="15" customHeight="1" x14ac:dyDescent="0.3">
      <c r="A800" s="59"/>
      <c r="B800" s="60"/>
      <c r="C800" s="62"/>
      <c r="D800" s="62"/>
      <c r="E800" s="63"/>
      <c r="F800" s="63">
        <f t="shared" si="43"/>
        <v>0</v>
      </c>
      <c r="G800" s="64">
        <f t="shared" si="44"/>
        <v>0</v>
      </c>
      <c r="H800" s="65"/>
      <c r="I800" s="65"/>
      <c r="J800" s="66">
        <f t="shared" si="42"/>
        <v>0</v>
      </c>
      <c r="K800" s="67"/>
      <c r="L800" s="94"/>
    </row>
    <row r="801" spans="1:12" ht="15" customHeight="1" x14ac:dyDescent="0.3">
      <c r="A801" s="59"/>
      <c r="B801" s="60"/>
      <c r="C801" s="62"/>
      <c r="D801" s="62"/>
      <c r="E801" s="63"/>
      <c r="F801" s="63">
        <f t="shared" si="43"/>
        <v>0</v>
      </c>
      <c r="G801" s="64">
        <f t="shared" si="44"/>
        <v>0</v>
      </c>
      <c r="H801" s="65"/>
      <c r="I801" s="65"/>
      <c r="J801" s="66">
        <f t="shared" si="42"/>
        <v>0</v>
      </c>
      <c r="K801" s="67"/>
      <c r="L801" s="94"/>
    </row>
    <row r="802" spans="1:12" ht="15" customHeight="1" x14ac:dyDescent="0.3">
      <c r="A802" s="59"/>
      <c r="B802" s="60"/>
      <c r="C802" s="62"/>
      <c r="D802" s="62"/>
      <c r="E802" s="63"/>
      <c r="F802" s="63">
        <f t="shared" si="43"/>
        <v>0</v>
      </c>
      <c r="G802" s="64">
        <f t="shared" si="44"/>
        <v>0</v>
      </c>
      <c r="H802" s="65"/>
      <c r="I802" s="65"/>
      <c r="J802" s="66">
        <f t="shared" si="42"/>
        <v>0</v>
      </c>
      <c r="K802" s="67"/>
      <c r="L802" s="94"/>
    </row>
    <row r="803" spans="1:12" ht="15" customHeight="1" x14ac:dyDescent="0.3">
      <c r="A803" s="59"/>
      <c r="B803" s="60"/>
      <c r="C803" s="62"/>
      <c r="D803" s="62"/>
      <c r="E803" s="63"/>
      <c r="F803" s="63">
        <f t="shared" si="43"/>
        <v>0</v>
      </c>
      <c r="G803" s="64">
        <f t="shared" si="44"/>
        <v>0</v>
      </c>
      <c r="H803" s="65"/>
      <c r="I803" s="65"/>
      <c r="J803" s="66">
        <f t="shared" si="42"/>
        <v>0</v>
      </c>
      <c r="K803" s="67"/>
      <c r="L803" s="94"/>
    </row>
    <row r="804" spans="1:12" ht="15" customHeight="1" x14ac:dyDescent="0.3">
      <c r="A804" s="59"/>
      <c r="B804" s="60"/>
      <c r="C804" s="62"/>
      <c r="D804" s="62"/>
      <c r="E804" s="63"/>
      <c r="F804" s="63">
        <f t="shared" si="43"/>
        <v>0</v>
      </c>
      <c r="G804" s="64">
        <f t="shared" si="44"/>
        <v>0</v>
      </c>
      <c r="H804" s="65"/>
      <c r="I804" s="65"/>
      <c r="J804" s="66">
        <f t="shared" si="42"/>
        <v>0</v>
      </c>
      <c r="K804" s="67"/>
      <c r="L804" s="94"/>
    </row>
    <row r="805" spans="1:12" ht="15" customHeight="1" x14ac:dyDescent="0.3">
      <c r="A805" s="59"/>
      <c r="B805" s="60"/>
      <c r="C805" s="62"/>
      <c r="D805" s="62"/>
      <c r="E805" s="63"/>
      <c r="F805" s="63">
        <f t="shared" si="43"/>
        <v>0</v>
      </c>
      <c r="G805" s="64">
        <f t="shared" si="44"/>
        <v>0</v>
      </c>
      <c r="H805" s="65"/>
      <c r="I805" s="65"/>
      <c r="J805" s="66">
        <f t="shared" si="42"/>
        <v>0</v>
      </c>
      <c r="K805" s="67"/>
      <c r="L805" s="94"/>
    </row>
    <row r="806" spans="1:12" ht="15" customHeight="1" x14ac:dyDescent="0.3">
      <c r="A806" s="59"/>
      <c r="B806" s="60"/>
      <c r="C806" s="62"/>
      <c r="D806" s="62"/>
      <c r="E806" s="63"/>
      <c r="F806" s="63">
        <f t="shared" si="43"/>
        <v>0</v>
      </c>
      <c r="G806" s="64">
        <f t="shared" si="44"/>
        <v>0</v>
      </c>
      <c r="H806" s="65"/>
      <c r="I806" s="65"/>
      <c r="J806" s="66">
        <f t="shared" si="42"/>
        <v>0</v>
      </c>
      <c r="K806" s="67"/>
    </row>
    <row r="807" spans="1:12" ht="15" customHeight="1" x14ac:dyDescent="0.3">
      <c r="A807" s="59"/>
      <c r="B807" s="60"/>
      <c r="C807" s="62"/>
      <c r="D807" s="62"/>
      <c r="E807" s="63"/>
      <c r="F807" s="63">
        <f t="shared" si="43"/>
        <v>0</v>
      </c>
      <c r="G807" s="64">
        <f t="shared" si="44"/>
        <v>0</v>
      </c>
      <c r="H807" s="65"/>
      <c r="I807" s="65"/>
      <c r="J807" s="66">
        <f t="shared" si="42"/>
        <v>0</v>
      </c>
      <c r="K807" s="67"/>
    </row>
    <row r="808" spans="1:12" ht="15" customHeight="1" x14ac:dyDescent="0.3">
      <c r="A808" s="59"/>
      <c r="B808" s="60"/>
      <c r="C808" s="62"/>
      <c r="D808" s="62"/>
      <c r="E808" s="63"/>
      <c r="F808" s="63">
        <f t="shared" si="43"/>
        <v>0</v>
      </c>
      <c r="G808" s="64">
        <f t="shared" si="44"/>
        <v>0</v>
      </c>
      <c r="H808" s="65"/>
      <c r="I808" s="65"/>
      <c r="J808" s="66">
        <f t="shared" si="42"/>
        <v>0</v>
      </c>
      <c r="K808" s="67"/>
    </row>
    <row r="809" spans="1:12" ht="15" customHeight="1" x14ac:dyDescent="0.3">
      <c r="A809" s="59"/>
      <c r="B809" s="60"/>
      <c r="C809" s="62"/>
      <c r="D809" s="62"/>
      <c r="E809" s="63"/>
      <c r="F809" s="63">
        <f t="shared" si="43"/>
        <v>0</v>
      </c>
      <c r="G809" s="64">
        <f t="shared" si="44"/>
        <v>0</v>
      </c>
      <c r="H809" s="65"/>
      <c r="I809" s="65"/>
      <c r="J809" s="66">
        <f t="shared" si="42"/>
        <v>0</v>
      </c>
      <c r="K809" s="67"/>
    </row>
    <row r="810" spans="1:12" ht="15" customHeight="1" x14ac:dyDescent="0.3">
      <c r="A810" s="59"/>
      <c r="B810" s="60"/>
      <c r="C810" s="62"/>
      <c r="D810" s="62"/>
      <c r="E810" s="63"/>
      <c r="F810" s="63">
        <f t="shared" si="43"/>
        <v>0</v>
      </c>
      <c r="G810" s="64">
        <f t="shared" si="44"/>
        <v>0</v>
      </c>
      <c r="H810" s="65"/>
      <c r="I810" s="65"/>
      <c r="J810" s="66">
        <f t="shared" si="42"/>
        <v>0</v>
      </c>
      <c r="K810" s="67"/>
    </row>
    <row r="811" spans="1:12" ht="15" customHeight="1" x14ac:dyDescent="0.3">
      <c r="A811" s="59"/>
      <c r="B811" s="60"/>
      <c r="C811" s="62"/>
      <c r="D811" s="62"/>
      <c r="E811" s="63"/>
      <c r="F811" s="63">
        <f t="shared" si="43"/>
        <v>0</v>
      </c>
      <c r="G811" s="64">
        <f t="shared" si="44"/>
        <v>0</v>
      </c>
      <c r="H811" s="65"/>
      <c r="I811" s="65"/>
      <c r="J811" s="66">
        <f t="shared" si="42"/>
        <v>0</v>
      </c>
      <c r="K811" s="67"/>
    </row>
    <row r="812" spans="1:12" ht="15" customHeight="1" x14ac:dyDescent="0.3">
      <c r="A812" s="59"/>
      <c r="B812" s="60"/>
      <c r="C812" s="62"/>
      <c r="D812" s="62"/>
      <c r="E812" s="63"/>
      <c r="F812" s="63">
        <f t="shared" si="43"/>
        <v>0</v>
      </c>
      <c r="G812" s="64">
        <f t="shared" si="44"/>
        <v>0</v>
      </c>
      <c r="H812" s="65"/>
      <c r="I812" s="65"/>
      <c r="J812" s="66">
        <f t="shared" si="42"/>
        <v>0</v>
      </c>
      <c r="K812" s="67"/>
    </row>
    <row r="813" spans="1:12" ht="15" customHeight="1" x14ac:dyDescent="0.3">
      <c r="A813" s="59"/>
      <c r="B813" s="60"/>
      <c r="C813" s="62"/>
      <c r="D813" s="62"/>
      <c r="E813" s="63"/>
      <c r="F813" s="63">
        <f t="shared" si="43"/>
        <v>0</v>
      </c>
      <c r="G813" s="64">
        <f t="shared" si="44"/>
        <v>0</v>
      </c>
      <c r="H813" s="65"/>
      <c r="I813" s="65"/>
      <c r="J813" s="66">
        <f t="shared" si="42"/>
        <v>0</v>
      </c>
      <c r="K813" s="67"/>
    </row>
    <row r="814" spans="1:12" ht="15" customHeight="1" x14ac:dyDescent="0.3">
      <c r="A814" s="59"/>
      <c r="B814" s="60"/>
      <c r="C814" s="62"/>
      <c r="D814" s="62"/>
      <c r="E814" s="63"/>
      <c r="F814" s="63">
        <f t="shared" si="43"/>
        <v>0</v>
      </c>
      <c r="G814" s="64">
        <f t="shared" si="44"/>
        <v>0</v>
      </c>
      <c r="H814" s="65"/>
      <c r="I814" s="65"/>
      <c r="J814" s="66">
        <f t="shared" si="42"/>
        <v>0</v>
      </c>
      <c r="K814" s="67"/>
    </row>
    <row r="815" spans="1:12" ht="15" customHeight="1" x14ac:dyDescent="0.3">
      <c r="A815" s="59"/>
      <c r="B815" s="60"/>
      <c r="C815" s="62"/>
      <c r="D815" s="62"/>
      <c r="E815" s="63"/>
      <c r="F815" s="63">
        <f t="shared" si="43"/>
        <v>0</v>
      </c>
      <c r="G815" s="64">
        <f t="shared" si="44"/>
        <v>0</v>
      </c>
      <c r="H815" s="65"/>
      <c r="I815" s="65"/>
      <c r="J815" s="66">
        <f t="shared" si="42"/>
        <v>0</v>
      </c>
      <c r="K815" s="67"/>
    </row>
    <row r="816" spans="1:12" ht="15" customHeight="1" x14ac:dyDescent="0.3">
      <c r="A816" s="59"/>
      <c r="B816" s="60"/>
      <c r="C816" s="62"/>
      <c r="D816" s="62"/>
      <c r="E816" s="63"/>
      <c r="F816" s="63">
        <f t="shared" si="43"/>
        <v>0</v>
      </c>
      <c r="G816" s="64">
        <f t="shared" si="44"/>
        <v>0</v>
      </c>
      <c r="H816" s="65"/>
      <c r="I816" s="65"/>
      <c r="J816" s="66">
        <f t="shared" si="42"/>
        <v>0</v>
      </c>
      <c r="K816" s="67"/>
    </row>
    <row r="817" spans="1:11" ht="15" customHeight="1" x14ac:dyDescent="0.3">
      <c r="A817" s="59"/>
      <c r="B817" s="60"/>
      <c r="C817" s="62"/>
      <c r="D817" s="62"/>
      <c r="E817" s="63"/>
      <c r="F817" s="63">
        <f t="shared" si="43"/>
        <v>0</v>
      </c>
      <c r="G817" s="64">
        <f t="shared" si="44"/>
        <v>0</v>
      </c>
      <c r="H817" s="65"/>
      <c r="I817" s="65"/>
      <c r="J817" s="66">
        <f t="shared" si="42"/>
        <v>0</v>
      </c>
      <c r="K817" s="67"/>
    </row>
    <row r="818" spans="1:11" ht="15" customHeight="1" x14ac:dyDescent="0.3">
      <c r="A818" s="59"/>
      <c r="B818" s="60"/>
      <c r="C818" s="62"/>
      <c r="D818" s="62"/>
      <c r="E818" s="63"/>
      <c r="F818" s="63">
        <f t="shared" si="43"/>
        <v>0</v>
      </c>
      <c r="G818" s="64">
        <f t="shared" si="44"/>
        <v>0</v>
      </c>
      <c r="H818" s="65"/>
      <c r="I818" s="65"/>
      <c r="J818" s="66">
        <f t="shared" si="42"/>
        <v>0</v>
      </c>
      <c r="K818" s="67"/>
    </row>
    <row r="819" spans="1:11" ht="15" customHeight="1" x14ac:dyDescent="0.3">
      <c r="A819" s="59"/>
      <c r="B819" s="60"/>
      <c r="C819" s="62"/>
      <c r="D819" s="62"/>
      <c r="E819" s="63"/>
      <c r="F819" s="63">
        <f t="shared" si="43"/>
        <v>0</v>
      </c>
      <c r="G819" s="64">
        <f t="shared" si="44"/>
        <v>0</v>
      </c>
      <c r="H819" s="65"/>
      <c r="I819" s="65"/>
      <c r="J819" s="66">
        <f t="shared" ref="J819:J882" si="45">G819-H819</f>
        <v>0</v>
      </c>
      <c r="K819" s="67"/>
    </row>
    <row r="820" spans="1:11" ht="15" customHeight="1" x14ac:dyDescent="0.3">
      <c r="A820" s="59"/>
      <c r="B820" s="60"/>
      <c r="C820" s="62"/>
      <c r="D820" s="62"/>
      <c r="E820" s="63"/>
      <c r="F820" s="63">
        <f t="shared" si="43"/>
        <v>0</v>
      </c>
      <c r="G820" s="64">
        <f t="shared" si="44"/>
        <v>0</v>
      </c>
      <c r="H820" s="65"/>
      <c r="I820" s="65"/>
      <c r="J820" s="66">
        <f t="shared" si="45"/>
        <v>0</v>
      </c>
      <c r="K820" s="67"/>
    </row>
    <row r="821" spans="1:11" ht="15" customHeight="1" x14ac:dyDescent="0.3">
      <c r="A821" s="59"/>
      <c r="B821" s="60"/>
      <c r="C821" s="62"/>
      <c r="D821" s="62"/>
      <c r="E821" s="63"/>
      <c r="F821" s="63">
        <f t="shared" si="43"/>
        <v>0</v>
      </c>
      <c r="G821" s="64">
        <f t="shared" si="44"/>
        <v>0</v>
      </c>
      <c r="H821" s="65"/>
      <c r="I821" s="65"/>
      <c r="J821" s="66">
        <f t="shared" si="45"/>
        <v>0</v>
      </c>
      <c r="K821" s="67"/>
    </row>
    <row r="822" spans="1:11" ht="15" customHeight="1" x14ac:dyDescent="0.3">
      <c r="A822" s="59"/>
      <c r="B822" s="60"/>
      <c r="C822" s="62"/>
      <c r="D822" s="62"/>
      <c r="E822" s="63"/>
      <c r="F822" s="63">
        <f t="shared" si="43"/>
        <v>0</v>
      </c>
      <c r="G822" s="64">
        <f t="shared" si="44"/>
        <v>0</v>
      </c>
      <c r="H822" s="65"/>
      <c r="I822" s="65"/>
      <c r="J822" s="66">
        <f t="shared" si="45"/>
        <v>0</v>
      </c>
      <c r="K822" s="67"/>
    </row>
    <row r="823" spans="1:11" ht="15" customHeight="1" x14ac:dyDescent="0.3">
      <c r="A823" s="59"/>
      <c r="B823" s="60"/>
      <c r="C823" s="62"/>
      <c r="D823" s="62"/>
      <c r="E823" s="63"/>
      <c r="F823" s="63">
        <f t="shared" si="43"/>
        <v>0</v>
      </c>
      <c r="G823" s="64">
        <f t="shared" si="44"/>
        <v>0</v>
      </c>
      <c r="H823" s="65"/>
      <c r="I823" s="65"/>
      <c r="J823" s="66">
        <f t="shared" si="45"/>
        <v>0</v>
      </c>
      <c r="K823" s="67"/>
    </row>
    <row r="824" spans="1:11" ht="15" customHeight="1" x14ac:dyDescent="0.3">
      <c r="A824" s="59"/>
      <c r="B824" s="60"/>
      <c r="C824" s="62"/>
      <c r="D824" s="62"/>
      <c r="E824" s="63"/>
      <c r="F824" s="63">
        <f t="shared" si="43"/>
        <v>0</v>
      </c>
      <c r="G824" s="64">
        <f t="shared" si="44"/>
        <v>0</v>
      </c>
      <c r="H824" s="65"/>
      <c r="I824" s="65"/>
      <c r="J824" s="66">
        <f t="shared" si="45"/>
        <v>0</v>
      </c>
      <c r="K824" s="67"/>
    </row>
    <row r="825" spans="1:11" ht="15" customHeight="1" x14ac:dyDescent="0.3">
      <c r="A825" s="59"/>
      <c r="B825" s="60"/>
      <c r="C825" s="62"/>
      <c r="D825" s="62"/>
      <c r="E825" s="63"/>
      <c r="F825" s="63">
        <f t="shared" si="43"/>
        <v>0</v>
      </c>
      <c r="G825" s="64">
        <f t="shared" si="44"/>
        <v>0</v>
      </c>
      <c r="H825" s="65"/>
      <c r="I825" s="65"/>
      <c r="J825" s="66">
        <f t="shared" si="45"/>
        <v>0</v>
      </c>
      <c r="K825" s="67"/>
    </row>
    <row r="826" spans="1:11" ht="15" customHeight="1" x14ac:dyDescent="0.3">
      <c r="A826" s="59"/>
      <c r="B826" s="60"/>
      <c r="C826" s="62"/>
      <c r="D826" s="62"/>
      <c r="E826" s="63"/>
      <c r="F826" s="63">
        <f t="shared" si="43"/>
        <v>0</v>
      </c>
      <c r="G826" s="64">
        <f t="shared" si="44"/>
        <v>0</v>
      </c>
      <c r="H826" s="65"/>
      <c r="I826" s="65"/>
      <c r="J826" s="66">
        <f t="shared" si="45"/>
        <v>0</v>
      </c>
      <c r="K826" s="67"/>
    </row>
    <row r="827" spans="1:11" ht="15" customHeight="1" x14ac:dyDescent="0.3">
      <c r="A827" s="59"/>
      <c r="B827" s="60"/>
      <c r="C827" s="62"/>
      <c r="D827" s="62"/>
      <c r="E827" s="63"/>
      <c r="F827" s="63">
        <f t="shared" si="43"/>
        <v>0</v>
      </c>
      <c r="G827" s="64">
        <f t="shared" si="44"/>
        <v>0</v>
      </c>
      <c r="H827" s="65"/>
      <c r="I827" s="65"/>
      <c r="J827" s="66">
        <f t="shared" si="45"/>
        <v>0</v>
      </c>
      <c r="K827" s="67"/>
    </row>
    <row r="828" spans="1:11" ht="15" customHeight="1" x14ac:dyDescent="0.3">
      <c r="A828" s="59"/>
      <c r="B828" s="60"/>
      <c r="C828" s="62"/>
      <c r="D828" s="62"/>
      <c r="E828" s="63"/>
      <c r="F828" s="63">
        <f t="shared" si="43"/>
        <v>0</v>
      </c>
      <c r="G828" s="64">
        <f t="shared" si="44"/>
        <v>0</v>
      </c>
      <c r="H828" s="65"/>
      <c r="I828" s="65"/>
      <c r="J828" s="66">
        <f t="shared" si="45"/>
        <v>0</v>
      </c>
      <c r="K828" s="67"/>
    </row>
    <row r="829" spans="1:11" ht="15" customHeight="1" x14ac:dyDescent="0.3">
      <c r="A829" s="59"/>
      <c r="B829" s="60"/>
      <c r="C829" s="62"/>
      <c r="D829" s="62"/>
      <c r="E829" s="63"/>
      <c r="F829" s="63">
        <f t="shared" si="43"/>
        <v>0</v>
      </c>
      <c r="G829" s="64">
        <f t="shared" si="44"/>
        <v>0</v>
      </c>
      <c r="H829" s="65"/>
      <c r="I829" s="65"/>
      <c r="J829" s="66">
        <f t="shared" si="45"/>
        <v>0</v>
      </c>
      <c r="K829" s="67"/>
    </row>
    <row r="830" spans="1:11" ht="15" customHeight="1" x14ac:dyDescent="0.3">
      <c r="A830" s="59"/>
      <c r="B830" s="60"/>
      <c r="C830" s="62"/>
      <c r="D830" s="62"/>
      <c r="E830" s="63"/>
      <c r="F830" s="63">
        <f t="shared" si="43"/>
        <v>0</v>
      </c>
      <c r="G830" s="64">
        <f t="shared" si="44"/>
        <v>0</v>
      </c>
      <c r="H830" s="65"/>
      <c r="I830" s="65"/>
      <c r="J830" s="66">
        <f t="shared" si="45"/>
        <v>0</v>
      </c>
      <c r="K830" s="67"/>
    </row>
    <row r="831" spans="1:11" ht="15" customHeight="1" x14ac:dyDescent="0.3">
      <c r="A831" s="59"/>
      <c r="B831" s="60"/>
      <c r="C831" s="62"/>
      <c r="D831" s="62"/>
      <c r="E831" s="63"/>
      <c r="F831" s="63">
        <f t="shared" si="43"/>
        <v>0</v>
      </c>
      <c r="G831" s="64">
        <f t="shared" si="44"/>
        <v>0</v>
      </c>
      <c r="H831" s="65"/>
      <c r="I831" s="65"/>
      <c r="J831" s="66">
        <f t="shared" si="45"/>
        <v>0</v>
      </c>
      <c r="K831" s="67"/>
    </row>
    <row r="832" spans="1:11" ht="15" customHeight="1" x14ac:dyDescent="0.3">
      <c r="A832" s="59"/>
      <c r="B832" s="60"/>
      <c r="C832" s="62"/>
      <c r="D832" s="62"/>
      <c r="E832" s="63"/>
      <c r="F832" s="63">
        <f t="shared" si="43"/>
        <v>0</v>
      </c>
      <c r="G832" s="64">
        <f t="shared" si="44"/>
        <v>0</v>
      </c>
      <c r="H832" s="65"/>
      <c r="I832" s="65"/>
      <c r="J832" s="66">
        <f t="shared" si="45"/>
        <v>0</v>
      </c>
      <c r="K832" s="67"/>
    </row>
    <row r="833" spans="1:11" ht="15" customHeight="1" x14ac:dyDescent="0.3">
      <c r="A833" s="59"/>
      <c r="B833" s="60"/>
      <c r="C833" s="62"/>
      <c r="D833" s="62"/>
      <c r="E833" s="63"/>
      <c r="F833" s="63">
        <f t="shared" si="43"/>
        <v>0</v>
      </c>
      <c r="G833" s="64">
        <f t="shared" si="44"/>
        <v>0</v>
      </c>
      <c r="H833" s="65"/>
      <c r="I833" s="65"/>
      <c r="J833" s="66">
        <f t="shared" si="45"/>
        <v>0</v>
      </c>
      <c r="K833" s="67"/>
    </row>
    <row r="834" spans="1:11" ht="15" customHeight="1" x14ac:dyDescent="0.3">
      <c r="A834" s="59"/>
      <c r="B834" s="60"/>
      <c r="C834" s="62"/>
      <c r="D834" s="62"/>
      <c r="E834" s="63"/>
      <c r="F834" s="63">
        <f t="shared" si="43"/>
        <v>0</v>
      </c>
      <c r="G834" s="64">
        <f t="shared" si="44"/>
        <v>0</v>
      </c>
      <c r="H834" s="65"/>
      <c r="I834" s="65"/>
      <c r="J834" s="66">
        <f t="shared" si="45"/>
        <v>0</v>
      </c>
      <c r="K834" s="67"/>
    </row>
    <row r="835" spans="1:11" ht="15" customHeight="1" x14ac:dyDescent="0.3">
      <c r="A835" s="59"/>
      <c r="B835" s="60"/>
      <c r="C835" s="62"/>
      <c r="D835" s="62"/>
      <c r="E835" s="63"/>
      <c r="F835" s="63">
        <f t="shared" si="43"/>
        <v>0</v>
      </c>
      <c r="G835" s="64">
        <f t="shared" si="44"/>
        <v>0</v>
      </c>
      <c r="H835" s="65"/>
      <c r="I835" s="65"/>
      <c r="J835" s="66">
        <f t="shared" si="45"/>
        <v>0</v>
      </c>
      <c r="K835" s="67"/>
    </row>
    <row r="836" spans="1:11" ht="15" customHeight="1" x14ac:dyDescent="0.3">
      <c r="A836" s="59"/>
      <c r="B836" s="60"/>
      <c r="C836" s="62"/>
      <c r="D836" s="62"/>
      <c r="E836" s="63"/>
      <c r="F836" s="63">
        <f t="shared" si="43"/>
        <v>0</v>
      </c>
      <c r="G836" s="64">
        <f t="shared" si="44"/>
        <v>0</v>
      </c>
      <c r="H836" s="65"/>
      <c r="I836" s="65"/>
      <c r="J836" s="66">
        <f t="shared" si="45"/>
        <v>0</v>
      </c>
      <c r="K836" s="67"/>
    </row>
    <row r="837" spans="1:11" ht="15" customHeight="1" x14ac:dyDescent="0.3">
      <c r="A837" s="59"/>
      <c r="B837" s="60"/>
      <c r="C837" s="62"/>
      <c r="D837" s="62"/>
      <c r="E837" s="63"/>
      <c r="F837" s="63">
        <f t="shared" si="43"/>
        <v>0</v>
      </c>
      <c r="G837" s="64">
        <f t="shared" si="44"/>
        <v>0</v>
      </c>
      <c r="H837" s="65"/>
      <c r="I837" s="65"/>
      <c r="J837" s="66">
        <f t="shared" si="45"/>
        <v>0</v>
      </c>
      <c r="K837" s="67"/>
    </row>
    <row r="838" spans="1:11" ht="15" customHeight="1" x14ac:dyDescent="0.3">
      <c r="A838" s="59"/>
      <c r="B838" s="60"/>
      <c r="C838" s="62"/>
      <c r="D838" s="62"/>
      <c r="E838" s="63"/>
      <c r="F838" s="63">
        <f t="shared" si="43"/>
        <v>0</v>
      </c>
      <c r="G838" s="64">
        <f t="shared" si="44"/>
        <v>0</v>
      </c>
      <c r="H838" s="65"/>
      <c r="I838" s="65"/>
      <c r="J838" s="66">
        <f t="shared" si="45"/>
        <v>0</v>
      </c>
      <c r="K838" s="67"/>
    </row>
    <row r="839" spans="1:11" ht="15" customHeight="1" x14ac:dyDescent="0.3">
      <c r="A839" s="59"/>
      <c r="B839" s="60"/>
      <c r="C839" s="62"/>
      <c r="D839" s="62"/>
      <c r="E839" s="63"/>
      <c r="F839" s="63">
        <f t="shared" si="43"/>
        <v>0</v>
      </c>
      <c r="G839" s="64">
        <f t="shared" si="44"/>
        <v>0</v>
      </c>
      <c r="H839" s="65"/>
      <c r="I839" s="65"/>
      <c r="J839" s="66">
        <f t="shared" si="45"/>
        <v>0</v>
      </c>
      <c r="K839" s="67"/>
    </row>
    <row r="840" spans="1:11" ht="15" customHeight="1" x14ac:dyDescent="0.3">
      <c r="A840" s="59"/>
      <c r="B840" s="60"/>
      <c r="C840" s="62"/>
      <c r="D840" s="62"/>
      <c r="E840" s="63"/>
      <c r="F840" s="63">
        <f t="shared" si="43"/>
        <v>0</v>
      </c>
      <c r="G840" s="64">
        <f t="shared" si="44"/>
        <v>0</v>
      </c>
      <c r="H840" s="65"/>
      <c r="I840" s="65"/>
      <c r="J840" s="66">
        <f t="shared" si="45"/>
        <v>0</v>
      </c>
      <c r="K840" s="67"/>
    </row>
    <row r="841" spans="1:11" ht="15" customHeight="1" x14ac:dyDescent="0.3">
      <c r="A841" s="59"/>
      <c r="B841" s="60"/>
      <c r="C841" s="62"/>
      <c r="D841" s="62"/>
      <c r="E841" s="63"/>
      <c r="F841" s="63">
        <f t="shared" si="43"/>
        <v>0</v>
      </c>
      <c r="G841" s="64">
        <f t="shared" si="44"/>
        <v>0</v>
      </c>
      <c r="H841" s="65"/>
      <c r="I841" s="65"/>
      <c r="J841" s="66">
        <f t="shared" si="45"/>
        <v>0</v>
      </c>
      <c r="K841" s="67"/>
    </row>
    <row r="842" spans="1:11" ht="15" customHeight="1" x14ac:dyDescent="0.3">
      <c r="A842" s="59"/>
      <c r="B842" s="60"/>
      <c r="C842" s="62"/>
      <c r="D842" s="62"/>
      <c r="E842" s="63"/>
      <c r="F842" s="63">
        <f t="shared" ref="F842:F904" si="46">+E842*0.08</f>
        <v>0</v>
      </c>
      <c r="G842" s="64">
        <f t="shared" ref="G842:G898" si="47">E842+F842</f>
        <v>0</v>
      </c>
      <c r="H842" s="65"/>
      <c r="I842" s="65"/>
      <c r="J842" s="66">
        <f t="shared" si="45"/>
        <v>0</v>
      </c>
      <c r="K842" s="67"/>
    </row>
    <row r="843" spans="1:11" ht="15" customHeight="1" x14ac:dyDescent="0.3">
      <c r="A843" s="59"/>
      <c r="B843" s="60"/>
      <c r="C843" s="62"/>
      <c r="D843" s="62"/>
      <c r="E843" s="63"/>
      <c r="F843" s="63">
        <f t="shared" si="46"/>
        <v>0</v>
      </c>
      <c r="G843" s="64">
        <f t="shared" si="47"/>
        <v>0</v>
      </c>
      <c r="H843" s="65"/>
      <c r="I843" s="65"/>
      <c r="J843" s="66">
        <f t="shared" si="45"/>
        <v>0</v>
      </c>
      <c r="K843" s="67"/>
    </row>
    <row r="844" spans="1:11" ht="15" customHeight="1" x14ac:dyDescent="0.3">
      <c r="A844" s="59"/>
      <c r="B844" s="60"/>
      <c r="C844" s="62"/>
      <c r="D844" s="62"/>
      <c r="E844" s="63"/>
      <c r="F844" s="63">
        <f t="shared" si="46"/>
        <v>0</v>
      </c>
      <c r="G844" s="64">
        <f t="shared" si="47"/>
        <v>0</v>
      </c>
      <c r="H844" s="65"/>
      <c r="I844" s="65"/>
      <c r="J844" s="66">
        <f t="shared" si="45"/>
        <v>0</v>
      </c>
      <c r="K844" s="67"/>
    </row>
    <row r="845" spans="1:11" ht="15" customHeight="1" x14ac:dyDescent="0.3">
      <c r="A845" s="59"/>
      <c r="B845" s="60"/>
      <c r="C845" s="62"/>
      <c r="D845" s="62"/>
      <c r="E845" s="63"/>
      <c r="F845" s="63">
        <f t="shared" si="46"/>
        <v>0</v>
      </c>
      <c r="G845" s="64">
        <f t="shared" si="47"/>
        <v>0</v>
      </c>
      <c r="H845" s="65"/>
      <c r="I845" s="65"/>
      <c r="J845" s="66">
        <f t="shared" si="45"/>
        <v>0</v>
      </c>
      <c r="K845" s="67"/>
    </row>
    <row r="846" spans="1:11" ht="15" customHeight="1" x14ac:dyDescent="0.3">
      <c r="A846" s="59"/>
      <c r="B846" s="60"/>
      <c r="C846" s="62"/>
      <c r="D846" s="62"/>
      <c r="E846" s="63"/>
      <c r="F846" s="63">
        <f t="shared" si="46"/>
        <v>0</v>
      </c>
      <c r="G846" s="64">
        <f t="shared" si="47"/>
        <v>0</v>
      </c>
      <c r="H846" s="65"/>
      <c r="I846" s="65"/>
      <c r="J846" s="66">
        <f t="shared" si="45"/>
        <v>0</v>
      </c>
      <c r="K846" s="67"/>
    </row>
    <row r="847" spans="1:11" ht="15" customHeight="1" x14ac:dyDescent="0.3">
      <c r="A847" s="59"/>
      <c r="B847" s="60"/>
      <c r="C847" s="62"/>
      <c r="D847" s="62"/>
      <c r="E847" s="63"/>
      <c r="F847" s="63">
        <f t="shared" si="46"/>
        <v>0</v>
      </c>
      <c r="G847" s="64">
        <f t="shared" si="47"/>
        <v>0</v>
      </c>
      <c r="H847" s="65"/>
      <c r="I847" s="65"/>
      <c r="J847" s="66">
        <f t="shared" si="45"/>
        <v>0</v>
      </c>
      <c r="K847" s="67"/>
    </row>
    <row r="848" spans="1:11" ht="15" customHeight="1" x14ac:dyDescent="0.3">
      <c r="A848" s="59"/>
      <c r="B848" s="60"/>
      <c r="C848" s="62"/>
      <c r="D848" s="62"/>
      <c r="E848" s="63"/>
      <c r="F848" s="63">
        <f t="shared" si="46"/>
        <v>0</v>
      </c>
      <c r="G848" s="64">
        <f t="shared" si="47"/>
        <v>0</v>
      </c>
      <c r="H848" s="65"/>
      <c r="I848" s="65"/>
      <c r="J848" s="66">
        <f t="shared" si="45"/>
        <v>0</v>
      </c>
      <c r="K848" s="67"/>
    </row>
    <row r="849" spans="1:11" ht="15" customHeight="1" x14ac:dyDescent="0.3">
      <c r="A849" s="59"/>
      <c r="B849" s="60"/>
      <c r="C849" s="62"/>
      <c r="D849" s="62"/>
      <c r="E849" s="63"/>
      <c r="F849" s="63">
        <f t="shared" si="46"/>
        <v>0</v>
      </c>
      <c r="G849" s="64">
        <f t="shared" si="47"/>
        <v>0</v>
      </c>
      <c r="H849" s="65"/>
      <c r="I849" s="65"/>
      <c r="J849" s="66">
        <f t="shared" si="45"/>
        <v>0</v>
      </c>
      <c r="K849" s="67"/>
    </row>
    <row r="850" spans="1:11" ht="15" customHeight="1" x14ac:dyDescent="0.3">
      <c r="A850" s="59"/>
      <c r="B850" s="60"/>
      <c r="C850" s="62"/>
      <c r="D850" s="62"/>
      <c r="E850" s="63"/>
      <c r="F850" s="63">
        <f t="shared" si="46"/>
        <v>0</v>
      </c>
      <c r="G850" s="64">
        <f t="shared" si="47"/>
        <v>0</v>
      </c>
      <c r="H850" s="65"/>
      <c r="I850" s="65"/>
      <c r="J850" s="66">
        <f t="shared" si="45"/>
        <v>0</v>
      </c>
      <c r="K850" s="67"/>
    </row>
    <row r="851" spans="1:11" ht="15" customHeight="1" x14ac:dyDescent="0.3">
      <c r="A851" s="59"/>
      <c r="B851" s="60"/>
      <c r="C851" s="62"/>
      <c r="D851" s="62"/>
      <c r="E851" s="63"/>
      <c r="F851" s="63">
        <f t="shared" si="46"/>
        <v>0</v>
      </c>
      <c r="G851" s="64">
        <f t="shared" si="47"/>
        <v>0</v>
      </c>
      <c r="H851" s="65"/>
      <c r="I851" s="65"/>
      <c r="J851" s="66">
        <f t="shared" si="45"/>
        <v>0</v>
      </c>
      <c r="K851" s="67"/>
    </row>
    <row r="852" spans="1:11" ht="15" customHeight="1" x14ac:dyDescent="0.3">
      <c r="A852" s="59"/>
      <c r="B852" s="60"/>
      <c r="C852" s="62"/>
      <c r="D852" s="62"/>
      <c r="E852" s="63"/>
      <c r="F852" s="63">
        <f t="shared" si="46"/>
        <v>0</v>
      </c>
      <c r="G852" s="64">
        <f t="shared" si="47"/>
        <v>0</v>
      </c>
      <c r="H852" s="65"/>
      <c r="I852" s="65"/>
      <c r="J852" s="66">
        <f t="shared" si="45"/>
        <v>0</v>
      </c>
      <c r="K852" s="67"/>
    </row>
    <row r="853" spans="1:11" ht="15" customHeight="1" x14ac:dyDescent="0.3">
      <c r="A853" s="59"/>
      <c r="B853" s="60"/>
      <c r="C853" s="62"/>
      <c r="D853" s="62"/>
      <c r="E853" s="63"/>
      <c r="F853" s="63">
        <f t="shared" si="46"/>
        <v>0</v>
      </c>
      <c r="G853" s="64">
        <f t="shared" si="47"/>
        <v>0</v>
      </c>
      <c r="H853" s="65"/>
      <c r="I853" s="65"/>
      <c r="J853" s="66">
        <f t="shared" si="45"/>
        <v>0</v>
      </c>
      <c r="K853" s="67"/>
    </row>
    <row r="854" spans="1:11" ht="15" customHeight="1" x14ac:dyDescent="0.3">
      <c r="A854" s="59"/>
      <c r="B854" s="60"/>
      <c r="C854" s="62"/>
      <c r="D854" s="62"/>
      <c r="E854" s="63"/>
      <c r="F854" s="63">
        <f t="shared" si="46"/>
        <v>0</v>
      </c>
      <c r="G854" s="64">
        <f t="shared" si="47"/>
        <v>0</v>
      </c>
      <c r="H854" s="65"/>
      <c r="I854" s="65"/>
      <c r="J854" s="66">
        <f t="shared" si="45"/>
        <v>0</v>
      </c>
      <c r="K854" s="67"/>
    </row>
    <row r="855" spans="1:11" ht="15" customHeight="1" x14ac:dyDescent="0.3">
      <c r="A855" s="59"/>
      <c r="B855" s="60"/>
      <c r="C855" s="62"/>
      <c r="D855" s="62"/>
      <c r="E855" s="63"/>
      <c r="F855" s="63">
        <f t="shared" si="46"/>
        <v>0</v>
      </c>
      <c r="G855" s="64">
        <f t="shared" si="47"/>
        <v>0</v>
      </c>
      <c r="H855" s="65"/>
      <c r="I855" s="65"/>
      <c r="J855" s="66">
        <f t="shared" si="45"/>
        <v>0</v>
      </c>
      <c r="K855" s="67"/>
    </row>
    <row r="856" spans="1:11" ht="15" customHeight="1" x14ac:dyDescent="0.3">
      <c r="A856" s="59"/>
      <c r="B856" s="60"/>
      <c r="C856" s="62"/>
      <c r="D856" s="62"/>
      <c r="E856" s="63"/>
      <c r="F856" s="63">
        <f t="shared" si="46"/>
        <v>0</v>
      </c>
      <c r="G856" s="64">
        <f t="shared" si="47"/>
        <v>0</v>
      </c>
      <c r="H856" s="65"/>
      <c r="I856" s="65"/>
      <c r="J856" s="66">
        <f t="shared" si="45"/>
        <v>0</v>
      </c>
      <c r="K856" s="67"/>
    </row>
    <row r="857" spans="1:11" ht="15" customHeight="1" x14ac:dyDescent="0.3">
      <c r="A857" s="59"/>
      <c r="B857" s="60"/>
      <c r="C857" s="62"/>
      <c r="D857" s="62"/>
      <c r="E857" s="63"/>
      <c r="F857" s="63">
        <f t="shared" si="46"/>
        <v>0</v>
      </c>
      <c r="G857" s="64">
        <f t="shared" si="47"/>
        <v>0</v>
      </c>
      <c r="H857" s="65"/>
      <c r="I857" s="65"/>
      <c r="J857" s="66">
        <f t="shared" si="45"/>
        <v>0</v>
      </c>
      <c r="K857" s="67"/>
    </row>
    <row r="858" spans="1:11" ht="15" customHeight="1" x14ac:dyDescent="0.3">
      <c r="A858" s="59"/>
      <c r="B858" s="60"/>
      <c r="C858" s="62"/>
      <c r="D858" s="62"/>
      <c r="E858" s="63"/>
      <c r="F858" s="63">
        <f t="shared" si="46"/>
        <v>0</v>
      </c>
      <c r="G858" s="64">
        <f t="shared" si="47"/>
        <v>0</v>
      </c>
      <c r="H858" s="65"/>
      <c r="I858" s="65"/>
      <c r="J858" s="66">
        <f t="shared" si="45"/>
        <v>0</v>
      </c>
      <c r="K858" s="67"/>
    </row>
    <row r="859" spans="1:11" ht="15" customHeight="1" x14ac:dyDescent="0.3">
      <c r="A859" s="59"/>
      <c r="B859" s="60"/>
      <c r="C859" s="62"/>
      <c r="D859" s="62"/>
      <c r="E859" s="63"/>
      <c r="F859" s="63">
        <f t="shared" si="46"/>
        <v>0</v>
      </c>
      <c r="G859" s="64">
        <f t="shared" si="47"/>
        <v>0</v>
      </c>
      <c r="H859" s="65"/>
      <c r="I859" s="65"/>
      <c r="J859" s="66">
        <f t="shared" si="45"/>
        <v>0</v>
      </c>
      <c r="K859" s="67"/>
    </row>
    <row r="860" spans="1:11" ht="15" customHeight="1" x14ac:dyDescent="0.3">
      <c r="A860" s="59"/>
      <c r="B860" s="60"/>
      <c r="C860" s="62"/>
      <c r="D860" s="62"/>
      <c r="E860" s="63"/>
      <c r="F860" s="63">
        <f t="shared" si="46"/>
        <v>0</v>
      </c>
      <c r="G860" s="64">
        <f t="shared" si="47"/>
        <v>0</v>
      </c>
      <c r="H860" s="65"/>
      <c r="I860" s="65"/>
      <c r="J860" s="66">
        <f t="shared" si="45"/>
        <v>0</v>
      </c>
      <c r="K860" s="67"/>
    </row>
    <row r="861" spans="1:11" ht="15" customHeight="1" x14ac:dyDescent="0.3">
      <c r="A861" s="59"/>
      <c r="B861" s="60"/>
      <c r="C861" s="62"/>
      <c r="D861" s="62"/>
      <c r="E861" s="63"/>
      <c r="F861" s="63">
        <f t="shared" si="46"/>
        <v>0</v>
      </c>
      <c r="G861" s="64">
        <f t="shared" si="47"/>
        <v>0</v>
      </c>
      <c r="H861" s="65"/>
      <c r="I861" s="65"/>
      <c r="J861" s="66">
        <f t="shared" si="45"/>
        <v>0</v>
      </c>
      <c r="K861" s="67"/>
    </row>
    <row r="862" spans="1:11" ht="15" customHeight="1" x14ac:dyDescent="0.3">
      <c r="A862" s="59"/>
      <c r="B862" s="60"/>
      <c r="C862" s="62"/>
      <c r="D862" s="62"/>
      <c r="E862" s="63"/>
      <c r="F862" s="63">
        <f t="shared" si="46"/>
        <v>0</v>
      </c>
      <c r="G862" s="64">
        <f t="shared" si="47"/>
        <v>0</v>
      </c>
      <c r="H862" s="65"/>
      <c r="I862" s="65"/>
      <c r="J862" s="66">
        <f t="shared" si="45"/>
        <v>0</v>
      </c>
      <c r="K862" s="67"/>
    </row>
    <row r="863" spans="1:11" ht="15" customHeight="1" x14ac:dyDescent="0.3">
      <c r="A863" s="59"/>
      <c r="B863" s="60"/>
      <c r="C863" s="62"/>
      <c r="D863" s="62"/>
      <c r="E863" s="63"/>
      <c r="F863" s="63">
        <f t="shared" si="46"/>
        <v>0</v>
      </c>
      <c r="G863" s="64">
        <f t="shared" si="47"/>
        <v>0</v>
      </c>
      <c r="H863" s="65"/>
      <c r="I863" s="65"/>
      <c r="J863" s="66">
        <f t="shared" si="45"/>
        <v>0</v>
      </c>
      <c r="K863" s="67"/>
    </row>
    <row r="864" spans="1:11" ht="15" customHeight="1" x14ac:dyDescent="0.3">
      <c r="A864" s="59"/>
      <c r="B864" s="60"/>
      <c r="C864" s="62"/>
      <c r="D864" s="62"/>
      <c r="E864" s="63"/>
      <c r="F864" s="63">
        <f t="shared" si="46"/>
        <v>0</v>
      </c>
      <c r="G864" s="64">
        <f t="shared" si="47"/>
        <v>0</v>
      </c>
      <c r="H864" s="65"/>
      <c r="I864" s="65"/>
      <c r="J864" s="66">
        <f t="shared" si="45"/>
        <v>0</v>
      </c>
      <c r="K864" s="67"/>
    </row>
    <row r="865" spans="1:11" ht="15" customHeight="1" x14ac:dyDescent="0.3">
      <c r="A865" s="59"/>
      <c r="B865" s="60"/>
      <c r="C865" s="62"/>
      <c r="D865" s="62"/>
      <c r="E865" s="63"/>
      <c r="F865" s="63">
        <f t="shared" si="46"/>
        <v>0</v>
      </c>
      <c r="G865" s="64">
        <f t="shared" si="47"/>
        <v>0</v>
      </c>
      <c r="H865" s="65"/>
      <c r="I865" s="65"/>
      <c r="J865" s="66">
        <f t="shared" si="45"/>
        <v>0</v>
      </c>
      <c r="K865" s="67"/>
    </row>
    <row r="866" spans="1:11" ht="15" customHeight="1" x14ac:dyDescent="0.3">
      <c r="A866" s="59"/>
      <c r="B866" s="60"/>
      <c r="C866" s="62"/>
      <c r="D866" s="62"/>
      <c r="E866" s="63"/>
      <c r="F866" s="63">
        <f t="shared" si="46"/>
        <v>0</v>
      </c>
      <c r="G866" s="64">
        <f t="shared" si="47"/>
        <v>0</v>
      </c>
      <c r="H866" s="65"/>
      <c r="I866" s="65"/>
      <c r="J866" s="66">
        <f t="shared" si="45"/>
        <v>0</v>
      </c>
      <c r="K866" s="67"/>
    </row>
    <row r="867" spans="1:11" ht="15" customHeight="1" x14ac:dyDescent="0.3">
      <c r="A867" s="59"/>
      <c r="B867" s="60"/>
      <c r="C867" s="62"/>
      <c r="D867" s="62"/>
      <c r="E867" s="63"/>
      <c r="F867" s="63">
        <f t="shared" si="46"/>
        <v>0</v>
      </c>
      <c r="G867" s="64">
        <f t="shared" si="47"/>
        <v>0</v>
      </c>
      <c r="H867" s="65"/>
      <c r="I867" s="65"/>
      <c r="J867" s="66">
        <f t="shared" si="45"/>
        <v>0</v>
      </c>
      <c r="K867" s="67"/>
    </row>
    <row r="868" spans="1:11" ht="15" customHeight="1" x14ac:dyDescent="0.3">
      <c r="A868" s="59"/>
      <c r="B868" s="60"/>
      <c r="C868" s="62"/>
      <c r="D868" s="62"/>
      <c r="E868" s="63"/>
      <c r="F868" s="63">
        <f t="shared" si="46"/>
        <v>0</v>
      </c>
      <c r="G868" s="64">
        <f t="shared" si="47"/>
        <v>0</v>
      </c>
      <c r="H868" s="65"/>
      <c r="I868" s="65"/>
      <c r="J868" s="66">
        <f t="shared" si="45"/>
        <v>0</v>
      </c>
      <c r="K868" s="67"/>
    </row>
    <row r="869" spans="1:11" ht="15" customHeight="1" x14ac:dyDescent="0.3">
      <c r="A869" s="59"/>
      <c r="B869" s="60"/>
      <c r="C869" s="62"/>
      <c r="D869" s="62"/>
      <c r="E869" s="63"/>
      <c r="F869" s="63">
        <f t="shared" si="46"/>
        <v>0</v>
      </c>
      <c r="G869" s="64">
        <f t="shared" si="47"/>
        <v>0</v>
      </c>
      <c r="H869" s="65"/>
      <c r="I869" s="65"/>
      <c r="J869" s="66">
        <f t="shared" si="45"/>
        <v>0</v>
      </c>
      <c r="K869" s="67"/>
    </row>
    <row r="870" spans="1:11" ht="15" customHeight="1" x14ac:dyDescent="0.3">
      <c r="A870" s="59"/>
      <c r="B870" s="60"/>
      <c r="C870" s="62"/>
      <c r="D870" s="62"/>
      <c r="E870" s="63"/>
      <c r="F870" s="63">
        <f t="shared" si="46"/>
        <v>0</v>
      </c>
      <c r="G870" s="64">
        <f t="shared" si="47"/>
        <v>0</v>
      </c>
      <c r="H870" s="65"/>
      <c r="I870" s="65"/>
      <c r="J870" s="66">
        <f t="shared" si="45"/>
        <v>0</v>
      </c>
      <c r="K870" s="67"/>
    </row>
    <row r="871" spans="1:11" ht="15" customHeight="1" x14ac:dyDescent="0.3">
      <c r="A871" s="59"/>
      <c r="B871" s="60"/>
      <c r="C871" s="62"/>
      <c r="D871" s="62"/>
      <c r="E871" s="63"/>
      <c r="F871" s="63">
        <f t="shared" si="46"/>
        <v>0</v>
      </c>
      <c r="G871" s="64">
        <f t="shared" si="47"/>
        <v>0</v>
      </c>
      <c r="H871" s="65"/>
      <c r="I871" s="65"/>
      <c r="J871" s="66">
        <f t="shared" si="45"/>
        <v>0</v>
      </c>
      <c r="K871" s="67"/>
    </row>
    <row r="872" spans="1:11" ht="15" customHeight="1" x14ac:dyDescent="0.3">
      <c r="A872" s="59"/>
      <c r="B872" s="60"/>
      <c r="C872" s="62"/>
      <c r="D872" s="62"/>
      <c r="E872" s="63"/>
      <c r="F872" s="63">
        <f t="shared" si="46"/>
        <v>0</v>
      </c>
      <c r="G872" s="64">
        <f t="shared" si="47"/>
        <v>0</v>
      </c>
      <c r="H872" s="65"/>
      <c r="I872" s="65"/>
      <c r="J872" s="66">
        <f t="shared" si="45"/>
        <v>0</v>
      </c>
      <c r="K872" s="67"/>
    </row>
    <row r="873" spans="1:11" ht="15" customHeight="1" x14ac:dyDescent="0.3">
      <c r="A873" s="59"/>
      <c r="B873" s="60"/>
      <c r="C873" s="62"/>
      <c r="D873" s="62"/>
      <c r="E873" s="63"/>
      <c r="F873" s="63">
        <f t="shared" si="46"/>
        <v>0</v>
      </c>
      <c r="G873" s="64">
        <f t="shared" si="47"/>
        <v>0</v>
      </c>
      <c r="H873" s="65"/>
      <c r="I873" s="65"/>
      <c r="J873" s="66">
        <f t="shared" si="45"/>
        <v>0</v>
      </c>
      <c r="K873" s="67"/>
    </row>
    <row r="874" spans="1:11" ht="15" customHeight="1" x14ac:dyDescent="0.3">
      <c r="A874" s="59"/>
      <c r="B874" s="60"/>
      <c r="C874" s="62"/>
      <c r="D874" s="62"/>
      <c r="E874" s="63"/>
      <c r="F874" s="63">
        <f t="shared" si="46"/>
        <v>0</v>
      </c>
      <c r="G874" s="64">
        <f t="shared" si="47"/>
        <v>0</v>
      </c>
      <c r="H874" s="65"/>
      <c r="I874" s="65"/>
      <c r="J874" s="66">
        <f t="shared" si="45"/>
        <v>0</v>
      </c>
      <c r="K874" s="67"/>
    </row>
    <row r="875" spans="1:11" ht="15" customHeight="1" x14ac:dyDescent="0.3">
      <c r="A875" s="59"/>
      <c r="B875" s="60"/>
      <c r="C875" s="62"/>
      <c r="D875" s="62"/>
      <c r="E875" s="63"/>
      <c r="F875" s="63">
        <f t="shared" si="46"/>
        <v>0</v>
      </c>
      <c r="G875" s="64">
        <f t="shared" si="47"/>
        <v>0</v>
      </c>
      <c r="H875" s="65"/>
      <c r="I875" s="65"/>
      <c r="J875" s="66">
        <f t="shared" si="45"/>
        <v>0</v>
      </c>
      <c r="K875" s="67"/>
    </row>
    <row r="876" spans="1:11" ht="15" customHeight="1" x14ac:dyDescent="0.3">
      <c r="A876" s="59"/>
      <c r="B876" s="60"/>
      <c r="C876" s="62"/>
      <c r="D876" s="62"/>
      <c r="E876" s="63"/>
      <c r="F876" s="63">
        <f t="shared" si="46"/>
        <v>0</v>
      </c>
      <c r="G876" s="64">
        <f t="shared" si="47"/>
        <v>0</v>
      </c>
      <c r="H876" s="65"/>
      <c r="I876" s="65"/>
      <c r="J876" s="66">
        <f t="shared" si="45"/>
        <v>0</v>
      </c>
      <c r="K876" s="67"/>
    </row>
    <row r="877" spans="1:11" ht="15" customHeight="1" x14ac:dyDescent="0.3">
      <c r="A877" s="59"/>
      <c r="B877" s="60"/>
      <c r="C877" s="62"/>
      <c r="D877" s="62"/>
      <c r="E877" s="63"/>
      <c r="F877" s="63">
        <f t="shared" si="46"/>
        <v>0</v>
      </c>
      <c r="G877" s="64">
        <f t="shared" si="47"/>
        <v>0</v>
      </c>
      <c r="H877" s="65"/>
      <c r="I877" s="65"/>
      <c r="J877" s="66">
        <f t="shared" si="45"/>
        <v>0</v>
      </c>
      <c r="K877" s="67"/>
    </row>
    <row r="878" spans="1:11" ht="15" customHeight="1" x14ac:dyDescent="0.3">
      <c r="A878" s="59"/>
      <c r="B878" s="60"/>
      <c r="C878" s="62"/>
      <c r="D878" s="62"/>
      <c r="E878" s="63"/>
      <c r="F878" s="63">
        <f t="shared" si="46"/>
        <v>0</v>
      </c>
      <c r="G878" s="64">
        <f t="shared" si="47"/>
        <v>0</v>
      </c>
      <c r="H878" s="65"/>
      <c r="I878" s="65"/>
      <c r="J878" s="66">
        <f t="shared" si="45"/>
        <v>0</v>
      </c>
      <c r="K878" s="67"/>
    </row>
    <row r="879" spans="1:11" ht="15" customHeight="1" x14ac:dyDescent="0.3">
      <c r="A879" s="59"/>
      <c r="B879" s="60"/>
      <c r="C879" s="62"/>
      <c r="D879" s="62"/>
      <c r="E879" s="63"/>
      <c r="F879" s="63">
        <f t="shared" si="46"/>
        <v>0</v>
      </c>
      <c r="G879" s="64">
        <f t="shared" si="47"/>
        <v>0</v>
      </c>
      <c r="H879" s="65"/>
      <c r="I879" s="65"/>
      <c r="J879" s="66">
        <f t="shared" si="45"/>
        <v>0</v>
      </c>
      <c r="K879" s="67"/>
    </row>
    <row r="880" spans="1:11" ht="15" customHeight="1" x14ac:dyDescent="0.3">
      <c r="A880" s="59"/>
      <c r="B880" s="60"/>
      <c r="C880" s="62"/>
      <c r="D880" s="62"/>
      <c r="E880" s="63"/>
      <c r="F880" s="63">
        <f t="shared" si="46"/>
        <v>0</v>
      </c>
      <c r="G880" s="64">
        <f t="shared" si="47"/>
        <v>0</v>
      </c>
      <c r="H880" s="65"/>
      <c r="I880" s="65"/>
      <c r="J880" s="66">
        <f t="shared" si="45"/>
        <v>0</v>
      </c>
      <c r="K880" s="67"/>
    </row>
    <row r="881" spans="1:11" ht="15" customHeight="1" x14ac:dyDescent="0.3">
      <c r="A881" s="59"/>
      <c r="B881" s="60"/>
      <c r="C881" s="62"/>
      <c r="D881" s="62"/>
      <c r="E881" s="63"/>
      <c r="F881" s="63">
        <f t="shared" si="46"/>
        <v>0</v>
      </c>
      <c r="G881" s="64">
        <f t="shared" si="47"/>
        <v>0</v>
      </c>
      <c r="H881" s="65"/>
      <c r="I881" s="65"/>
      <c r="J881" s="66">
        <f t="shared" si="45"/>
        <v>0</v>
      </c>
      <c r="K881" s="67"/>
    </row>
    <row r="882" spans="1:11" ht="15" customHeight="1" x14ac:dyDescent="0.3">
      <c r="A882" s="59"/>
      <c r="B882" s="60"/>
      <c r="C882" s="62"/>
      <c r="D882" s="62"/>
      <c r="E882" s="63"/>
      <c r="F882" s="63">
        <f t="shared" si="46"/>
        <v>0</v>
      </c>
      <c r="G882" s="64">
        <f t="shared" si="47"/>
        <v>0</v>
      </c>
      <c r="H882" s="65"/>
      <c r="I882" s="65"/>
      <c r="J882" s="66">
        <f t="shared" si="45"/>
        <v>0</v>
      </c>
      <c r="K882" s="67"/>
    </row>
    <row r="883" spans="1:11" ht="15" customHeight="1" x14ac:dyDescent="0.3">
      <c r="A883" s="59"/>
      <c r="B883" s="60"/>
      <c r="C883" s="62"/>
      <c r="D883" s="62"/>
      <c r="E883" s="63"/>
      <c r="F883" s="63">
        <f t="shared" si="46"/>
        <v>0</v>
      </c>
      <c r="G883" s="64">
        <f t="shared" si="47"/>
        <v>0</v>
      </c>
      <c r="H883" s="65"/>
      <c r="I883" s="65"/>
      <c r="J883" s="66">
        <f t="shared" ref="J883:J908" si="48">G883-H883</f>
        <v>0</v>
      </c>
      <c r="K883" s="67"/>
    </row>
    <row r="884" spans="1:11" ht="15" customHeight="1" x14ac:dyDescent="0.3">
      <c r="A884" s="59"/>
      <c r="B884" s="60"/>
      <c r="C884" s="62"/>
      <c r="D884" s="62"/>
      <c r="E884" s="63"/>
      <c r="F884" s="63">
        <f t="shared" si="46"/>
        <v>0</v>
      </c>
      <c r="G884" s="64">
        <f t="shared" si="47"/>
        <v>0</v>
      </c>
      <c r="H884" s="65"/>
      <c r="I884" s="65"/>
      <c r="J884" s="66">
        <f t="shared" si="48"/>
        <v>0</v>
      </c>
      <c r="K884" s="67"/>
    </row>
    <row r="885" spans="1:11" ht="15" customHeight="1" x14ac:dyDescent="0.3">
      <c r="A885" s="59"/>
      <c r="B885" s="60"/>
      <c r="C885" s="62"/>
      <c r="D885" s="62"/>
      <c r="E885" s="63"/>
      <c r="F885" s="63">
        <f t="shared" si="46"/>
        <v>0</v>
      </c>
      <c r="G885" s="64">
        <f t="shared" si="47"/>
        <v>0</v>
      </c>
      <c r="H885" s="65"/>
      <c r="I885" s="65"/>
      <c r="J885" s="66">
        <f t="shared" si="48"/>
        <v>0</v>
      </c>
      <c r="K885" s="67"/>
    </row>
    <row r="886" spans="1:11" ht="15" customHeight="1" x14ac:dyDescent="0.3">
      <c r="A886" s="59"/>
      <c r="B886" s="60"/>
      <c r="C886" s="62"/>
      <c r="D886" s="62"/>
      <c r="E886" s="63"/>
      <c r="F886" s="63">
        <f t="shared" si="46"/>
        <v>0</v>
      </c>
      <c r="G886" s="64">
        <f t="shared" si="47"/>
        <v>0</v>
      </c>
      <c r="H886" s="65"/>
      <c r="I886" s="65"/>
      <c r="J886" s="66">
        <f t="shared" si="48"/>
        <v>0</v>
      </c>
      <c r="K886" s="67"/>
    </row>
    <row r="887" spans="1:11" ht="15" customHeight="1" x14ac:dyDescent="0.3">
      <c r="A887" s="59"/>
      <c r="B887" s="60"/>
      <c r="C887" s="62"/>
      <c r="D887" s="62"/>
      <c r="E887" s="63"/>
      <c r="F887" s="63">
        <f t="shared" si="46"/>
        <v>0</v>
      </c>
      <c r="G887" s="64">
        <f t="shared" si="47"/>
        <v>0</v>
      </c>
      <c r="H887" s="65"/>
      <c r="I887" s="65"/>
      <c r="J887" s="66">
        <f t="shared" si="48"/>
        <v>0</v>
      </c>
      <c r="K887" s="67"/>
    </row>
    <row r="888" spans="1:11" ht="15" customHeight="1" x14ac:dyDescent="0.3">
      <c r="A888" s="59"/>
      <c r="B888" s="60"/>
      <c r="C888" s="62"/>
      <c r="D888" s="62"/>
      <c r="E888" s="63"/>
      <c r="F888" s="63">
        <f t="shared" si="46"/>
        <v>0</v>
      </c>
      <c r="G888" s="64">
        <f t="shared" si="47"/>
        <v>0</v>
      </c>
      <c r="H888" s="65"/>
      <c r="I888" s="65"/>
      <c r="J888" s="66">
        <f t="shared" si="48"/>
        <v>0</v>
      </c>
      <c r="K888" s="67"/>
    </row>
    <row r="889" spans="1:11" ht="15" customHeight="1" x14ac:dyDescent="0.3">
      <c r="A889" s="59"/>
      <c r="B889" s="60"/>
      <c r="C889" s="62"/>
      <c r="D889" s="62"/>
      <c r="E889" s="63"/>
      <c r="F889" s="63">
        <f t="shared" si="46"/>
        <v>0</v>
      </c>
      <c r="G889" s="64">
        <f t="shared" si="47"/>
        <v>0</v>
      </c>
      <c r="H889" s="65"/>
      <c r="I889" s="65"/>
      <c r="J889" s="66">
        <f t="shared" si="48"/>
        <v>0</v>
      </c>
      <c r="K889" s="67"/>
    </row>
    <row r="890" spans="1:11" ht="15" customHeight="1" x14ac:dyDescent="0.3">
      <c r="A890" s="59"/>
      <c r="B890" s="60"/>
      <c r="C890" s="62"/>
      <c r="D890" s="62"/>
      <c r="E890" s="63"/>
      <c r="F890" s="63">
        <f t="shared" si="46"/>
        <v>0</v>
      </c>
      <c r="G890" s="64">
        <f t="shared" si="47"/>
        <v>0</v>
      </c>
      <c r="H890" s="65"/>
      <c r="I890" s="65"/>
      <c r="J890" s="66">
        <f t="shared" si="48"/>
        <v>0</v>
      </c>
      <c r="K890" s="67"/>
    </row>
    <row r="891" spans="1:11" ht="15" customHeight="1" x14ac:dyDescent="0.3">
      <c r="A891" s="59"/>
      <c r="B891" s="60"/>
      <c r="C891" s="62"/>
      <c r="D891" s="62"/>
      <c r="E891" s="63"/>
      <c r="F891" s="63">
        <f t="shared" si="46"/>
        <v>0</v>
      </c>
      <c r="G891" s="64">
        <f t="shared" si="47"/>
        <v>0</v>
      </c>
      <c r="H891" s="65"/>
      <c r="I891" s="65"/>
      <c r="J891" s="66">
        <f t="shared" si="48"/>
        <v>0</v>
      </c>
      <c r="K891" s="67"/>
    </row>
    <row r="892" spans="1:11" ht="15" customHeight="1" x14ac:dyDescent="0.3">
      <c r="A892" s="59"/>
      <c r="B892" s="60"/>
      <c r="C892" s="62"/>
      <c r="D892" s="62"/>
      <c r="E892" s="63"/>
      <c r="F892" s="63">
        <f t="shared" si="46"/>
        <v>0</v>
      </c>
      <c r="G892" s="64">
        <f t="shared" si="47"/>
        <v>0</v>
      </c>
      <c r="H892" s="65"/>
      <c r="I892" s="65"/>
      <c r="J892" s="66">
        <f t="shared" si="48"/>
        <v>0</v>
      </c>
      <c r="K892" s="67"/>
    </row>
    <row r="893" spans="1:11" ht="15" customHeight="1" x14ac:dyDescent="0.3">
      <c r="A893" s="59"/>
      <c r="B893" s="60"/>
      <c r="C893" s="62"/>
      <c r="D893" s="62"/>
      <c r="E893" s="63"/>
      <c r="F893" s="63">
        <f t="shared" si="46"/>
        <v>0</v>
      </c>
      <c r="G893" s="64">
        <f t="shared" si="47"/>
        <v>0</v>
      </c>
      <c r="H893" s="65"/>
      <c r="I893" s="65"/>
      <c r="J893" s="66">
        <f t="shared" si="48"/>
        <v>0</v>
      </c>
      <c r="K893" s="67"/>
    </row>
    <row r="894" spans="1:11" ht="15" customHeight="1" x14ac:dyDescent="0.3">
      <c r="A894" s="59"/>
      <c r="B894" s="60"/>
      <c r="C894" s="62"/>
      <c r="D894" s="62"/>
      <c r="E894" s="63"/>
      <c r="F894" s="63">
        <f t="shared" si="46"/>
        <v>0</v>
      </c>
      <c r="G894" s="64">
        <f t="shared" si="47"/>
        <v>0</v>
      </c>
      <c r="H894" s="65"/>
      <c r="I894" s="65"/>
      <c r="J894" s="66">
        <f t="shared" si="48"/>
        <v>0</v>
      </c>
      <c r="K894" s="67"/>
    </row>
    <row r="895" spans="1:11" ht="15" customHeight="1" x14ac:dyDescent="0.3">
      <c r="A895" s="59"/>
      <c r="B895" s="60"/>
      <c r="C895" s="62"/>
      <c r="D895" s="62"/>
      <c r="E895" s="63"/>
      <c r="F895" s="63">
        <f t="shared" si="46"/>
        <v>0</v>
      </c>
      <c r="G895" s="64">
        <f t="shared" si="47"/>
        <v>0</v>
      </c>
      <c r="H895" s="65"/>
      <c r="I895" s="65"/>
      <c r="J895" s="66">
        <f t="shared" si="48"/>
        <v>0</v>
      </c>
      <c r="K895" s="67"/>
    </row>
    <row r="896" spans="1:11" ht="15" customHeight="1" x14ac:dyDescent="0.3">
      <c r="A896" s="59"/>
      <c r="B896" s="60"/>
      <c r="C896" s="62"/>
      <c r="D896" s="62"/>
      <c r="E896" s="63"/>
      <c r="F896" s="63">
        <f t="shared" si="46"/>
        <v>0</v>
      </c>
      <c r="G896" s="64">
        <f t="shared" si="47"/>
        <v>0</v>
      </c>
      <c r="H896" s="65"/>
      <c r="I896" s="65"/>
      <c r="J896" s="66">
        <f t="shared" si="48"/>
        <v>0</v>
      </c>
      <c r="K896" s="67"/>
    </row>
    <row r="897" spans="1:11" ht="15" customHeight="1" x14ac:dyDescent="0.3">
      <c r="A897" s="59"/>
      <c r="B897" s="60"/>
      <c r="C897" s="62"/>
      <c r="D897" s="62"/>
      <c r="E897" s="63"/>
      <c r="F897" s="63">
        <f t="shared" si="46"/>
        <v>0</v>
      </c>
      <c r="G897" s="64">
        <f t="shared" si="47"/>
        <v>0</v>
      </c>
      <c r="H897" s="65"/>
      <c r="I897" s="65"/>
      <c r="J897" s="66">
        <f t="shared" si="48"/>
        <v>0</v>
      </c>
      <c r="K897" s="67"/>
    </row>
    <row r="898" spans="1:11" ht="15" customHeight="1" x14ac:dyDescent="0.3">
      <c r="A898" s="59"/>
      <c r="B898" s="60"/>
      <c r="C898" s="62"/>
      <c r="D898" s="62"/>
      <c r="E898" s="63"/>
      <c r="F898" s="63">
        <f t="shared" si="46"/>
        <v>0</v>
      </c>
      <c r="G898" s="64">
        <f t="shared" si="47"/>
        <v>0</v>
      </c>
      <c r="H898" s="65"/>
      <c r="I898" s="65"/>
      <c r="J898" s="66">
        <f t="shared" si="48"/>
        <v>0</v>
      </c>
      <c r="K898" s="67"/>
    </row>
    <row r="899" spans="1:11" ht="15" customHeight="1" x14ac:dyDescent="0.3">
      <c r="A899" s="59"/>
      <c r="B899" s="60"/>
      <c r="C899" s="62"/>
      <c r="D899" s="62"/>
      <c r="E899" s="63"/>
      <c r="F899" s="63">
        <f t="shared" si="46"/>
        <v>0</v>
      </c>
      <c r="G899" s="64"/>
      <c r="H899" s="65"/>
      <c r="I899" s="65"/>
      <c r="J899" s="66">
        <f t="shared" si="48"/>
        <v>0</v>
      </c>
      <c r="K899" s="67"/>
    </row>
    <row r="900" spans="1:11" ht="15" customHeight="1" x14ac:dyDescent="0.3">
      <c r="A900" s="59"/>
      <c r="B900" s="60"/>
      <c r="C900" s="62"/>
      <c r="D900" s="62"/>
      <c r="E900" s="63"/>
      <c r="F900" s="63">
        <f t="shared" si="46"/>
        <v>0</v>
      </c>
      <c r="G900" s="64"/>
      <c r="H900" s="65"/>
      <c r="I900" s="65"/>
      <c r="J900" s="66">
        <f t="shared" si="48"/>
        <v>0</v>
      </c>
      <c r="K900" s="67"/>
    </row>
    <row r="901" spans="1:11" ht="15" customHeight="1" x14ac:dyDescent="0.3">
      <c r="A901" s="59"/>
      <c r="B901" s="60"/>
      <c r="C901" s="62"/>
      <c r="D901" s="62"/>
      <c r="E901" s="63"/>
      <c r="F901" s="63">
        <f t="shared" si="46"/>
        <v>0</v>
      </c>
      <c r="G901" s="64"/>
      <c r="H901" s="65"/>
      <c r="I901" s="65"/>
      <c r="J901" s="66">
        <f t="shared" si="48"/>
        <v>0</v>
      </c>
      <c r="K901" s="67"/>
    </row>
    <row r="902" spans="1:11" ht="15" customHeight="1" x14ac:dyDescent="0.3">
      <c r="A902" s="59"/>
      <c r="B902" s="60"/>
      <c r="C902" s="62"/>
      <c r="D902" s="62"/>
      <c r="E902" s="63"/>
      <c r="F902" s="63">
        <f t="shared" si="46"/>
        <v>0</v>
      </c>
      <c r="G902" s="64"/>
      <c r="H902" s="65"/>
      <c r="I902" s="65"/>
      <c r="J902" s="66">
        <f t="shared" si="48"/>
        <v>0</v>
      </c>
      <c r="K902" s="67"/>
    </row>
    <row r="903" spans="1:11" ht="15" customHeight="1" x14ac:dyDescent="0.3">
      <c r="A903" s="59"/>
      <c r="B903" s="60"/>
      <c r="C903" s="62"/>
      <c r="D903" s="62"/>
      <c r="E903" s="63"/>
      <c r="F903" s="63">
        <f t="shared" si="46"/>
        <v>0</v>
      </c>
      <c r="G903" s="64"/>
      <c r="H903" s="65"/>
      <c r="I903" s="65"/>
      <c r="J903" s="66">
        <f t="shared" si="48"/>
        <v>0</v>
      </c>
      <c r="K903" s="67"/>
    </row>
    <row r="904" spans="1:11" ht="15" customHeight="1" x14ac:dyDescent="0.3">
      <c r="A904" s="59"/>
      <c r="B904" s="60"/>
      <c r="C904" s="62"/>
      <c r="D904" s="62"/>
      <c r="E904" s="63"/>
      <c r="F904" s="63">
        <f t="shared" si="46"/>
        <v>0</v>
      </c>
      <c r="G904" s="64"/>
      <c r="H904" s="65"/>
      <c r="I904" s="65"/>
      <c r="J904" s="66">
        <f t="shared" si="48"/>
        <v>0</v>
      </c>
      <c r="K904" s="67"/>
    </row>
    <row r="905" spans="1:11" ht="15" customHeight="1" x14ac:dyDescent="0.3">
      <c r="A905" s="59"/>
      <c r="B905" s="60"/>
      <c r="C905" s="62"/>
      <c r="D905" s="62"/>
      <c r="E905" s="63"/>
      <c r="F905" s="63"/>
      <c r="G905" s="64"/>
      <c r="H905" s="65"/>
      <c r="I905" s="65"/>
      <c r="J905" s="66">
        <f t="shared" si="48"/>
        <v>0</v>
      </c>
      <c r="K905" s="67"/>
    </row>
    <row r="906" spans="1:11" ht="15" customHeight="1" x14ac:dyDescent="0.3">
      <c r="A906" s="59"/>
      <c r="B906" s="60"/>
      <c r="C906" s="62"/>
      <c r="D906" s="62"/>
      <c r="E906" s="63"/>
      <c r="F906" s="63"/>
      <c r="G906" s="64"/>
      <c r="H906" s="65"/>
      <c r="I906" s="65"/>
      <c r="J906" s="66">
        <f t="shared" si="48"/>
        <v>0</v>
      </c>
      <c r="K906" s="67"/>
    </row>
    <row r="907" spans="1:11" ht="15" customHeight="1" x14ac:dyDescent="0.3">
      <c r="A907" s="59"/>
      <c r="B907" s="60"/>
      <c r="C907" s="62"/>
      <c r="D907" s="62"/>
      <c r="E907" s="63"/>
      <c r="F907" s="63"/>
      <c r="G907" s="64"/>
      <c r="H907" s="65"/>
      <c r="I907" s="65"/>
      <c r="J907" s="66">
        <f t="shared" si="48"/>
        <v>0</v>
      </c>
      <c r="K907" s="67"/>
    </row>
    <row r="908" spans="1:11" ht="15" customHeight="1" x14ac:dyDescent="0.3">
      <c r="A908" s="59"/>
      <c r="B908" s="60"/>
      <c r="C908" s="62"/>
      <c r="D908" s="62"/>
      <c r="E908" s="63"/>
      <c r="F908" s="63"/>
      <c r="G908" s="64"/>
      <c r="H908" s="65"/>
      <c r="I908" s="65"/>
      <c r="J908" s="66">
        <f t="shared" si="48"/>
        <v>0</v>
      </c>
      <c r="K908" s="67"/>
    </row>
    <row r="909" spans="1:11" ht="15" customHeight="1" x14ac:dyDescent="0.3">
      <c r="A909" s="59"/>
      <c r="B909" s="60"/>
      <c r="C909" s="62"/>
      <c r="D909" s="62"/>
      <c r="E909" s="63"/>
      <c r="F909" s="63"/>
      <c r="G909" s="64"/>
      <c r="H909" s="65"/>
      <c r="I909" s="65"/>
      <c r="J909" s="66"/>
      <c r="K909" s="67"/>
    </row>
    <row r="910" spans="1:11" ht="15" customHeight="1" x14ac:dyDescent="0.3">
      <c r="A910" s="59"/>
      <c r="B910" s="60"/>
      <c r="C910" s="62"/>
      <c r="D910" s="62"/>
      <c r="E910" s="63"/>
      <c r="F910" s="63"/>
      <c r="G910" s="64"/>
      <c r="H910" s="65"/>
      <c r="I910" s="65"/>
      <c r="J910" s="66"/>
      <c r="K910" s="67"/>
    </row>
    <row r="911" spans="1:11" ht="15" customHeight="1" x14ac:dyDescent="0.3">
      <c r="A911" s="59"/>
      <c r="B911" s="60"/>
      <c r="C911" s="62"/>
      <c r="D911" s="62"/>
      <c r="E911" s="63"/>
      <c r="F911" s="63"/>
      <c r="G911" s="64"/>
      <c r="H911" s="65"/>
      <c r="I911" s="65"/>
      <c r="J911" s="66"/>
      <c r="K911" s="67"/>
    </row>
    <row r="912" spans="1:11" ht="15" customHeight="1" x14ac:dyDescent="0.3">
      <c r="A912" s="59"/>
      <c r="B912" s="60"/>
      <c r="C912" s="62"/>
      <c r="D912" s="62"/>
      <c r="E912" s="63"/>
      <c r="F912" s="63"/>
      <c r="G912" s="64"/>
      <c r="H912" s="65"/>
      <c r="I912" s="65"/>
      <c r="J912" s="66"/>
      <c r="K912" s="67"/>
    </row>
  </sheetData>
  <autoFilter ref="A8:V908" xr:uid="{00000000-0009-0000-0000-00002D000000}">
    <filterColumn colId="0" showButton="0"/>
  </autoFilter>
  <mergeCells count="6">
    <mergeCell ref="A8:B8"/>
    <mergeCell ref="A2:K2"/>
    <mergeCell ref="A3:K3"/>
    <mergeCell ref="K4:L4"/>
    <mergeCell ref="E5:J5"/>
    <mergeCell ref="A7:C7"/>
  </mergeCells>
  <pageMargins left="0.7" right="0.7" top="0.75" bottom="0.75" header="0" footer="0"/>
  <pageSetup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2026-08-18T03:31:38Z</dcterms:modified>
</cp:coreProperties>
</file>