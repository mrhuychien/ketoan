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0" documentId="13_ncr:1_{C1BBF015-6625-415C-9108-9B01BDFFCB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5.2022-MISA" sheetId="2" r:id="rId1"/>
  </sheets>
  <externalReferences>
    <externalReference r:id="rId2"/>
  </externalReferences>
  <definedNames>
    <definedName name="_xlnm._FilterDatabase" localSheetId="0" hidden="1">'T5.2022-MISA'!$A$8:$N$1008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08" i="2" l="1"/>
  <c r="F996" i="2"/>
  <c r="G996" i="2" s="1"/>
  <c r="I996" i="2" s="1"/>
  <c r="F997" i="2"/>
  <c r="G997" i="2" s="1"/>
  <c r="I997" i="2" s="1"/>
  <c r="F998" i="2"/>
  <c r="G998" i="2" s="1"/>
  <c r="I998" i="2" s="1"/>
  <c r="F999" i="2"/>
  <c r="G999" i="2" s="1"/>
  <c r="I999" i="2" s="1"/>
  <c r="F1000" i="2"/>
  <c r="G1000" i="2" s="1"/>
  <c r="I1000" i="2" s="1"/>
  <c r="F1001" i="2"/>
  <c r="G1001" i="2" s="1"/>
  <c r="I1001" i="2" s="1"/>
  <c r="F1002" i="2"/>
  <c r="G1002" i="2" s="1"/>
  <c r="I1002" i="2" s="1"/>
  <c r="F1003" i="2"/>
  <c r="G1003" i="2" s="1"/>
  <c r="I1003" i="2" s="1"/>
  <c r="F1004" i="2"/>
  <c r="G1004" i="2" s="1"/>
  <c r="I1004" i="2" s="1"/>
  <c r="F1005" i="2"/>
  <c r="G1005" i="2" s="1"/>
  <c r="I1005" i="2" s="1"/>
  <c r="F1006" i="2"/>
  <c r="G1006" i="2" s="1"/>
  <c r="I1006" i="2" s="1"/>
  <c r="F1007" i="2"/>
  <c r="G1007" i="2" s="1"/>
  <c r="I1007" i="2" s="1"/>
  <c r="F1008" i="2"/>
  <c r="F970" i="2"/>
  <c r="G970" i="2" s="1"/>
  <c r="I970" i="2" s="1"/>
  <c r="F971" i="2"/>
  <c r="G971" i="2" s="1"/>
  <c r="I971" i="2" s="1"/>
  <c r="F972" i="2"/>
  <c r="G972" i="2" s="1"/>
  <c r="I972" i="2" s="1"/>
  <c r="F973" i="2"/>
  <c r="G973" i="2" s="1"/>
  <c r="I973" i="2" s="1"/>
  <c r="F974" i="2"/>
  <c r="G974" i="2" s="1"/>
  <c r="I974" i="2" s="1"/>
  <c r="F975" i="2"/>
  <c r="G975" i="2" s="1"/>
  <c r="I975" i="2" s="1"/>
  <c r="F976" i="2"/>
  <c r="G976" i="2" s="1"/>
  <c r="I976" i="2" s="1"/>
  <c r="F977" i="2"/>
  <c r="G977" i="2" s="1"/>
  <c r="I977" i="2" s="1"/>
  <c r="F978" i="2"/>
  <c r="G978" i="2" s="1"/>
  <c r="I978" i="2" s="1"/>
  <c r="F979" i="2"/>
  <c r="G979" i="2" s="1"/>
  <c r="I979" i="2" s="1"/>
  <c r="F980" i="2"/>
  <c r="G980" i="2" s="1"/>
  <c r="I980" i="2" s="1"/>
  <c r="F981" i="2"/>
  <c r="G981" i="2" s="1"/>
  <c r="I981" i="2" s="1"/>
  <c r="F982" i="2"/>
  <c r="G982" i="2" s="1"/>
  <c r="I982" i="2" s="1"/>
  <c r="F983" i="2"/>
  <c r="G983" i="2" s="1"/>
  <c r="I983" i="2" s="1"/>
  <c r="F984" i="2"/>
  <c r="G984" i="2" s="1"/>
  <c r="I984" i="2" s="1"/>
  <c r="F985" i="2"/>
  <c r="G985" i="2" s="1"/>
  <c r="I985" i="2" s="1"/>
  <c r="F986" i="2"/>
  <c r="G986" i="2" s="1"/>
  <c r="I986" i="2" s="1"/>
  <c r="F987" i="2"/>
  <c r="G987" i="2" s="1"/>
  <c r="I987" i="2" s="1"/>
  <c r="F988" i="2"/>
  <c r="G988" i="2" s="1"/>
  <c r="I988" i="2" s="1"/>
  <c r="F989" i="2"/>
  <c r="G989" i="2" s="1"/>
  <c r="I989" i="2" s="1"/>
  <c r="F990" i="2"/>
  <c r="G990" i="2" s="1"/>
  <c r="I990" i="2" s="1"/>
  <c r="F991" i="2"/>
  <c r="G991" i="2" s="1"/>
  <c r="I991" i="2" s="1"/>
  <c r="F992" i="2"/>
  <c r="G992" i="2" s="1"/>
  <c r="I992" i="2" s="1"/>
  <c r="F993" i="2"/>
  <c r="G993" i="2" s="1"/>
  <c r="I993" i="2" s="1"/>
  <c r="F994" i="2"/>
  <c r="G994" i="2" s="1"/>
  <c r="I994" i="2" s="1"/>
  <c r="F995" i="2"/>
  <c r="G995" i="2" s="1"/>
  <c r="I995" i="2" s="1"/>
  <c r="F963" i="2"/>
  <c r="G963" i="2" s="1"/>
  <c r="I963" i="2" s="1"/>
  <c r="F964" i="2"/>
  <c r="G964" i="2" s="1"/>
  <c r="I964" i="2" s="1"/>
  <c r="F965" i="2"/>
  <c r="G965" i="2" s="1"/>
  <c r="I965" i="2" s="1"/>
  <c r="F966" i="2"/>
  <c r="G966" i="2" s="1"/>
  <c r="I966" i="2" s="1"/>
  <c r="F967" i="2"/>
  <c r="G967" i="2" s="1"/>
  <c r="I967" i="2" s="1"/>
  <c r="F968" i="2"/>
  <c r="G968" i="2" s="1"/>
  <c r="I968" i="2" s="1"/>
  <c r="F969" i="2"/>
  <c r="G969" i="2" s="1"/>
  <c r="I969" i="2" s="1"/>
  <c r="F950" i="2"/>
  <c r="G950" i="2" s="1"/>
  <c r="I950" i="2" s="1"/>
  <c r="F951" i="2"/>
  <c r="G951" i="2" s="1"/>
  <c r="I951" i="2" s="1"/>
  <c r="F952" i="2"/>
  <c r="G952" i="2" s="1"/>
  <c r="I952" i="2" s="1"/>
  <c r="F953" i="2"/>
  <c r="G953" i="2" s="1"/>
  <c r="I953" i="2" s="1"/>
  <c r="F954" i="2"/>
  <c r="G954" i="2" s="1"/>
  <c r="I954" i="2" s="1"/>
  <c r="F955" i="2"/>
  <c r="G955" i="2" s="1"/>
  <c r="I955" i="2" s="1"/>
  <c r="F956" i="2"/>
  <c r="G956" i="2" s="1"/>
  <c r="I956" i="2" s="1"/>
  <c r="F957" i="2"/>
  <c r="G957" i="2" s="1"/>
  <c r="I957" i="2" s="1"/>
  <c r="F958" i="2"/>
  <c r="G958" i="2" s="1"/>
  <c r="I958" i="2" s="1"/>
  <c r="F959" i="2"/>
  <c r="G959" i="2" s="1"/>
  <c r="I959" i="2" s="1"/>
  <c r="F960" i="2"/>
  <c r="G960" i="2" s="1"/>
  <c r="I960" i="2" s="1"/>
  <c r="F961" i="2"/>
  <c r="G961" i="2" s="1"/>
  <c r="I961" i="2" s="1"/>
  <c r="F962" i="2"/>
  <c r="G962" i="2" s="1"/>
  <c r="I962" i="2" s="1"/>
  <c r="F939" i="2"/>
  <c r="G939" i="2" s="1"/>
  <c r="I939" i="2" s="1"/>
  <c r="F940" i="2"/>
  <c r="G940" i="2" s="1"/>
  <c r="I940" i="2" s="1"/>
  <c r="F941" i="2"/>
  <c r="G941" i="2" s="1"/>
  <c r="I941" i="2" s="1"/>
  <c r="F942" i="2"/>
  <c r="G942" i="2" s="1"/>
  <c r="I942" i="2" s="1"/>
  <c r="F943" i="2"/>
  <c r="G943" i="2" s="1"/>
  <c r="I943" i="2" s="1"/>
  <c r="F944" i="2"/>
  <c r="G944" i="2" s="1"/>
  <c r="I944" i="2" s="1"/>
  <c r="F945" i="2"/>
  <c r="G945" i="2" s="1"/>
  <c r="I945" i="2" s="1"/>
  <c r="F946" i="2"/>
  <c r="G946" i="2" s="1"/>
  <c r="I946" i="2" s="1"/>
  <c r="F947" i="2"/>
  <c r="G947" i="2" s="1"/>
  <c r="I947" i="2" s="1"/>
  <c r="F948" i="2"/>
  <c r="G948" i="2" s="1"/>
  <c r="I948" i="2" s="1"/>
  <c r="F949" i="2"/>
  <c r="G949" i="2" s="1"/>
  <c r="I949" i="2" s="1"/>
  <c r="F925" i="2"/>
  <c r="G925" i="2" s="1"/>
  <c r="I925" i="2" s="1"/>
  <c r="F926" i="2"/>
  <c r="G926" i="2" s="1"/>
  <c r="I926" i="2" s="1"/>
  <c r="F929" i="2"/>
  <c r="G929" i="2" s="1"/>
  <c r="F930" i="2"/>
  <c r="G930" i="2" s="1"/>
  <c r="F931" i="2"/>
  <c r="G931" i="2" s="1"/>
  <c r="F932" i="2"/>
  <c r="F933" i="2"/>
  <c r="F934" i="2"/>
  <c r="F935" i="2"/>
  <c r="F936" i="2"/>
  <c r="F937" i="2"/>
  <c r="F938" i="2"/>
  <c r="F918" i="2"/>
  <c r="F919" i="2"/>
  <c r="F920" i="2"/>
  <c r="F921" i="2"/>
  <c r="F922" i="2"/>
  <c r="F923" i="2"/>
  <c r="F924" i="2"/>
  <c r="F927" i="2"/>
  <c r="F928" i="2"/>
  <c r="F913" i="2"/>
  <c r="F914" i="2"/>
  <c r="F915" i="2"/>
  <c r="F916" i="2"/>
  <c r="F917" i="2"/>
  <c r="F907" i="2"/>
  <c r="F908" i="2"/>
  <c r="F909" i="2"/>
  <c r="F910" i="2"/>
  <c r="F911" i="2"/>
  <c r="F912" i="2"/>
  <c r="F900" i="2"/>
  <c r="F901" i="2"/>
  <c r="F902" i="2"/>
  <c r="F903" i="2"/>
  <c r="F904" i="2"/>
  <c r="F905" i="2"/>
  <c r="F906" i="2"/>
  <c r="F892" i="2"/>
  <c r="F893" i="2"/>
  <c r="F894" i="2"/>
  <c r="F895" i="2"/>
  <c r="F896" i="2"/>
  <c r="F897" i="2"/>
  <c r="F898" i="2"/>
  <c r="F899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54" i="2"/>
  <c r="F855" i="2"/>
  <c r="F856" i="2"/>
  <c r="F857" i="2"/>
  <c r="F858" i="2"/>
  <c r="F859" i="2"/>
  <c r="F86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I929" i="2" l="1"/>
  <c r="I930" i="2"/>
  <c r="I931" i="2"/>
  <c r="G932" i="2"/>
  <c r="I932" i="2" s="1"/>
  <c r="G933" i="2"/>
  <c r="I933" i="2" s="1"/>
  <c r="G893" i="2"/>
  <c r="G935" i="2"/>
  <c r="I935" i="2" s="1"/>
  <c r="G936" i="2"/>
  <c r="I936" i="2" s="1"/>
  <c r="G937" i="2"/>
  <c r="I937" i="2" s="1"/>
  <c r="G938" i="2"/>
  <c r="I938" i="2" s="1"/>
  <c r="G892" i="2"/>
  <c r="G934" i="2"/>
  <c r="I934" i="2" s="1"/>
  <c r="G894" i="2"/>
  <c r="G913" i="2"/>
  <c r="I913" i="2" s="1"/>
  <c r="G914" i="2"/>
  <c r="I914" i="2" s="1"/>
  <c r="G915" i="2"/>
  <c r="I915" i="2" s="1"/>
  <c r="G916" i="2"/>
  <c r="I916" i="2" s="1"/>
  <c r="G917" i="2"/>
  <c r="I917" i="2" s="1"/>
  <c r="G907" i="2"/>
  <c r="I907" i="2" s="1"/>
  <c r="G908" i="2"/>
  <c r="I908" i="2" s="1"/>
  <c r="G909" i="2"/>
  <c r="I909" i="2" s="1"/>
  <c r="G910" i="2"/>
  <c r="I910" i="2" s="1"/>
  <c r="G911" i="2"/>
  <c r="I911" i="2" s="1"/>
  <c r="G912" i="2"/>
  <c r="I912" i="2" s="1"/>
  <c r="G855" i="2"/>
  <c r="I855" i="2" s="1"/>
  <c r="G858" i="2"/>
  <c r="I858" i="2" s="1"/>
  <c r="G924" i="2"/>
  <c r="I924" i="2" s="1"/>
  <c r="G900" i="2"/>
  <c r="I900" i="2" s="1"/>
  <c r="G901" i="2"/>
  <c r="I901" i="2" s="1"/>
  <c r="G902" i="2"/>
  <c r="I902" i="2" s="1"/>
  <c r="G903" i="2"/>
  <c r="I903" i="2" s="1"/>
  <c r="G904" i="2"/>
  <c r="I904" i="2" s="1"/>
  <c r="G905" i="2"/>
  <c r="I905" i="2" s="1"/>
  <c r="G906" i="2"/>
  <c r="I906" i="2" s="1"/>
  <c r="G856" i="2"/>
  <c r="I856" i="2" s="1"/>
  <c r="G927" i="2"/>
  <c r="I927" i="2" s="1"/>
  <c r="G895" i="2"/>
  <c r="I895" i="2" s="1"/>
  <c r="G896" i="2"/>
  <c r="I896" i="2" s="1"/>
  <c r="G897" i="2"/>
  <c r="I897" i="2" s="1"/>
  <c r="G898" i="2"/>
  <c r="I898" i="2" s="1"/>
  <c r="G899" i="2"/>
  <c r="I899" i="2" s="1"/>
  <c r="G857" i="2"/>
  <c r="I857" i="2" s="1"/>
  <c r="G923" i="2"/>
  <c r="I923" i="2" s="1"/>
  <c r="G862" i="2"/>
  <c r="I862" i="2" s="1"/>
  <c r="G863" i="2"/>
  <c r="I863" i="2" s="1"/>
  <c r="G864" i="2"/>
  <c r="I864" i="2" s="1"/>
  <c r="G865" i="2"/>
  <c r="I865" i="2" s="1"/>
  <c r="G866" i="2"/>
  <c r="I866" i="2" s="1"/>
  <c r="G867" i="2"/>
  <c r="I867" i="2" s="1"/>
  <c r="G868" i="2"/>
  <c r="I868" i="2" s="1"/>
  <c r="G869" i="2"/>
  <c r="I869" i="2" s="1"/>
  <c r="G870" i="2"/>
  <c r="I870" i="2" s="1"/>
  <c r="G871" i="2"/>
  <c r="I871" i="2" s="1"/>
  <c r="G872" i="2"/>
  <c r="I872" i="2" s="1"/>
  <c r="G873" i="2"/>
  <c r="I873" i="2" s="1"/>
  <c r="G874" i="2"/>
  <c r="I874" i="2" s="1"/>
  <c r="G875" i="2"/>
  <c r="I875" i="2" s="1"/>
  <c r="G876" i="2"/>
  <c r="I876" i="2" s="1"/>
  <c r="G877" i="2"/>
  <c r="I877" i="2" s="1"/>
  <c r="G878" i="2"/>
  <c r="I878" i="2" s="1"/>
  <c r="G879" i="2"/>
  <c r="I879" i="2" s="1"/>
  <c r="G880" i="2"/>
  <c r="I880" i="2" s="1"/>
  <c r="G881" i="2"/>
  <c r="I881" i="2" s="1"/>
  <c r="G882" i="2"/>
  <c r="I882" i="2" s="1"/>
  <c r="G883" i="2"/>
  <c r="I883" i="2" s="1"/>
  <c r="G884" i="2"/>
  <c r="I884" i="2" s="1"/>
  <c r="G885" i="2"/>
  <c r="I885" i="2" s="1"/>
  <c r="G886" i="2"/>
  <c r="I886" i="2" s="1"/>
  <c r="G887" i="2"/>
  <c r="I887" i="2" s="1"/>
  <c r="G888" i="2"/>
  <c r="I888" i="2" s="1"/>
  <c r="G889" i="2"/>
  <c r="I889" i="2" s="1"/>
  <c r="G890" i="2"/>
  <c r="I890" i="2" s="1"/>
  <c r="G891" i="2"/>
  <c r="I891" i="2" s="1"/>
  <c r="G854" i="2"/>
  <c r="I854" i="2" s="1"/>
  <c r="G859" i="2"/>
  <c r="I859" i="2" s="1"/>
  <c r="G922" i="2"/>
  <c r="I922" i="2" s="1"/>
  <c r="G918" i="2"/>
  <c r="I918" i="2" s="1"/>
  <c r="G919" i="2"/>
  <c r="I919" i="2" s="1"/>
  <c r="G920" i="2"/>
  <c r="I920" i="2" s="1"/>
  <c r="G921" i="2"/>
  <c r="I921" i="2" s="1"/>
  <c r="G928" i="2"/>
  <c r="I928" i="2" s="1"/>
  <c r="G861" i="2"/>
  <c r="G860" i="2"/>
  <c r="I860" i="2" s="1"/>
  <c r="E7" i="2"/>
  <c r="H7" i="2"/>
  <c r="I892" i="2" l="1"/>
  <c r="I893" i="2"/>
  <c r="I894" i="2"/>
  <c r="I861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G693" i="2" l="1"/>
  <c r="I693" i="2" s="1"/>
  <c r="G694" i="2"/>
  <c r="I694" i="2" s="1"/>
  <c r="G695" i="2"/>
  <c r="I695" i="2" s="1"/>
  <c r="G696" i="2"/>
  <c r="I696" i="2" s="1"/>
  <c r="G697" i="2"/>
  <c r="I697" i="2" s="1"/>
  <c r="G698" i="2"/>
  <c r="I698" i="2" s="1"/>
  <c r="G699" i="2"/>
  <c r="I699" i="2" s="1"/>
  <c r="G700" i="2"/>
  <c r="I700" i="2" s="1"/>
  <c r="G701" i="2"/>
  <c r="I701" i="2" s="1"/>
  <c r="G702" i="2"/>
  <c r="I702" i="2" s="1"/>
  <c r="G703" i="2"/>
  <c r="I703" i="2" s="1"/>
  <c r="G704" i="2"/>
  <c r="I704" i="2" s="1"/>
  <c r="G705" i="2"/>
  <c r="I705" i="2" s="1"/>
  <c r="G706" i="2"/>
  <c r="I706" i="2" s="1"/>
  <c r="G707" i="2"/>
  <c r="I707" i="2" s="1"/>
  <c r="G708" i="2"/>
  <c r="I708" i="2" s="1"/>
  <c r="G709" i="2"/>
  <c r="I709" i="2" s="1"/>
  <c r="G710" i="2"/>
  <c r="I710" i="2" s="1"/>
  <c r="G711" i="2"/>
  <c r="I711" i="2" s="1"/>
  <c r="G712" i="2"/>
  <c r="I712" i="2" s="1"/>
  <c r="G713" i="2"/>
  <c r="I713" i="2" s="1"/>
  <c r="G714" i="2"/>
  <c r="I714" i="2" s="1"/>
  <c r="G715" i="2"/>
  <c r="I715" i="2" s="1"/>
  <c r="G716" i="2"/>
  <c r="I716" i="2" s="1"/>
  <c r="G717" i="2"/>
  <c r="I717" i="2" s="1"/>
  <c r="G718" i="2"/>
  <c r="I718" i="2" s="1"/>
  <c r="G719" i="2"/>
  <c r="I719" i="2" s="1"/>
  <c r="G720" i="2"/>
  <c r="I720" i="2" s="1"/>
  <c r="G721" i="2"/>
  <c r="I721" i="2" s="1"/>
  <c r="G722" i="2"/>
  <c r="I722" i="2" s="1"/>
  <c r="G723" i="2"/>
  <c r="I723" i="2" s="1"/>
  <c r="G724" i="2"/>
  <c r="I724" i="2" s="1"/>
  <c r="G725" i="2"/>
  <c r="I725" i="2" s="1"/>
  <c r="G726" i="2"/>
  <c r="I726" i="2" s="1"/>
  <c r="G727" i="2"/>
  <c r="I727" i="2" s="1"/>
  <c r="G728" i="2"/>
  <c r="I728" i="2" s="1"/>
  <c r="G729" i="2"/>
  <c r="I729" i="2" s="1"/>
  <c r="G730" i="2"/>
  <c r="I730" i="2" s="1"/>
  <c r="G731" i="2"/>
  <c r="I731" i="2" s="1"/>
  <c r="G732" i="2"/>
  <c r="I732" i="2" s="1"/>
  <c r="G733" i="2"/>
  <c r="I733" i="2" s="1"/>
  <c r="G734" i="2"/>
  <c r="I734" i="2" s="1"/>
  <c r="G735" i="2"/>
  <c r="I735" i="2" s="1"/>
  <c r="G736" i="2"/>
  <c r="I736" i="2" s="1"/>
  <c r="G737" i="2"/>
  <c r="I737" i="2" s="1"/>
  <c r="G738" i="2"/>
  <c r="I738" i="2" s="1"/>
  <c r="G739" i="2"/>
  <c r="I739" i="2" s="1"/>
  <c r="G740" i="2"/>
  <c r="I740" i="2" s="1"/>
  <c r="G741" i="2"/>
  <c r="I741" i="2" s="1"/>
  <c r="G742" i="2"/>
  <c r="I742" i="2" s="1"/>
  <c r="G743" i="2"/>
  <c r="I743" i="2" s="1"/>
  <c r="G744" i="2"/>
  <c r="I744" i="2" s="1"/>
  <c r="G745" i="2"/>
  <c r="I745" i="2" s="1"/>
  <c r="G746" i="2"/>
  <c r="I746" i="2" s="1"/>
  <c r="G747" i="2"/>
  <c r="I747" i="2" s="1"/>
  <c r="G748" i="2"/>
  <c r="I748" i="2" s="1"/>
  <c r="G749" i="2"/>
  <c r="I749" i="2" s="1"/>
  <c r="G750" i="2"/>
  <c r="I750" i="2" s="1"/>
  <c r="G751" i="2"/>
  <c r="I751" i="2" s="1"/>
  <c r="G752" i="2"/>
  <c r="I752" i="2" s="1"/>
  <c r="G753" i="2"/>
  <c r="I753" i="2" s="1"/>
  <c r="G754" i="2"/>
  <c r="I754" i="2" s="1"/>
  <c r="G755" i="2"/>
  <c r="I755" i="2" s="1"/>
  <c r="G756" i="2"/>
  <c r="I756" i="2" s="1"/>
  <c r="G757" i="2"/>
  <c r="I757" i="2" s="1"/>
  <c r="G758" i="2"/>
  <c r="I758" i="2" s="1"/>
  <c r="G759" i="2"/>
  <c r="I759" i="2" s="1"/>
  <c r="G760" i="2"/>
  <c r="I760" i="2" s="1"/>
  <c r="G761" i="2"/>
  <c r="I761" i="2" s="1"/>
  <c r="G762" i="2"/>
  <c r="I762" i="2" s="1"/>
  <c r="G763" i="2"/>
  <c r="I763" i="2" s="1"/>
  <c r="G764" i="2"/>
  <c r="I764" i="2" s="1"/>
  <c r="G765" i="2"/>
  <c r="I765" i="2" s="1"/>
  <c r="G766" i="2"/>
  <c r="I766" i="2" s="1"/>
  <c r="G767" i="2"/>
  <c r="I767" i="2" s="1"/>
  <c r="G768" i="2"/>
  <c r="I768" i="2" s="1"/>
  <c r="G769" i="2"/>
  <c r="I769" i="2" s="1"/>
  <c r="G770" i="2"/>
  <c r="I770" i="2" s="1"/>
  <c r="G771" i="2"/>
  <c r="I771" i="2" s="1"/>
  <c r="G772" i="2"/>
  <c r="I772" i="2" s="1"/>
  <c r="G773" i="2"/>
  <c r="I773" i="2" s="1"/>
  <c r="G774" i="2"/>
  <c r="I774" i="2" s="1"/>
  <c r="G775" i="2"/>
  <c r="I775" i="2" s="1"/>
  <c r="G776" i="2"/>
  <c r="I776" i="2" s="1"/>
  <c r="G777" i="2"/>
  <c r="I777" i="2" s="1"/>
  <c r="G778" i="2"/>
  <c r="I778" i="2" s="1"/>
  <c r="G779" i="2"/>
  <c r="I779" i="2" s="1"/>
  <c r="G780" i="2"/>
  <c r="I780" i="2" s="1"/>
  <c r="G781" i="2"/>
  <c r="I781" i="2" s="1"/>
  <c r="G782" i="2"/>
  <c r="I782" i="2" s="1"/>
  <c r="G783" i="2"/>
  <c r="I783" i="2" s="1"/>
  <c r="G784" i="2"/>
  <c r="I784" i="2" s="1"/>
  <c r="G785" i="2"/>
  <c r="I785" i="2" s="1"/>
  <c r="G786" i="2"/>
  <c r="I786" i="2" s="1"/>
  <c r="G787" i="2"/>
  <c r="I787" i="2" s="1"/>
  <c r="G788" i="2"/>
  <c r="I788" i="2" s="1"/>
  <c r="G789" i="2"/>
  <c r="I789" i="2" s="1"/>
  <c r="G790" i="2"/>
  <c r="I790" i="2" s="1"/>
  <c r="G791" i="2"/>
  <c r="I791" i="2" s="1"/>
  <c r="G792" i="2"/>
  <c r="I792" i="2" s="1"/>
  <c r="G793" i="2"/>
  <c r="I793" i="2" s="1"/>
  <c r="G794" i="2"/>
  <c r="I794" i="2" s="1"/>
  <c r="G795" i="2"/>
  <c r="I795" i="2" s="1"/>
  <c r="G796" i="2"/>
  <c r="I796" i="2" s="1"/>
  <c r="G797" i="2"/>
  <c r="I797" i="2" s="1"/>
  <c r="G798" i="2"/>
  <c r="I798" i="2" s="1"/>
  <c r="G799" i="2"/>
  <c r="I799" i="2" s="1"/>
  <c r="G800" i="2"/>
  <c r="I800" i="2" s="1"/>
  <c r="G801" i="2"/>
  <c r="I801" i="2" s="1"/>
  <c r="G802" i="2"/>
  <c r="I802" i="2" s="1"/>
  <c r="G803" i="2"/>
  <c r="I803" i="2" s="1"/>
  <c r="G804" i="2"/>
  <c r="I804" i="2" s="1"/>
  <c r="G805" i="2"/>
  <c r="I805" i="2" s="1"/>
  <c r="G806" i="2"/>
  <c r="I806" i="2" s="1"/>
  <c r="G807" i="2"/>
  <c r="I807" i="2" s="1"/>
  <c r="G808" i="2"/>
  <c r="I808" i="2" s="1"/>
  <c r="G809" i="2"/>
  <c r="I809" i="2" s="1"/>
  <c r="G810" i="2"/>
  <c r="I810" i="2" s="1"/>
  <c r="G811" i="2"/>
  <c r="I811" i="2" s="1"/>
  <c r="G812" i="2"/>
  <c r="I812" i="2" s="1"/>
  <c r="G813" i="2"/>
  <c r="I813" i="2" s="1"/>
  <c r="G814" i="2"/>
  <c r="I814" i="2" s="1"/>
  <c r="G815" i="2"/>
  <c r="I815" i="2" s="1"/>
  <c r="G816" i="2"/>
  <c r="I816" i="2" s="1"/>
  <c r="G817" i="2"/>
  <c r="I817" i="2" s="1"/>
  <c r="G818" i="2"/>
  <c r="I818" i="2" s="1"/>
  <c r="G819" i="2"/>
  <c r="I819" i="2" s="1"/>
  <c r="G820" i="2"/>
  <c r="I820" i="2" s="1"/>
  <c r="G821" i="2"/>
  <c r="I821" i="2" s="1"/>
  <c r="G822" i="2"/>
  <c r="I822" i="2" s="1"/>
  <c r="G823" i="2"/>
  <c r="I823" i="2" s="1"/>
  <c r="G824" i="2"/>
  <c r="I824" i="2" s="1"/>
  <c r="G825" i="2"/>
  <c r="I825" i="2" s="1"/>
  <c r="G826" i="2"/>
  <c r="I826" i="2" s="1"/>
  <c r="G827" i="2"/>
  <c r="I827" i="2" s="1"/>
  <c r="G828" i="2"/>
  <c r="I828" i="2" s="1"/>
  <c r="G829" i="2"/>
  <c r="I829" i="2" s="1"/>
  <c r="G830" i="2"/>
  <c r="I830" i="2" s="1"/>
  <c r="G831" i="2"/>
  <c r="I831" i="2" s="1"/>
  <c r="G832" i="2"/>
  <c r="I832" i="2" s="1"/>
  <c r="G833" i="2"/>
  <c r="I833" i="2" s="1"/>
  <c r="G834" i="2"/>
  <c r="I834" i="2" s="1"/>
  <c r="G835" i="2"/>
  <c r="I835" i="2" s="1"/>
  <c r="G836" i="2"/>
  <c r="I836" i="2" s="1"/>
  <c r="G837" i="2"/>
  <c r="I837" i="2" s="1"/>
  <c r="G838" i="2"/>
  <c r="I838" i="2" s="1"/>
  <c r="G839" i="2"/>
  <c r="I839" i="2" s="1"/>
  <c r="G840" i="2"/>
  <c r="I840" i="2" s="1"/>
  <c r="G841" i="2"/>
  <c r="I841" i="2" s="1"/>
  <c r="G842" i="2"/>
  <c r="I842" i="2" s="1"/>
  <c r="G843" i="2"/>
  <c r="I843" i="2" s="1"/>
  <c r="G844" i="2"/>
  <c r="I844" i="2" s="1"/>
  <c r="G845" i="2"/>
  <c r="I845" i="2" s="1"/>
  <c r="G846" i="2"/>
  <c r="I846" i="2" s="1"/>
  <c r="G847" i="2"/>
  <c r="I847" i="2" s="1"/>
  <c r="G848" i="2"/>
  <c r="I848" i="2" s="1"/>
  <c r="G849" i="2"/>
  <c r="I849" i="2" s="1"/>
  <c r="G850" i="2"/>
  <c r="I850" i="2" s="1"/>
  <c r="G851" i="2"/>
  <c r="I851" i="2" s="1"/>
  <c r="G852" i="2"/>
  <c r="I852" i="2" s="1"/>
  <c r="G853" i="2"/>
  <c r="I853" i="2" s="1"/>
  <c r="F670" i="2"/>
  <c r="G670" i="2" s="1"/>
  <c r="I670" i="2" s="1"/>
  <c r="F671" i="2"/>
  <c r="G671" i="2" s="1"/>
  <c r="I671" i="2" s="1"/>
  <c r="F672" i="2"/>
  <c r="G672" i="2" s="1"/>
  <c r="I672" i="2" s="1"/>
  <c r="F673" i="2"/>
  <c r="G673" i="2" s="1"/>
  <c r="I673" i="2" s="1"/>
  <c r="F674" i="2"/>
  <c r="G674" i="2" s="1"/>
  <c r="I674" i="2" s="1"/>
  <c r="F675" i="2"/>
  <c r="G675" i="2" s="1"/>
  <c r="I675" i="2" s="1"/>
  <c r="F676" i="2"/>
  <c r="G676" i="2" s="1"/>
  <c r="I676" i="2" s="1"/>
  <c r="F677" i="2"/>
  <c r="G677" i="2" s="1"/>
  <c r="I677" i="2" s="1"/>
  <c r="F678" i="2"/>
  <c r="G678" i="2" s="1"/>
  <c r="I678" i="2" s="1"/>
  <c r="F679" i="2"/>
  <c r="G679" i="2" s="1"/>
  <c r="I679" i="2" s="1"/>
  <c r="F680" i="2"/>
  <c r="G680" i="2" s="1"/>
  <c r="I680" i="2" s="1"/>
  <c r="F681" i="2"/>
  <c r="G681" i="2" s="1"/>
  <c r="I681" i="2" s="1"/>
  <c r="F682" i="2"/>
  <c r="G682" i="2" s="1"/>
  <c r="I682" i="2" s="1"/>
  <c r="F683" i="2"/>
  <c r="G683" i="2" s="1"/>
  <c r="I683" i="2" s="1"/>
  <c r="F684" i="2"/>
  <c r="G684" i="2" s="1"/>
  <c r="I684" i="2" s="1"/>
  <c r="F685" i="2"/>
  <c r="G685" i="2" s="1"/>
  <c r="I685" i="2" s="1"/>
  <c r="F686" i="2"/>
  <c r="G686" i="2" s="1"/>
  <c r="I686" i="2" s="1"/>
  <c r="F687" i="2"/>
  <c r="G687" i="2" s="1"/>
  <c r="I687" i="2" s="1"/>
  <c r="F688" i="2"/>
  <c r="G688" i="2" s="1"/>
  <c r="I688" i="2" s="1"/>
  <c r="F689" i="2"/>
  <c r="G689" i="2" s="1"/>
  <c r="I689" i="2" s="1"/>
  <c r="F690" i="2"/>
  <c r="G690" i="2" s="1"/>
  <c r="I690" i="2" s="1"/>
  <c r="F691" i="2"/>
  <c r="G691" i="2" s="1"/>
  <c r="I691" i="2" s="1"/>
  <c r="F692" i="2"/>
  <c r="G692" i="2" s="1"/>
  <c r="I692" i="2" s="1"/>
  <c r="F636" i="2" l="1"/>
  <c r="G636" i="2" s="1"/>
  <c r="I636" i="2" s="1"/>
  <c r="F637" i="2"/>
  <c r="G637" i="2" s="1"/>
  <c r="I637" i="2" s="1"/>
  <c r="F638" i="2"/>
  <c r="G638" i="2" s="1"/>
  <c r="I638" i="2" s="1"/>
  <c r="F639" i="2"/>
  <c r="G639" i="2" s="1"/>
  <c r="I639" i="2" s="1"/>
  <c r="F640" i="2"/>
  <c r="G640" i="2" s="1"/>
  <c r="I640" i="2" s="1"/>
  <c r="F641" i="2"/>
  <c r="G641" i="2" s="1"/>
  <c r="I641" i="2" s="1"/>
  <c r="F642" i="2"/>
  <c r="G642" i="2" s="1"/>
  <c r="I642" i="2" s="1"/>
  <c r="F643" i="2"/>
  <c r="G643" i="2" s="1"/>
  <c r="I643" i="2" s="1"/>
  <c r="F644" i="2"/>
  <c r="G644" i="2" s="1"/>
  <c r="I644" i="2" s="1"/>
  <c r="F645" i="2"/>
  <c r="G645" i="2" s="1"/>
  <c r="I645" i="2" s="1"/>
  <c r="F646" i="2"/>
  <c r="G646" i="2" s="1"/>
  <c r="I646" i="2" s="1"/>
  <c r="F647" i="2"/>
  <c r="G647" i="2" s="1"/>
  <c r="I647" i="2" s="1"/>
  <c r="F648" i="2"/>
  <c r="G648" i="2" s="1"/>
  <c r="I648" i="2" s="1"/>
  <c r="F649" i="2"/>
  <c r="G649" i="2" s="1"/>
  <c r="I649" i="2" s="1"/>
  <c r="F650" i="2"/>
  <c r="G650" i="2" s="1"/>
  <c r="I650" i="2" s="1"/>
  <c r="F651" i="2"/>
  <c r="G651" i="2" s="1"/>
  <c r="I651" i="2" s="1"/>
  <c r="F652" i="2"/>
  <c r="G652" i="2" s="1"/>
  <c r="I652" i="2" s="1"/>
  <c r="F653" i="2"/>
  <c r="G653" i="2" s="1"/>
  <c r="I653" i="2" s="1"/>
  <c r="F654" i="2"/>
  <c r="G654" i="2" s="1"/>
  <c r="I654" i="2" s="1"/>
  <c r="F655" i="2"/>
  <c r="G655" i="2" s="1"/>
  <c r="I655" i="2" s="1"/>
  <c r="F656" i="2"/>
  <c r="G656" i="2" s="1"/>
  <c r="I656" i="2" s="1"/>
  <c r="F657" i="2"/>
  <c r="G657" i="2" s="1"/>
  <c r="I657" i="2" s="1"/>
  <c r="F658" i="2"/>
  <c r="G658" i="2" s="1"/>
  <c r="I658" i="2" s="1"/>
  <c r="F659" i="2"/>
  <c r="G659" i="2" s="1"/>
  <c r="I659" i="2" s="1"/>
  <c r="F660" i="2"/>
  <c r="G660" i="2" s="1"/>
  <c r="I660" i="2" s="1"/>
  <c r="F661" i="2"/>
  <c r="G661" i="2" s="1"/>
  <c r="I661" i="2" s="1"/>
  <c r="F662" i="2"/>
  <c r="G662" i="2" s="1"/>
  <c r="I662" i="2" s="1"/>
  <c r="F663" i="2"/>
  <c r="G663" i="2" s="1"/>
  <c r="I663" i="2" s="1"/>
  <c r="F664" i="2"/>
  <c r="G664" i="2" s="1"/>
  <c r="I664" i="2" s="1"/>
  <c r="F665" i="2"/>
  <c r="G665" i="2" s="1"/>
  <c r="I665" i="2" s="1"/>
  <c r="F666" i="2"/>
  <c r="G666" i="2" s="1"/>
  <c r="I666" i="2" s="1"/>
  <c r="F667" i="2"/>
  <c r="G667" i="2" s="1"/>
  <c r="I667" i="2" s="1"/>
  <c r="F668" i="2"/>
  <c r="G668" i="2" s="1"/>
  <c r="I668" i="2" s="1"/>
  <c r="F669" i="2"/>
  <c r="G669" i="2" s="1"/>
  <c r="I669" i="2" s="1"/>
  <c r="F625" i="2" l="1"/>
  <c r="G625" i="2" s="1"/>
  <c r="I625" i="2" s="1"/>
  <c r="F626" i="2"/>
  <c r="G626" i="2" s="1"/>
  <c r="I626" i="2" s="1"/>
  <c r="F627" i="2"/>
  <c r="G627" i="2" s="1"/>
  <c r="I627" i="2" s="1"/>
  <c r="F628" i="2"/>
  <c r="G628" i="2" s="1"/>
  <c r="I628" i="2" s="1"/>
  <c r="F629" i="2"/>
  <c r="G629" i="2" s="1"/>
  <c r="I629" i="2" s="1"/>
  <c r="F630" i="2"/>
  <c r="G630" i="2" s="1"/>
  <c r="I630" i="2" s="1"/>
  <c r="F631" i="2"/>
  <c r="G631" i="2" s="1"/>
  <c r="I631" i="2" s="1"/>
  <c r="F632" i="2"/>
  <c r="G632" i="2" s="1"/>
  <c r="I632" i="2" s="1"/>
  <c r="F633" i="2"/>
  <c r="G633" i="2" s="1"/>
  <c r="I633" i="2" s="1"/>
  <c r="F634" i="2"/>
  <c r="G634" i="2" s="1"/>
  <c r="I634" i="2" s="1"/>
  <c r="F635" i="2"/>
  <c r="G635" i="2" s="1"/>
  <c r="I635" i="2" s="1"/>
  <c r="F609" i="2" l="1"/>
  <c r="G609" i="2" s="1"/>
  <c r="I609" i="2" s="1"/>
  <c r="F610" i="2"/>
  <c r="G610" i="2" s="1"/>
  <c r="I610" i="2" s="1"/>
  <c r="F611" i="2"/>
  <c r="G611" i="2" s="1"/>
  <c r="I611" i="2" s="1"/>
  <c r="F612" i="2"/>
  <c r="G612" i="2" s="1"/>
  <c r="I612" i="2" s="1"/>
  <c r="F613" i="2"/>
  <c r="G613" i="2" s="1"/>
  <c r="I613" i="2" s="1"/>
  <c r="F614" i="2"/>
  <c r="G614" i="2" s="1"/>
  <c r="I614" i="2" s="1"/>
  <c r="F615" i="2"/>
  <c r="G615" i="2" s="1"/>
  <c r="I615" i="2" s="1"/>
  <c r="F616" i="2"/>
  <c r="G616" i="2" s="1"/>
  <c r="I616" i="2" s="1"/>
  <c r="F617" i="2"/>
  <c r="G617" i="2" s="1"/>
  <c r="I617" i="2" s="1"/>
  <c r="F618" i="2"/>
  <c r="G618" i="2" s="1"/>
  <c r="I618" i="2" s="1"/>
  <c r="F619" i="2"/>
  <c r="G619" i="2" s="1"/>
  <c r="I619" i="2" s="1"/>
  <c r="F620" i="2"/>
  <c r="G620" i="2" s="1"/>
  <c r="I620" i="2" s="1"/>
  <c r="F621" i="2"/>
  <c r="G621" i="2" s="1"/>
  <c r="I621" i="2" s="1"/>
  <c r="F622" i="2"/>
  <c r="G622" i="2" s="1"/>
  <c r="I622" i="2" s="1"/>
  <c r="F623" i="2"/>
  <c r="G623" i="2" s="1"/>
  <c r="I623" i="2" s="1"/>
  <c r="F624" i="2"/>
  <c r="G624" i="2" s="1"/>
  <c r="I624" i="2" s="1"/>
  <c r="F608" i="2"/>
  <c r="G608" i="2" s="1"/>
  <c r="I608" i="2" s="1"/>
  <c r="F607" i="2"/>
  <c r="G607" i="2" s="1"/>
  <c r="I607" i="2" s="1"/>
  <c r="F606" i="2"/>
  <c r="G606" i="2" s="1"/>
  <c r="I606" i="2" s="1"/>
  <c r="F605" i="2"/>
  <c r="G605" i="2" s="1"/>
  <c r="I605" i="2" s="1"/>
  <c r="F604" i="2"/>
  <c r="G604" i="2" s="1"/>
  <c r="I604" i="2" s="1"/>
  <c r="F591" i="2" l="1"/>
  <c r="G591" i="2" s="1"/>
  <c r="I591" i="2" s="1"/>
  <c r="F592" i="2"/>
  <c r="G592" i="2" s="1"/>
  <c r="I592" i="2" s="1"/>
  <c r="F593" i="2"/>
  <c r="G593" i="2" s="1"/>
  <c r="I593" i="2" s="1"/>
  <c r="F594" i="2"/>
  <c r="G594" i="2" s="1"/>
  <c r="I594" i="2" s="1"/>
  <c r="F595" i="2"/>
  <c r="G595" i="2" s="1"/>
  <c r="I595" i="2" s="1"/>
  <c r="F596" i="2"/>
  <c r="G596" i="2" s="1"/>
  <c r="I596" i="2" s="1"/>
  <c r="F597" i="2"/>
  <c r="G597" i="2" s="1"/>
  <c r="I597" i="2" s="1"/>
  <c r="F598" i="2"/>
  <c r="G598" i="2" s="1"/>
  <c r="I598" i="2" s="1"/>
  <c r="F599" i="2"/>
  <c r="G599" i="2" s="1"/>
  <c r="I599" i="2" s="1"/>
  <c r="F600" i="2"/>
  <c r="G600" i="2" s="1"/>
  <c r="I600" i="2" s="1"/>
  <c r="F601" i="2"/>
  <c r="G601" i="2" s="1"/>
  <c r="I601" i="2" s="1"/>
  <c r="F602" i="2"/>
  <c r="G602" i="2" s="1"/>
  <c r="I602" i="2" s="1"/>
  <c r="F603" i="2"/>
  <c r="G603" i="2" s="1"/>
  <c r="I603" i="2" s="1"/>
  <c r="F576" i="2" l="1"/>
  <c r="G576" i="2" s="1"/>
  <c r="I576" i="2" s="1"/>
  <c r="F577" i="2"/>
  <c r="G577" i="2" s="1"/>
  <c r="I577" i="2" s="1"/>
  <c r="F578" i="2"/>
  <c r="G578" i="2" s="1"/>
  <c r="I578" i="2" s="1"/>
  <c r="F579" i="2"/>
  <c r="G579" i="2" s="1"/>
  <c r="I579" i="2" s="1"/>
  <c r="F580" i="2"/>
  <c r="G580" i="2" s="1"/>
  <c r="I580" i="2" s="1"/>
  <c r="F581" i="2"/>
  <c r="G581" i="2" s="1"/>
  <c r="I581" i="2" s="1"/>
  <c r="F582" i="2"/>
  <c r="G582" i="2" s="1"/>
  <c r="I582" i="2" s="1"/>
  <c r="F583" i="2"/>
  <c r="G583" i="2" s="1"/>
  <c r="I583" i="2" s="1"/>
  <c r="F584" i="2"/>
  <c r="G584" i="2" s="1"/>
  <c r="I584" i="2" s="1"/>
  <c r="F585" i="2"/>
  <c r="G585" i="2" s="1"/>
  <c r="I585" i="2" s="1"/>
  <c r="F586" i="2"/>
  <c r="F587" i="2"/>
  <c r="G587" i="2" s="1"/>
  <c r="I587" i="2" s="1"/>
  <c r="F588" i="2"/>
  <c r="G588" i="2" s="1"/>
  <c r="I588" i="2" s="1"/>
  <c r="F589" i="2"/>
  <c r="G589" i="2" s="1"/>
  <c r="I589" i="2" s="1"/>
  <c r="F590" i="2"/>
  <c r="G590" i="2" s="1"/>
  <c r="I590" i="2" s="1"/>
  <c r="F558" i="2"/>
  <c r="F560" i="2"/>
  <c r="F561" i="2"/>
  <c r="F562" i="2"/>
  <c r="F563" i="2"/>
  <c r="F564" i="2"/>
  <c r="F565" i="2"/>
  <c r="F566" i="2"/>
  <c r="G566" i="2" s="1"/>
  <c r="I566" i="2" s="1"/>
  <c r="F567" i="2"/>
  <c r="G567" i="2" s="1"/>
  <c r="I567" i="2" s="1"/>
  <c r="F568" i="2"/>
  <c r="G568" i="2" s="1"/>
  <c r="I568" i="2" s="1"/>
  <c r="F569" i="2"/>
  <c r="G569" i="2" s="1"/>
  <c r="I569" i="2" s="1"/>
  <c r="F570" i="2"/>
  <c r="G570" i="2" s="1"/>
  <c r="I570" i="2" s="1"/>
  <c r="F571" i="2"/>
  <c r="G571" i="2" s="1"/>
  <c r="I571" i="2" s="1"/>
  <c r="F572" i="2"/>
  <c r="G572" i="2" s="1"/>
  <c r="I572" i="2" s="1"/>
  <c r="F573" i="2"/>
  <c r="G573" i="2" s="1"/>
  <c r="I573" i="2" s="1"/>
  <c r="F574" i="2"/>
  <c r="G574" i="2" s="1"/>
  <c r="I574" i="2" s="1"/>
  <c r="F575" i="2"/>
  <c r="G575" i="2" s="1"/>
  <c r="I575" i="2" s="1"/>
  <c r="G586" i="2" l="1"/>
  <c r="I586" i="2" s="1"/>
  <c r="F433" i="2"/>
  <c r="F434" i="2"/>
  <c r="G434" i="2" s="1"/>
  <c r="I434" i="2" s="1"/>
  <c r="F435" i="2"/>
  <c r="G435" i="2" s="1"/>
  <c r="I435" i="2" s="1"/>
  <c r="F451" i="2"/>
  <c r="G451" i="2" s="1"/>
  <c r="I451" i="2" s="1"/>
  <c r="F450" i="2"/>
  <c r="G450" i="2" s="1"/>
  <c r="I450" i="2" s="1"/>
  <c r="F431" i="2"/>
  <c r="G431" i="2" s="1"/>
  <c r="I431" i="2" s="1"/>
  <c r="F430" i="2"/>
  <c r="G430" i="2" s="1"/>
  <c r="I430" i="2" s="1"/>
  <c r="F454" i="2"/>
  <c r="G454" i="2" s="1"/>
  <c r="F413" i="2"/>
  <c r="G413" i="2" s="1"/>
  <c r="I413" i="2" s="1"/>
  <c r="G433" i="2" l="1"/>
  <c r="I433" i="2" s="1"/>
  <c r="F455" i="2"/>
  <c r="G455" i="2" s="1"/>
  <c r="F456" i="2"/>
  <c r="G456" i="2" s="1"/>
  <c r="F457" i="2"/>
  <c r="G457" i="2" s="1"/>
  <c r="F458" i="2"/>
  <c r="G458" i="2" s="1"/>
  <c r="F459" i="2"/>
  <c r="G459" i="2" s="1"/>
  <c r="F460" i="2"/>
  <c r="G460" i="2" s="1"/>
  <c r="F461" i="2"/>
  <c r="G461" i="2" s="1"/>
  <c r="F462" i="2"/>
  <c r="G462" i="2" s="1"/>
  <c r="F463" i="2"/>
  <c r="G463" i="2" s="1"/>
  <c r="I463" i="2" s="1"/>
  <c r="F464" i="2"/>
  <c r="G464" i="2" s="1"/>
  <c r="I464" i="2" s="1"/>
  <c r="F465" i="2"/>
  <c r="G465" i="2" s="1"/>
  <c r="I465" i="2" s="1"/>
  <c r="F466" i="2"/>
  <c r="G466" i="2" s="1"/>
  <c r="I466" i="2" s="1"/>
  <c r="F467" i="2"/>
  <c r="G467" i="2" s="1"/>
  <c r="I467" i="2" s="1"/>
  <c r="F468" i="2"/>
  <c r="G468" i="2" s="1"/>
  <c r="I468" i="2" s="1"/>
  <c r="F469" i="2"/>
  <c r="G469" i="2" s="1"/>
  <c r="I469" i="2" s="1"/>
  <c r="F470" i="2"/>
  <c r="G470" i="2" s="1"/>
  <c r="I470" i="2" s="1"/>
  <c r="F471" i="2"/>
  <c r="G471" i="2" s="1"/>
  <c r="I471" i="2" s="1"/>
  <c r="F472" i="2"/>
  <c r="G472" i="2" s="1"/>
  <c r="I472" i="2" s="1"/>
  <c r="F473" i="2"/>
  <c r="G473" i="2" s="1"/>
  <c r="I473" i="2" s="1"/>
  <c r="F474" i="2"/>
  <c r="G474" i="2" s="1"/>
  <c r="I474" i="2" s="1"/>
  <c r="F475" i="2"/>
  <c r="G475" i="2" s="1"/>
  <c r="I475" i="2" s="1"/>
  <c r="F476" i="2"/>
  <c r="G476" i="2" s="1"/>
  <c r="I476" i="2" s="1"/>
  <c r="F477" i="2"/>
  <c r="G477" i="2" s="1"/>
  <c r="I477" i="2" s="1"/>
  <c r="F478" i="2"/>
  <c r="G478" i="2" s="1"/>
  <c r="I478" i="2" s="1"/>
  <c r="F479" i="2"/>
  <c r="G479" i="2" s="1"/>
  <c r="I479" i="2" s="1"/>
  <c r="F480" i="2"/>
  <c r="G480" i="2" s="1"/>
  <c r="I480" i="2" s="1"/>
  <c r="F481" i="2"/>
  <c r="G481" i="2" s="1"/>
  <c r="I481" i="2" s="1"/>
  <c r="F482" i="2"/>
  <c r="G482" i="2" s="1"/>
  <c r="I482" i="2" s="1"/>
  <c r="F483" i="2"/>
  <c r="G483" i="2" s="1"/>
  <c r="I483" i="2" s="1"/>
  <c r="F484" i="2"/>
  <c r="G484" i="2" s="1"/>
  <c r="I484" i="2" s="1"/>
  <c r="F485" i="2"/>
  <c r="G485" i="2" s="1"/>
  <c r="I485" i="2" s="1"/>
  <c r="F486" i="2"/>
  <c r="G486" i="2" s="1"/>
  <c r="I486" i="2" s="1"/>
  <c r="F487" i="2"/>
  <c r="G487" i="2" s="1"/>
  <c r="I487" i="2" s="1"/>
  <c r="F488" i="2"/>
  <c r="G488" i="2" s="1"/>
  <c r="I488" i="2" s="1"/>
  <c r="F489" i="2"/>
  <c r="G489" i="2" s="1"/>
  <c r="I489" i="2" s="1"/>
  <c r="F490" i="2"/>
  <c r="G490" i="2" s="1"/>
  <c r="I490" i="2" s="1"/>
  <c r="F491" i="2"/>
  <c r="G491" i="2" s="1"/>
  <c r="I491" i="2" s="1"/>
  <c r="F492" i="2"/>
  <c r="G492" i="2" s="1"/>
  <c r="I492" i="2" s="1"/>
  <c r="F493" i="2"/>
  <c r="G493" i="2" s="1"/>
  <c r="I493" i="2" s="1"/>
  <c r="F494" i="2"/>
  <c r="G494" i="2" s="1"/>
  <c r="I494" i="2" s="1"/>
  <c r="F495" i="2"/>
  <c r="G495" i="2" s="1"/>
  <c r="I495" i="2" s="1"/>
  <c r="F496" i="2"/>
  <c r="G496" i="2" s="1"/>
  <c r="I496" i="2" s="1"/>
  <c r="F497" i="2"/>
  <c r="G497" i="2" s="1"/>
  <c r="I497" i="2" s="1"/>
  <c r="F498" i="2"/>
  <c r="G498" i="2" s="1"/>
  <c r="I498" i="2" s="1"/>
  <c r="F499" i="2"/>
  <c r="G499" i="2" s="1"/>
  <c r="I499" i="2" s="1"/>
  <c r="F500" i="2"/>
  <c r="G500" i="2" s="1"/>
  <c r="I500" i="2" s="1"/>
  <c r="F501" i="2"/>
  <c r="G501" i="2" s="1"/>
  <c r="I501" i="2" s="1"/>
  <c r="F502" i="2"/>
  <c r="G502" i="2" s="1"/>
  <c r="I502" i="2" s="1"/>
  <c r="F503" i="2"/>
  <c r="G503" i="2" s="1"/>
  <c r="I503" i="2" s="1"/>
  <c r="F504" i="2"/>
  <c r="G504" i="2" s="1"/>
  <c r="I504" i="2" s="1"/>
  <c r="F505" i="2"/>
  <c r="G505" i="2" s="1"/>
  <c r="I505" i="2" s="1"/>
  <c r="F506" i="2"/>
  <c r="G506" i="2" s="1"/>
  <c r="I506" i="2" s="1"/>
  <c r="F507" i="2"/>
  <c r="G507" i="2" s="1"/>
  <c r="I507" i="2" s="1"/>
  <c r="F508" i="2"/>
  <c r="G508" i="2" s="1"/>
  <c r="I508" i="2" s="1"/>
  <c r="F509" i="2"/>
  <c r="G509" i="2" s="1"/>
  <c r="I509" i="2" s="1"/>
  <c r="F510" i="2"/>
  <c r="G510" i="2" s="1"/>
  <c r="I510" i="2" s="1"/>
  <c r="F511" i="2"/>
  <c r="G511" i="2" s="1"/>
  <c r="I511" i="2" s="1"/>
  <c r="F512" i="2"/>
  <c r="G512" i="2" s="1"/>
  <c r="I512" i="2" s="1"/>
  <c r="F513" i="2"/>
  <c r="G513" i="2" s="1"/>
  <c r="I513" i="2" s="1"/>
  <c r="F514" i="2"/>
  <c r="G514" i="2" s="1"/>
  <c r="I514" i="2" s="1"/>
  <c r="F515" i="2"/>
  <c r="G515" i="2" s="1"/>
  <c r="I515" i="2" s="1"/>
  <c r="F516" i="2"/>
  <c r="G516" i="2" s="1"/>
  <c r="I516" i="2" s="1"/>
  <c r="F517" i="2"/>
  <c r="G517" i="2" s="1"/>
  <c r="I517" i="2" s="1"/>
  <c r="F518" i="2"/>
  <c r="G518" i="2" s="1"/>
  <c r="I518" i="2" s="1"/>
  <c r="F519" i="2"/>
  <c r="G519" i="2" s="1"/>
  <c r="I519" i="2" s="1"/>
  <c r="F520" i="2"/>
  <c r="G520" i="2" s="1"/>
  <c r="I520" i="2" s="1"/>
  <c r="F521" i="2"/>
  <c r="G521" i="2" s="1"/>
  <c r="I521" i="2" s="1"/>
  <c r="F522" i="2"/>
  <c r="G522" i="2" s="1"/>
  <c r="I522" i="2" s="1"/>
  <c r="F523" i="2"/>
  <c r="G523" i="2" s="1"/>
  <c r="I523" i="2" s="1"/>
  <c r="F524" i="2"/>
  <c r="G524" i="2" s="1"/>
  <c r="I524" i="2" s="1"/>
  <c r="F525" i="2"/>
  <c r="G525" i="2" s="1"/>
  <c r="I525" i="2" s="1"/>
  <c r="F526" i="2"/>
  <c r="G526" i="2" s="1"/>
  <c r="I526" i="2" s="1"/>
  <c r="F527" i="2"/>
  <c r="G527" i="2" s="1"/>
  <c r="I527" i="2" s="1"/>
  <c r="F528" i="2"/>
  <c r="G528" i="2" s="1"/>
  <c r="I528" i="2" s="1"/>
  <c r="F529" i="2"/>
  <c r="G529" i="2" s="1"/>
  <c r="I529" i="2" s="1"/>
  <c r="F530" i="2"/>
  <c r="G530" i="2" s="1"/>
  <c r="I530" i="2" s="1"/>
  <c r="F531" i="2"/>
  <c r="G531" i="2" s="1"/>
  <c r="I531" i="2" s="1"/>
  <c r="F532" i="2"/>
  <c r="G532" i="2" s="1"/>
  <c r="I532" i="2" s="1"/>
  <c r="F533" i="2"/>
  <c r="G533" i="2" s="1"/>
  <c r="I533" i="2" s="1"/>
  <c r="F534" i="2"/>
  <c r="G534" i="2" s="1"/>
  <c r="I534" i="2" s="1"/>
  <c r="F535" i="2"/>
  <c r="G535" i="2" s="1"/>
  <c r="I535" i="2" s="1"/>
  <c r="F536" i="2"/>
  <c r="G536" i="2" s="1"/>
  <c r="I536" i="2" s="1"/>
  <c r="F537" i="2"/>
  <c r="G537" i="2" s="1"/>
  <c r="I537" i="2" s="1"/>
  <c r="F538" i="2"/>
  <c r="G538" i="2" s="1"/>
  <c r="I538" i="2" s="1"/>
  <c r="F539" i="2"/>
  <c r="G539" i="2" s="1"/>
  <c r="I539" i="2" s="1"/>
  <c r="F540" i="2"/>
  <c r="G540" i="2" s="1"/>
  <c r="I540" i="2" s="1"/>
  <c r="F541" i="2"/>
  <c r="G541" i="2" s="1"/>
  <c r="I541" i="2" s="1"/>
  <c r="F542" i="2"/>
  <c r="G542" i="2" s="1"/>
  <c r="I542" i="2" s="1"/>
  <c r="F543" i="2"/>
  <c r="G543" i="2" s="1"/>
  <c r="I543" i="2" s="1"/>
  <c r="F544" i="2"/>
  <c r="G544" i="2" s="1"/>
  <c r="I544" i="2" s="1"/>
  <c r="F545" i="2"/>
  <c r="G545" i="2" s="1"/>
  <c r="I545" i="2" s="1"/>
  <c r="F546" i="2"/>
  <c r="G546" i="2" s="1"/>
  <c r="I546" i="2" s="1"/>
  <c r="F547" i="2"/>
  <c r="G547" i="2" s="1"/>
  <c r="I547" i="2" s="1"/>
  <c r="F548" i="2"/>
  <c r="G548" i="2" s="1"/>
  <c r="I548" i="2" s="1"/>
  <c r="F549" i="2"/>
  <c r="G549" i="2" s="1"/>
  <c r="I549" i="2" s="1"/>
  <c r="F550" i="2"/>
  <c r="G550" i="2" s="1"/>
  <c r="I550" i="2" s="1"/>
  <c r="F551" i="2"/>
  <c r="G551" i="2" s="1"/>
  <c r="I551" i="2" s="1"/>
  <c r="F552" i="2"/>
  <c r="G552" i="2" s="1"/>
  <c r="I552" i="2" s="1"/>
  <c r="F553" i="2"/>
  <c r="G553" i="2" s="1"/>
  <c r="I553" i="2" s="1"/>
  <c r="F554" i="2"/>
  <c r="G554" i="2" s="1"/>
  <c r="I554" i="2" s="1"/>
  <c r="F555" i="2"/>
  <c r="G555" i="2" s="1"/>
  <c r="I555" i="2" s="1"/>
  <c r="F556" i="2"/>
  <c r="G556" i="2" s="1"/>
  <c r="I556" i="2" s="1"/>
  <c r="F557" i="2"/>
  <c r="G557" i="2" s="1"/>
  <c r="I557" i="2" s="1"/>
  <c r="G558" i="2"/>
  <c r="I558" i="2" s="1"/>
  <c r="I559" i="2"/>
  <c r="G560" i="2"/>
  <c r="I560" i="2" s="1"/>
  <c r="G561" i="2"/>
  <c r="I561" i="2" s="1"/>
  <c r="G562" i="2"/>
  <c r="I562" i="2" s="1"/>
  <c r="G563" i="2"/>
  <c r="I563" i="2" s="1"/>
  <c r="G564" i="2"/>
  <c r="I564" i="2" s="1"/>
  <c r="G565" i="2"/>
  <c r="I565" i="2" s="1"/>
  <c r="F422" i="2" l="1"/>
  <c r="G422" i="2" s="1"/>
  <c r="I422" i="2" s="1"/>
  <c r="F421" i="2"/>
  <c r="G421" i="2" s="1"/>
  <c r="I421" i="2" s="1"/>
  <c r="F420" i="2"/>
  <c r="G420" i="2" s="1"/>
  <c r="I420" i="2" s="1"/>
  <c r="F419" i="2"/>
  <c r="G419" i="2" s="1"/>
  <c r="I419" i="2" s="1"/>
  <c r="F418" i="2"/>
  <c r="G418" i="2" s="1"/>
  <c r="I418" i="2" s="1"/>
  <c r="F417" i="2"/>
  <c r="G417" i="2" s="1"/>
  <c r="I417" i="2" s="1"/>
  <c r="F416" i="2"/>
  <c r="G416" i="2" s="1"/>
  <c r="I416" i="2" s="1"/>
  <c r="F415" i="2"/>
  <c r="G415" i="2" s="1"/>
  <c r="I415" i="2" s="1"/>
  <c r="F414" i="2"/>
  <c r="G414" i="2" s="1"/>
  <c r="I414" i="2" s="1"/>
  <c r="F412" i="2"/>
  <c r="G412" i="2" s="1"/>
  <c r="I412" i="2" s="1"/>
  <c r="F411" i="2"/>
  <c r="G411" i="2" s="1"/>
  <c r="I411" i="2" s="1"/>
  <c r="F410" i="2"/>
  <c r="G410" i="2" s="1"/>
  <c r="I410" i="2" s="1"/>
  <c r="F409" i="2"/>
  <c r="G409" i="2" s="1"/>
  <c r="I409" i="2" s="1"/>
  <c r="F408" i="2"/>
  <c r="G408" i="2" s="1"/>
  <c r="I408" i="2" s="1"/>
  <c r="F407" i="2"/>
  <c r="G407" i="2" s="1"/>
  <c r="I407" i="2" s="1"/>
  <c r="F406" i="2"/>
  <c r="G406" i="2" s="1"/>
  <c r="I406" i="2" s="1"/>
  <c r="F405" i="2"/>
  <c r="G405" i="2" s="1"/>
  <c r="I405" i="2" s="1"/>
  <c r="F404" i="2"/>
  <c r="G404" i="2" s="1"/>
  <c r="I404" i="2" s="1"/>
  <c r="F403" i="2"/>
  <c r="G403" i="2" s="1"/>
  <c r="I403" i="2" s="1"/>
  <c r="F402" i="2"/>
  <c r="G402" i="2" s="1"/>
  <c r="I402" i="2" s="1"/>
  <c r="F453" i="2" l="1"/>
  <c r="G453" i="2" s="1"/>
  <c r="F452" i="2"/>
  <c r="G452" i="2" s="1"/>
  <c r="I452" i="2" l="1"/>
  <c r="I453" i="2"/>
  <c r="I455" i="2"/>
  <c r="I456" i="2"/>
  <c r="I457" i="2"/>
  <c r="I458" i="2"/>
  <c r="I459" i="2"/>
  <c r="I460" i="2"/>
  <c r="I461" i="2"/>
  <c r="I462" i="2"/>
  <c r="F449" i="2"/>
  <c r="G449" i="2" s="1"/>
  <c r="I449" i="2" s="1"/>
  <c r="F448" i="2"/>
  <c r="G448" i="2" s="1"/>
  <c r="I448" i="2" s="1"/>
  <c r="F447" i="2"/>
  <c r="G447" i="2" s="1"/>
  <c r="I447" i="2" s="1"/>
  <c r="F446" i="2"/>
  <c r="G446" i="2" s="1"/>
  <c r="I446" i="2" l="1"/>
  <c r="F445" i="2"/>
  <c r="G445" i="2" s="1"/>
  <c r="I445" i="2" s="1"/>
  <c r="F444" i="2"/>
  <c r="G444" i="2" s="1"/>
  <c r="I444" i="2" s="1"/>
  <c r="F443" i="2"/>
  <c r="G443" i="2" s="1"/>
  <c r="I443" i="2" s="1"/>
  <c r="F343" i="2" l="1"/>
  <c r="G343" i="2" s="1"/>
  <c r="I343" i="2" s="1"/>
  <c r="F344" i="2"/>
  <c r="G344" i="2" s="1"/>
  <c r="I344" i="2" s="1"/>
  <c r="F345" i="2"/>
  <c r="G345" i="2" s="1"/>
  <c r="I345" i="2" s="1"/>
  <c r="F346" i="2"/>
  <c r="G346" i="2" s="1"/>
  <c r="I346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G398" i="2" s="1"/>
  <c r="F399" i="2"/>
  <c r="G399" i="2" s="1"/>
  <c r="F400" i="2"/>
  <c r="G400" i="2" s="1"/>
  <c r="F401" i="2"/>
  <c r="G401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G428" i="2" s="1"/>
  <c r="F429" i="2"/>
  <c r="G429" i="2" s="1"/>
  <c r="I429" i="2" s="1"/>
  <c r="F432" i="2"/>
  <c r="G432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I366" i="2" l="1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23" i="2"/>
  <c r="I424" i="2"/>
  <c r="I425" i="2"/>
  <c r="I426" i="2"/>
  <c r="I427" i="2"/>
  <c r="I428" i="2"/>
  <c r="I432" i="2"/>
  <c r="I436" i="2"/>
  <c r="I437" i="2"/>
  <c r="I438" i="2"/>
  <c r="I439" i="2"/>
  <c r="I440" i="2"/>
  <c r="I441" i="2"/>
  <c r="I442" i="2"/>
  <c r="F347" i="2"/>
  <c r="G347" i="2" s="1"/>
  <c r="I347" i="2" s="1"/>
  <c r="F348" i="2"/>
  <c r="G348" i="2" s="1"/>
  <c r="I348" i="2" s="1"/>
  <c r="F349" i="2"/>
  <c r="G349" i="2" s="1"/>
  <c r="I349" i="2" s="1"/>
  <c r="F350" i="2"/>
  <c r="G350" i="2" s="1"/>
  <c r="I350" i="2" s="1"/>
  <c r="F351" i="2"/>
  <c r="G351" i="2" s="1"/>
  <c r="I351" i="2" s="1"/>
  <c r="F352" i="2"/>
  <c r="G352" i="2" s="1"/>
  <c r="I352" i="2" s="1"/>
  <c r="F353" i="2"/>
  <c r="G353" i="2" s="1"/>
  <c r="I353" i="2" s="1"/>
  <c r="F354" i="2"/>
  <c r="G354" i="2" s="1"/>
  <c r="I354" i="2" s="1"/>
  <c r="F355" i="2"/>
  <c r="G355" i="2" s="1"/>
  <c r="I355" i="2" s="1"/>
  <c r="F356" i="2"/>
  <c r="G356" i="2" s="1"/>
  <c r="I356" i="2" s="1"/>
  <c r="F357" i="2"/>
  <c r="G357" i="2" s="1"/>
  <c r="I357" i="2" s="1"/>
  <c r="F358" i="2"/>
  <c r="G358" i="2" s="1"/>
  <c r="I358" i="2" s="1"/>
  <c r="F359" i="2"/>
  <c r="G359" i="2" s="1"/>
  <c r="I359" i="2" s="1"/>
  <c r="F360" i="2"/>
  <c r="G360" i="2" s="1"/>
  <c r="I360" i="2" s="1"/>
  <c r="F361" i="2"/>
  <c r="G361" i="2" s="1"/>
  <c r="I361" i="2" s="1"/>
  <c r="F362" i="2"/>
  <c r="G362" i="2" s="1"/>
  <c r="I362" i="2" s="1"/>
  <c r="F363" i="2"/>
  <c r="F364" i="2"/>
  <c r="F365" i="2"/>
  <c r="F332" i="2"/>
  <c r="G332" i="2" s="1"/>
  <c r="I332" i="2" s="1"/>
  <c r="F333" i="2"/>
  <c r="G333" i="2" s="1"/>
  <c r="I333" i="2" s="1"/>
  <c r="F334" i="2"/>
  <c r="G334" i="2" s="1"/>
  <c r="I334" i="2" s="1"/>
  <c r="F335" i="2"/>
  <c r="G335" i="2" s="1"/>
  <c r="I335" i="2" s="1"/>
  <c r="F336" i="2"/>
  <c r="G336" i="2" s="1"/>
  <c r="I336" i="2" s="1"/>
  <c r="F337" i="2"/>
  <c r="G337" i="2" s="1"/>
  <c r="I337" i="2" s="1"/>
  <c r="F338" i="2"/>
  <c r="G338" i="2" s="1"/>
  <c r="I338" i="2" s="1"/>
  <c r="F339" i="2"/>
  <c r="G339" i="2" s="1"/>
  <c r="I339" i="2" s="1"/>
  <c r="F340" i="2"/>
  <c r="G340" i="2" s="1"/>
  <c r="I340" i="2" s="1"/>
  <c r="F341" i="2"/>
  <c r="G341" i="2" s="1"/>
  <c r="I341" i="2" s="1"/>
  <c r="F342" i="2"/>
  <c r="G342" i="2" s="1"/>
  <c r="I342" i="2" s="1"/>
  <c r="G363" i="2" l="1"/>
  <c r="I363" i="2" s="1"/>
  <c r="G364" i="2"/>
  <c r="I364" i="2" s="1"/>
  <c r="G365" i="2"/>
  <c r="I365" i="2" s="1"/>
  <c r="F258" i="2" l="1"/>
  <c r="G258" i="2" s="1"/>
  <c r="I258" i="2" s="1"/>
  <c r="F259" i="2"/>
  <c r="G259" i="2" s="1"/>
  <c r="I259" i="2" s="1"/>
  <c r="F260" i="2"/>
  <c r="G260" i="2" s="1"/>
  <c r="I260" i="2" s="1"/>
  <c r="F261" i="2"/>
  <c r="G261" i="2" s="1"/>
  <c r="I261" i="2" s="1"/>
  <c r="F262" i="2"/>
  <c r="G262" i="2" s="1"/>
  <c r="I262" i="2" s="1"/>
  <c r="F263" i="2"/>
  <c r="G263" i="2" s="1"/>
  <c r="I263" i="2" s="1"/>
  <c r="F264" i="2"/>
  <c r="G264" i="2" s="1"/>
  <c r="I264" i="2" s="1"/>
  <c r="F265" i="2"/>
  <c r="G265" i="2" s="1"/>
  <c r="I265" i="2" s="1"/>
  <c r="F266" i="2"/>
  <c r="G266" i="2" s="1"/>
  <c r="I266" i="2" s="1"/>
  <c r="F267" i="2"/>
  <c r="G267" i="2" s="1"/>
  <c r="I267" i="2" s="1"/>
  <c r="F268" i="2"/>
  <c r="G268" i="2" s="1"/>
  <c r="I268" i="2" s="1"/>
  <c r="F269" i="2"/>
  <c r="G269" i="2" s="1"/>
  <c r="I269" i="2" s="1"/>
  <c r="F270" i="2"/>
  <c r="G270" i="2" s="1"/>
  <c r="I270" i="2" s="1"/>
  <c r="F271" i="2"/>
  <c r="G271" i="2" s="1"/>
  <c r="I271" i="2" s="1"/>
  <c r="F272" i="2"/>
  <c r="G272" i="2" s="1"/>
  <c r="I272" i="2" s="1"/>
  <c r="F273" i="2"/>
  <c r="G273" i="2" s="1"/>
  <c r="I273" i="2" s="1"/>
  <c r="F274" i="2"/>
  <c r="G274" i="2" s="1"/>
  <c r="I274" i="2" s="1"/>
  <c r="F275" i="2"/>
  <c r="G275" i="2" s="1"/>
  <c r="I275" i="2" s="1"/>
  <c r="F276" i="2"/>
  <c r="G276" i="2" s="1"/>
  <c r="I276" i="2" s="1"/>
  <c r="F277" i="2"/>
  <c r="G277" i="2" s="1"/>
  <c r="I277" i="2" s="1"/>
  <c r="F278" i="2"/>
  <c r="G278" i="2" s="1"/>
  <c r="I278" i="2" s="1"/>
  <c r="F279" i="2"/>
  <c r="G279" i="2" s="1"/>
  <c r="I279" i="2" s="1"/>
  <c r="F280" i="2"/>
  <c r="G280" i="2" s="1"/>
  <c r="I280" i="2" s="1"/>
  <c r="F281" i="2"/>
  <c r="G281" i="2" s="1"/>
  <c r="I281" i="2" s="1"/>
  <c r="F282" i="2"/>
  <c r="G282" i="2" s="1"/>
  <c r="I282" i="2" s="1"/>
  <c r="F283" i="2"/>
  <c r="G283" i="2" s="1"/>
  <c r="I283" i="2" s="1"/>
  <c r="F284" i="2"/>
  <c r="G284" i="2" s="1"/>
  <c r="I284" i="2" s="1"/>
  <c r="F285" i="2"/>
  <c r="G285" i="2" s="1"/>
  <c r="I285" i="2" s="1"/>
  <c r="F286" i="2"/>
  <c r="G286" i="2" s="1"/>
  <c r="I286" i="2" s="1"/>
  <c r="F287" i="2"/>
  <c r="G287" i="2" s="1"/>
  <c r="I287" i="2" s="1"/>
  <c r="F288" i="2"/>
  <c r="G288" i="2" s="1"/>
  <c r="I288" i="2" s="1"/>
  <c r="F289" i="2"/>
  <c r="G289" i="2" s="1"/>
  <c r="I289" i="2" s="1"/>
  <c r="F290" i="2"/>
  <c r="G290" i="2" s="1"/>
  <c r="I290" i="2" s="1"/>
  <c r="F291" i="2"/>
  <c r="G291" i="2" s="1"/>
  <c r="I291" i="2" s="1"/>
  <c r="F292" i="2"/>
  <c r="G292" i="2" s="1"/>
  <c r="I292" i="2" s="1"/>
  <c r="F293" i="2"/>
  <c r="G293" i="2" s="1"/>
  <c r="I293" i="2" s="1"/>
  <c r="F294" i="2"/>
  <c r="G294" i="2" s="1"/>
  <c r="I294" i="2" s="1"/>
  <c r="F295" i="2"/>
  <c r="G295" i="2" s="1"/>
  <c r="I295" i="2" s="1"/>
  <c r="F296" i="2"/>
  <c r="G296" i="2" s="1"/>
  <c r="I296" i="2" s="1"/>
  <c r="F297" i="2"/>
  <c r="G297" i="2" s="1"/>
  <c r="I297" i="2" s="1"/>
  <c r="F298" i="2"/>
  <c r="G298" i="2" s="1"/>
  <c r="I298" i="2" s="1"/>
  <c r="F299" i="2"/>
  <c r="G299" i="2" s="1"/>
  <c r="I299" i="2" s="1"/>
  <c r="F300" i="2"/>
  <c r="G300" i="2" s="1"/>
  <c r="I300" i="2" s="1"/>
  <c r="F301" i="2"/>
  <c r="G301" i="2" s="1"/>
  <c r="I301" i="2" s="1"/>
  <c r="F302" i="2"/>
  <c r="G302" i="2" s="1"/>
  <c r="I302" i="2" s="1"/>
  <c r="F303" i="2"/>
  <c r="G303" i="2" s="1"/>
  <c r="I303" i="2" s="1"/>
  <c r="F304" i="2"/>
  <c r="G304" i="2" s="1"/>
  <c r="I304" i="2" s="1"/>
  <c r="F305" i="2"/>
  <c r="G305" i="2" s="1"/>
  <c r="I305" i="2" s="1"/>
  <c r="F306" i="2"/>
  <c r="G306" i="2" s="1"/>
  <c r="I306" i="2" s="1"/>
  <c r="F307" i="2"/>
  <c r="G307" i="2" s="1"/>
  <c r="I307" i="2" s="1"/>
  <c r="F308" i="2"/>
  <c r="G308" i="2" s="1"/>
  <c r="I308" i="2" s="1"/>
  <c r="F309" i="2"/>
  <c r="G309" i="2" s="1"/>
  <c r="I309" i="2" s="1"/>
  <c r="F310" i="2"/>
  <c r="G310" i="2" s="1"/>
  <c r="I310" i="2" s="1"/>
  <c r="F311" i="2"/>
  <c r="G311" i="2" s="1"/>
  <c r="I311" i="2" s="1"/>
  <c r="F312" i="2"/>
  <c r="G312" i="2" s="1"/>
  <c r="I312" i="2" s="1"/>
  <c r="F313" i="2"/>
  <c r="G313" i="2" s="1"/>
  <c r="I313" i="2" s="1"/>
  <c r="F314" i="2"/>
  <c r="G314" i="2" s="1"/>
  <c r="I314" i="2" s="1"/>
  <c r="F315" i="2"/>
  <c r="G315" i="2" s="1"/>
  <c r="I315" i="2" s="1"/>
  <c r="F316" i="2"/>
  <c r="G316" i="2" s="1"/>
  <c r="I316" i="2" s="1"/>
  <c r="F317" i="2"/>
  <c r="G317" i="2" s="1"/>
  <c r="I317" i="2" s="1"/>
  <c r="F318" i="2"/>
  <c r="G318" i="2" s="1"/>
  <c r="I318" i="2" s="1"/>
  <c r="F319" i="2"/>
  <c r="G319" i="2" s="1"/>
  <c r="I319" i="2" s="1"/>
  <c r="F320" i="2"/>
  <c r="G320" i="2" s="1"/>
  <c r="I320" i="2" s="1"/>
  <c r="F321" i="2"/>
  <c r="G321" i="2" s="1"/>
  <c r="I321" i="2" s="1"/>
  <c r="F322" i="2"/>
  <c r="G322" i="2" s="1"/>
  <c r="I322" i="2" s="1"/>
  <c r="F323" i="2"/>
  <c r="G323" i="2" s="1"/>
  <c r="I323" i="2" s="1"/>
  <c r="F324" i="2"/>
  <c r="G324" i="2" s="1"/>
  <c r="I324" i="2" s="1"/>
  <c r="F325" i="2"/>
  <c r="G325" i="2" s="1"/>
  <c r="I325" i="2" s="1"/>
  <c r="F326" i="2"/>
  <c r="G326" i="2" s="1"/>
  <c r="I326" i="2" s="1"/>
  <c r="F327" i="2"/>
  <c r="G327" i="2" s="1"/>
  <c r="I327" i="2" s="1"/>
  <c r="F328" i="2"/>
  <c r="G328" i="2" s="1"/>
  <c r="I328" i="2" s="1"/>
  <c r="F329" i="2"/>
  <c r="G329" i="2" s="1"/>
  <c r="I329" i="2" s="1"/>
  <c r="F330" i="2"/>
  <c r="G330" i="2" s="1"/>
  <c r="I330" i="2" s="1"/>
  <c r="F331" i="2"/>
  <c r="G331" i="2" s="1"/>
  <c r="I331" i="2" s="1"/>
  <c r="F39" i="2"/>
  <c r="G39" i="2" s="1"/>
  <c r="I39" i="2" s="1"/>
  <c r="F40" i="2"/>
  <c r="G40" i="2" s="1"/>
  <c r="I40" i="2" s="1"/>
  <c r="F41" i="2"/>
  <c r="G41" i="2" s="1"/>
  <c r="I41" i="2" s="1"/>
  <c r="F42" i="2"/>
  <c r="G42" i="2" s="1"/>
  <c r="I42" i="2" s="1"/>
  <c r="F43" i="2"/>
  <c r="G43" i="2" s="1"/>
  <c r="I43" i="2" s="1"/>
  <c r="F44" i="2"/>
  <c r="G44" i="2" s="1"/>
  <c r="I44" i="2" s="1"/>
  <c r="F45" i="2"/>
  <c r="G45" i="2" s="1"/>
  <c r="I45" i="2" s="1"/>
  <c r="F46" i="2"/>
  <c r="G46" i="2" s="1"/>
  <c r="I46" i="2" s="1"/>
  <c r="F47" i="2"/>
  <c r="G47" i="2" s="1"/>
  <c r="I47" i="2" s="1"/>
  <c r="F48" i="2"/>
  <c r="G48" i="2" s="1"/>
  <c r="I48" i="2" s="1"/>
  <c r="F49" i="2"/>
  <c r="G49" i="2" s="1"/>
  <c r="I49" i="2" s="1"/>
  <c r="F50" i="2"/>
  <c r="G50" i="2" s="1"/>
  <c r="I50" i="2" s="1"/>
  <c r="F51" i="2"/>
  <c r="G51" i="2" s="1"/>
  <c r="I51" i="2" s="1"/>
  <c r="F52" i="2"/>
  <c r="G52" i="2" s="1"/>
  <c r="I52" i="2" s="1"/>
  <c r="F53" i="2"/>
  <c r="G53" i="2" s="1"/>
  <c r="I53" i="2" s="1"/>
  <c r="F54" i="2"/>
  <c r="G54" i="2" s="1"/>
  <c r="I54" i="2" s="1"/>
  <c r="F55" i="2"/>
  <c r="G55" i="2" s="1"/>
  <c r="I55" i="2" s="1"/>
  <c r="F56" i="2"/>
  <c r="G56" i="2" s="1"/>
  <c r="I56" i="2" s="1"/>
  <c r="F57" i="2"/>
  <c r="G57" i="2" s="1"/>
  <c r="I57" i="2" s="1"/>
  <c r="F58" i="2"/>
  <c r="G58" i="2" s="1"/>
  <c r="I58" i="2" s="1"/>
  <c r="F59" i="2"/>
  <c r="G59" i="2" s="1"/>
  <c r="I59" i="2" s="1"/>
  <c r="F60" i="2"/>
  <c r="G60" i="2" s="1"/>
  <c r="I60" i="2" s="1"/>
  <c r="F61" i="2"/>
  <c r="G61" i="2" s="1"/>
  <c r="I61" i="2" s="1"/>
  <c r="F62" i="2"/>
  <c r="G62" i="2" s="1"/>
  <c r="I62" i="2" s="1"/>
  <c r="F63" i="2"/>
  <c r="G63" i="2" s="1"/>
  <c r="I63" i="2" s="1"/>
  <c r="F64" i="2"/>
  <c r="G64" i="2" s="1"/>
  <c r="I64" i="2" s="1"/>
  <c r="F65" i="2"/>
  <c r="G65" i="2" s="1"/>
  <c r="I65" i="2" s="1"/>
  <c r="F66" i="2"/>
  <c r="G66" i="2" s="1"/>
  <c r="I66" i="2" s="1"/>
  <c r="F67" i="2"/>
  <c r="G67" i="2" s="1"/>
  <c r="I67" i="2" s="1"/>
  <c r="F68" i="2"/>
  <c r="G68" i="2" s="1"/>
  <c r="I68" i="2" s="1"/>
  <c r="F69" i="2"/>
  <c r="G69" i="2" s="1"/>
  <c r="I69" i="2" s="1"/>
  <c r="F70" i="2"/>
  <c r="G70" i="2" s="1"/>
  <c r="I70" i="2" s="1"/>
  <c r="F71" i="2"/>
  <c r="G71" i="2" s="1"/>
  <c r="I71" i="2" s="1"/>
  <c r="F72" i="2"/>
  <c r="G72" i="2" s="1"/>
  <c r="I72" i="2" s="1"/>
  <c r="F73" i="2"/>
  <c r="G73" i="2" s="1"/>
  <c r="I73" i="2" s="1"/>
  <c r="F74" i="2"/>
  <c r="G74" i="2" s="1"/>
  <c r="I74" i="2" s="1"/>
  <c r="F75" i="2"/>
  <c r="G75" i="2" s="1"/>
  <c r="I75" i="2" s="1"/>
  <c r="F76" i="2"/>
  <c r="G76" i="2" s="1"/>
  <c r="I76" i="2" s="1"/>
  <c r="F77" i="2"/>
  <c r="G77" i="2" s="1"/>
  <c r="I77" i="2" s="1"/>
  <c r="F78" i="2"/>
  <c r="G78" i="2" s="1"/>
  <c r="I78" i="2" s="1"/>
  <c r="F79" i="2"/>
  <c r="G79" i="2" s="1"/>
  <c r="I79" i="2" s="1"/>
  <c r="F80" i="2"/>
  <c r="G80" i="2" s="1"/>
  <c r="I80" i="2" s="1"/>
  <c r="F81" i="2"/>
  <c r="G81" i="2" s="1"/>
  <c r="I81" i="2" s="1"/>
  <c r="F82" i="2"/>
  <c r="G82" i="2" s="1"/>
  <c r="I82" i="2" s="1"/>
  <c r="F83" i="2"/>
  <c r="G83" i="2" s="1"/>
  <c r="I83" i="2" s="1"/>
  <c r="F84" i="2"/>
  <c r="G84" i="2" s="1"/>
  <c r="I84" i="2" s="1"/>
  <c r="F85" i="2"/>
  <c r="G85" i="2" s="1"/>
  <c r="I85" i="2" s="1"/>
  <c r="F86" i="2"/>
  <c r="G86" i="2" s="1"/>
  <c r="I86" i="2" s="1"/>
  <c r="F87" i="2"/>
  <c r="G87" i="2" s="1"/>
  <c r="I87" i="2" s="1"/>
  <c r="F88" i="2"/>
  <c r="G88" i="2" s="1"/>
  <c r="I88" i="2" s="1"/>
  <c r="F89" i="2"/>
  <c r="G89" i="2" s="1"/>
  <c r="I89" i="2" s="1"/>
  <c r="F90" i="2"/>
  <c r="G90" i="2" s="1"/>
  <c r="I90" i="2" s="1"/>
  <c r="F91" i="2"/>
  <c r="G91" i="2" s="1"/>
  <c r="I91" i="2" s="1"/>
  <c r="F92" i="2"/>
  <c r="G92" i="2" s="1"/>
  <c r="I92" i="2" s="1"/>
  <c r="F93" i="2"/>
  <c r="G93" i="2" s="1"/>
  <c r="I93" i="2" s="1"/>
  <c r="F94" i="2"/>
  <c r="G94" i="2" s="1"/>
  <c r="I94" i="2" s="1"/>
  <c r="F95" i="2"/>
  <c r="G95" i="2" s="1"/>
  <c r="I95" i="2" s="1"/>
  <c r="F96" i="2"/>
  <c r="G96" i="2" s="1"/>
  <c r="I96" i="2" s="1"/>
  <c r="F97" i="2"/>
  <c r="G97" i="2" s="1"/>
  <c r="I97" i="2" s="1"/>
  <c r="F98" i="2"/>
  <c r="G98" i="2" s="1"/>
  <c r="I98" i="2" s="1"/>
  <c r="F99" i="2"/>
  <c r="G99" i="2" s="1"/>
  <c r="I99" i="2" s="1"/>
  <c r="F100" i="2"/>
  <c r="G100" i="2" s="1"/>
  <c r="I100" i="2" s="1"/>
  <c r="F101" i="2"/>
  <c r="G101" i="2" s="1"/>
  <c r="I101" i="2" s="1"/>
  <c r="F102" i="2"/>
  <c r="G102" i="2" s="1"/>
  <c r="I102" i="2" s="1"/>
  <c r="F103" i="2"/>
  <c r="G103" i="2" s="1"/>
  <c r="I103" i="2" s="1"/>
  <c r="F104" i="2"/>
  <c r="G104" i="2" s="1"/>
  <c r="I104" i="2" s="1"/>
  <c r="F105" i="2"/>
  <c r="G105" i="2" s="1"/>
  <c r="I105" i="2" s="1"/>
  <c r="F106" i="2"/>
  <c r="G106" i="2" s="1"/>
  <c r="I106" i="2" s="1"/>
  <c r="F107" i="2"/>
  <c r="G107" i="2" s="1"/>
  <c r="I107" i="2" s="1"/>
  <c r="F108" i="2"/>
  <c r="G108" i="2" s="1"/>
  <c r="I108" i="2" s="1"/>
  <c r="F109" i="2"/>
  <c r="G109" i="2" s="1"/>
  <c r="I109" i="2" s="1"/>
  <c r="F110" i="2"/>
  <c r="G110" i="2" s="1"/>
  <c r="I110" i="2" s="1"/>
  <c r="F111" i="2"/>
  <c r="G111" i="2" s="1"/>
  <c r="I111" i="2" s="1"/>
  <c r="F112" i="2"/>
  <c r="G112" i="2" s="1"/>
  <c r="I112" i="2" s="1"/>
  <c r="F113" i="2"/>
  <c r="G113" i="2" s="1"/>
  <c r="I113" i="2" s="1"/>
  <c r="F114" i="2"/>
  <c r="G114" i="2" s="1"/>
  <c r="I114" i="2" s="1"/>
  <c r="F115" i="2"/>
  <c r="G115" i="2" s="1"/>
  <c r="I115" i="2" s="1"/>
  <c r="F116" i="2"/>
  <c r="G116" i="2" s="1"/>
  <c r="I116" i="2" s="1"/>
  <c r="F117" i="2"/>
  <c r="G117" i="2" s="1"/>
  <c r="I117" i="2" s="1"/>
  <c r="F118" i="2"/>
  <c r="G118" i="2" s="1"/>
  <c r="I118" i="2" s="1"/>
  <c r="F119" i="2"/>
  <c r="G119" i="2" s="1"/>
  <c r="I119" i="2" s="1"/>
  <c r="F120" i="2"/>
  <c r="G120" i="2" s="1"/>
  <c r="I120" i="2" s="1"/>
  <c r="F121" i="2"/>
  <c r="G121" i="2" s="1"/>
  <c r="I121" i="2" s="1"/>
  <c r="F122" i="2"/>
  <c r="G122" i="2" s="1"/>
  <c r="I122" i="2" s="1"/>
  <c r="F123" i="2"/>
  <c r="G123" i="2" s="1"/>
  <c r="I123" i="2" s="1"/>
  <c r="F124" i="2"/>
  <c r="G124" i="2" s="1"/>
  <c r="I124" i="2" s="1"/>
  <c r="F125" i="2"/>
  <c r="G125" i="2" s="1"/>
  <c r="I125" i="2" s="1"/>
  <c r="F126" i="2"/>
  <c r="G126" i="2" s="1"/>
  <c r="I126" i="2" s="1"/>
  <c r="F127" i="2"/>
  <c r="G127" i="2" s="1"/>
  <c r="I127" i="2" s="1"/>
  <c r="F128" i="2"/>
  <c r="G128" i="2" s="1"/>
  <c r="I128" i="2" s="1"/>
  <c r="F129" i="2"/>
  <c r="G129" i="2" s="1"/>
  <c r="I129" i="2" s="1"/>
  <c r="F130" i="2"/>
  <c r="G130" i="2" s="1"/>
  <c r="I130" i="2" s="1"/>
  <c r="F131" i="2"/>
  <c r="G131" i="2" s="1"/>
  <c r="I131" i="2" s="1"/>
  <c r="F132" i="2"/>
  <c r="G132" i="2" s="1"/>
  <c r="I132" i="2" s="1"/>
  <c r="F133" i="2"/>
  <c r="G133" i="2" s="1"/>
  <c r="I133" i="2" s="1"/>
  <c r="F134" i="2"/>
  <c r="G134" i="2" s="1"/>
  <c r="I134" i="2" s="1"/>
  <c r="F135" i="2"/>
  <c r="G135" i="2" s="1"/>
  <c r="I135" i="2" s="1"/>
  <c r="F136" i="2"/>
  <c r="G136" i="2" s="1"/>
  <c r="I136" i="2" s="1"/>
  <c r="F137" i="2"/>
  <c r="G137" i="2" s="1"/>
  <c r="I137" i="2" s="1"/>
  <c r="F138" i="2"/>
  <c r="G138" i="2" s="1"/>
  <c r="I138" i="2" s="1"/>
  <c r="F139" i="2"/>
  <c r="G139" i="2" s="1"/>
  <c r="I139" i="2" s="1"/>
  <c r="F140" i="2"/>
  <c r="G140" i="2" s="1"/>
  <c r="I140" i="2" s="1"/>
  <c r="F141" i="2"/>
  <c r="G141" i="2" s="1"/>
  <c r="I141" i="2" s="1"/>
  <c r="F142" i="2"/>
  <c r="G142" i="2" s="1"/>
  <c r="I142" i="2" s="1"/>
  <c r="F143" i="2"/>
  <c r="G143" i="2" s="1"/>
  <c r="I143" i="2" s="1"/>
  <c r="F144" i="2"/>
  <c r="G144" i="2" s="1"/>
  <c r="I144" i="2" s="1"/>
  <c r="F145" i="2"/>
  <c r="G145" i="2" s="1"/>
  <c r="I145" i="2" s="1"/>
  <c r="F146" i="2"/>
  <c r="G146" i="2" s="1"/>
  <c r="I146" i="2" s="1"/>
  <c r="F147" i="2"/>
  <c r="G147" i="2" s="1"/>
  <c r="I147" i="2" s="1"/>
  <c r="F148" i="2"/>
  <c r="G148" i="2" s="1"/>
  <c r="I148" i="2" s="1"/>
  <c r="F149" i="2"/>
  <c r="G149" i="2" s="1"/>
  <c r="I149" i="2" s="1"/>
  <c r="F150" i="2"/>
  <c r="G150" i="2" s="1"/>
  <c r="I150" i="2" s="1"/>
  <c r="F151" i="2"/>
  <c r="G151" i="2" s="1"/>
  <c r="I151" i="2" s="1"/>
  <c r="F152" i="2"/>
  <c r="G152" i="2" s="1"/>
  <c r="I152" i="2" s="1"/>
  <c r="F153" i="2"/>
  <c r="G153" i="2" s="1"/>
  <c r="I153" i="2" s="1"/>
  <c r="F154" i="2"/>
  <c r="G154" i="2" s="1"/>
  <c r="I154" i="2" s="1"/>
  <c r="F155" i="2"/>
  <c r="G155" i="2" s="1"/>
  <c r="I155" i="2" s="1"/>
  <c r="F156" i="2"/>
  <c r="G156" i="2" s="1"/>
  <c r="I156" i="2" s="1"/>
  <c r="F157" i="2"/>
  <c r="G157" i="2" s="1"/>
  <c r="I157" i="2" s="1"/>
  <c r="F158" i="2"/>
  <c r="G158" i="2" s="1"/>
  <c r="I158" i="2" s="1"/>
  <c r="F159" i="2"/>
  <c r="G159" i="2" s="1"/>
  <c r="I159" i="2" s="1"/>
  <c r="F160" i="2"/>
  <c r="G160" i="2" s="1"/>
  <c r="I160" i="2" s="1"/>
  <c r="F161" i="2"/>
  <c r="G161" i="2" s="1"/>
  <c r="I161" i="2" s="1"/>
  <c r="F162" i="2"/>
  <c r="G162" i="2" s="1"/>
  <c r="I162" i="2" s="1"/>
  <c r="F163" i="2"/>
  <c r="G163" i="2" s="1"/>
  <c r="I163" i="2" s="1"/>
  <c r="F164" i="2"/>
  <c r="I164" i="2" s="1"/>
  <c r="F165" i="2"/>
  <c r="G165" i="2" s="1"/>
  <c r="I165" i="2" s="1"/>
  <c r="F166" i="2"/>
  <c r="G166" i="2" s="1"/>
  <c r="I166" i="2" s="1"/>
  <c r="G167" i="2"/>
  <c r="I167" i="2" s="1"/>
  <c r="F168" i="2"/>
  <c r="G168" i="2" s="1"/>
  <c r="I168" i="2" s="1"/>
  <c r="F169" i="2"/>
  <c r="G169" i="2" s="1"/>
  <c r="I169" i="2" s="1"/>
  <c r="F170" i="2"/>
  <c r="G170" i="2" s="1"/>
  <c r="I170" i="2" s="1"/>
  <c r="F171" i="2"/>
  <c r="G171" i="2" s="1"/>
  <c r="I171" i="2" s="1"/>
  <c r="F172" i="2"/>
  <c r="G172" i="2" s="1"/>
  <c r="I172" i="2" s="1"/>
  <c r="F173" i="2"/>
  <c r="G173" i="2" s="1"/>
  <c r="I173" i="2" s="1"/>
  <c r="F174" i="2"/>
  <c r="G174" i="2" s="1"/>
  <c r="I174" i="2" s="1"/>
  <c r="F175" i="2"/>
  <c r="G175" i="2" s="1"/>
  <c r="I175" i="2" s="1"/>
  <c r="F176" i="2"/>
  <c r="G176" i="2" s="1"/>
  <c r="I176" i="2" s="1"/>
  <c r="F177" i="2"/>
  <c r="G177" i="2" s="1"/>
  <c r="I177" i="2" s="1"/>
  <c r="F178" i="2"/>
  <c r="G178" i="2" s="1"/>
  <c r="I178" i="2" s="1"/>
  <c r="F179" i="2"/>
  <c r="G179" i="2" s="1"/>
  <c r="I179" i="2" s="1"/>
  <c r="F180" i="2"/>
  <c r="G180" i="2" s="1"/>
  <c r="I180" i="2" s="1"/>
  <c r="F181" i="2"/>
  <c r="G181" i="2" s="1"/>
  <c r="I181" i="2" s="1"/>
  <c r="F182" i="2"/>
  <c r="G182" i="2" s="1"/>
  <c r="I182" i="2" s="1"/>
  <c r="F183" i="2"/>
  <c r="G183" i="2" s="1"/>
  <c r="I183" i="2" s="1"/>
  <c r="F184" i="2"/>
  <c r="G184" i="2" s="1"/>
  <c r="I184" i="2" s="1"/>
  <c r="F185" i="2"/>
  <c r="G185" i="2" s="1"/>
  <c r="I185" i="2" s="1"/>
  <c r="F186" i="2"/>
  <c r="G186" i="2" s="1"/>
  <c r="I186" i="2" s="1"/>
  <c r="F187" i="2"/>
  <c r="G187" i="2" s="1"/>
  <c r="I187" i="2" s="1"/>
  <c r="F188" i="2"/>
  <c r="G188" i="2" s="1"/>
  <c r="I188" i="2" s="1"/>
  <c r="F189" i="2"/>
  <c r="G189" i="2" s="1"/>
  <c r="I189" i="2" s="1"/>
  <c r="F190" i="2"/>
  <c r="G190" i="2" s="1"/>
  <c r="I190" i="2" s="1"/>
  <c r="F191" i="2"/>
  <c r="G191" i="2" s="1"/>
  <c r="I191" i="2" s="1"/>
  <c r="F192" i="2"/>
  <c r="G192" i="2" s="1"/>
  <c r="I192" i="2" s="1"/>
  <c r="F193" i="2"/>
  <c r="G193" i="2" s="1"/>
  <c r="I193" i="2" s="1"/>
  <c r="F194" i="2"/>
  <c r="G194" i="2" s="1"/>
  <c r="I194" i="2" s="1"/>
  <c r="F195" i="2"/>
  <c r="G195" i="2" s="1"/>
  <c r="I195" i="2" s="1"/>
  <c r="F196" i="2"/>
  <c r="G196" i="2" s="1"/>
  <c r="I196" i="2" s="1"/>
  <c r="F197" i="2"/>
  <c r="G197" i="2" s="1"/>
  <c r="I197" i="2" s="1"/>
  <c r="F198" i="2"/>
  <c r="G198" i="2" s="1"/>
  <c r="I198" i="2" s="1"/>
  <c r="F199" i="2"/>
  <c r="G199" i="2" s="1"/>
  <c r="I199" i="2" s="1"/>
  <c r="F200" i="2"/>
  <c r="G200" i="2" s="1"/>
  <c r="I200" i="2" s="1"/>
  <c r="F201" i="2"/>
  <c r="G201" i="2" s="1"/>
  <c r="I201" i="2" s="1"/>
  <c r="F202" i="2"/>
  <c r="G202" i="2" s="1"/>
  <c r="I202" i="2" s="1"/>
  <c r="F203" i="2"/>
  <c r="G203" i="2" s="1"/>
  <c r="I203" i="2" s="1"/>
  <c r="F204" i="2"/>
  <c r="G204" i="2" s="1"/>
  <c r="I204" i="2" s="1"/>
  <c r="F205" i="2"/>
  <c r="G205" i="2" s="1"/>
  <c r="I205" i="2" s="1"/>
  <c r="F206" i="2"/>
  <c r="G206" i="2" s="1"/>
  <c r="I206" i="2" s="1"/>
  <c r="F207" i="2"/>
  <c r="G207" i="2" s="1"/>
  <c r="I207" i="2" s="1"/>
  <c r="F208" i="2"/>
  <c r="G208" i="2" s="1"/>
  <c r="I208" i="2" s="1"/>
  <c r="F209" i="2"/>
  <c r="G209" i="2" s="1"/>
  <c r="I209" i="2" s="1"/>
  <c r="F210" i="2"/>
  <c r="G210" i="2" s="1"/>
  <c r="I210" i="2" s="1"/>
  <c r="F211" i="2"/>
  <c r="G211" i="2" s="1"/>
  <c r="I211" i="2" s="1"/>
  <c r="F212" i="2"/>
  <c r="G212" i="2" s="1"/>
  <c r="I212" i="2" s="1"/>
  <c r="F213" i="2"/>
  <c r="G213" i="2" s="1"/>
  <c r="I213" i="2" s="1"/>
  <c r="F214" i="2"/>
  <c r="G214" i="2" s="1"/>
  <c r="I214" i="2" s="1"/>
  <c r="F215" i="2"/>
  <c r="G215" i="2" s="1"/>
  <c r="I215" i="2" s="1"/>
  <c r="F216" i="2"/>
  <c r="G216" i="2" s="1"/>
  <c r="I216" i="2" s="1"/>
  <c r="F217" i="2"/>
  <c r="G217" i="2" s="1"/>
  <c r="I217" i="2" s="1"/>
  <c r="F218" i="2"/>
  <c r="G218" i="2" s="1"/>
  <c r="I218" i="2" s="1"/>
  <c r="F219" i="2"/>
  <c r="G219" i="2" s="1"/>
  <c r="I219" i="2" s="1"/>
  <c r="F220" i="2"/>
  <c r="G220" i="2" s="1"/>
  <c r="I220" i="2" s="1"/>
  <c r="F221" i="2"/>
  <c r="G221" i="2" s="1"/>
  <c r="I221" i="2" s="1"/>
  <c r="F222" i="2"/>
  <c r="G222" i="2" s="1"/>
  <c r="I222" i="2" s="1"/>
  <c r="F223" i="2"/>
  <c r="G223" i="2" s="1"/>
  <c r="I223" i="2" s="1"/>
  <c r="F224" i="2"/>
  <c r="G224" i="2" s="1"/>
  <c r="I224" i="2" s="1"/>
  <c r="F225" i="2"/>
  <c r="G225" i="2" s="1"/>
  <c r="I225" i="2" s="1"/>
  <c r="F226" i="2"/>
  <c r="G226" i="2" s="1"/>
  <c r="I226" i="2" s="1"/>
  <c r="F227" i="2"/>
  <c r="G227" i="2" s="1"/>
  <c r="I227" i="2" s="1"/>
  <c r="F228" i="2"/>
  <c r="G228" i="2" s="1"/>
  <c r="I228" i="2" s="1"/>
  <c r="F229" i="2"/>
  <c r="G229" i="2" s="1"/>
  <c r="I229" i="2" s="1"/>
  <c r="F230" i="2"/>
  <c r="G230" i="2" s="1"/>
  <c r="I230" i="2" s="1"/>
  <c r="F231" i="2"/>
  <c r="G231" i="2" s="1"/>
  <c r="I231" i="2" s="1"/>
  <c r="F232" i="2"/>
  <c r="G232" i="2" s="1"/>
  <c r="I232" i="2" s="1"/>
  <c r="F233" i="2"/>
  <c r="G233" i="2" s="1"/>
  <c r="I233" i="2" s="1"/>
  <c r="F234" i="2"/>
  <c r="G234" i="2" s="1"/>
  <c r="I234" i="2" s="1"/>
  <c r="F235" i="2"/>
  <c r="G235" i="2" s="1"/>
  <c r="I235" i="2" s="1"/>
  <c r="F236" i="2"/>
  <c r="G236" i="2" s="1"/>
  <c r="I236" i="2" s="1"/>
  <c r="F237" i="2"/>
  <c r="G237" i="2" s="1"/>
  <c r="I237" i="2" s="1"/>
  <c r="F238" i="2"/>
  <c r="G238" i="2" s="1"/>
  <c r="I238" i="2" s="1"/>
  <c r="F239" i="2"/>
  <c r="G239" i="2" s="1"/>
  <c r="I239" i="2" s="1"/>
  <c r="F240" i="2"/>
  <c r="G240" i="2" s="1"/>
  <c r="I240" i="2" s="1"/>
  <c r="F241" i="2"/>
  <c r="G241" i="2" s="1"/>
  <c r="I241" i="2" s="1"/>
  <c r="F242" i="2"/>
  <c r="G242" i="2" s="1"/>
  <c r="I242" i="2" s="1"/>
  <c r="F243" i="2"/>
  <c r="G243" i="2" s="1"/>
  <c r="I243" i="2" s="1"/>
  <c r="F244" i="2"/>
  <c r="G244" i="2" s="1"/>
  <c r="I244" i="2" s="1"/>
  <c r="F245" i="2"/>
  <c r="G245" i="2" s="1"/>
  <c r="I245" i="2" s="1"/>
  <c r="F246" i="2"/>
  <c r="G246" i="2" s="1"/>
  <c r="I246" i="2" s="1"/>
  <c r="F247" i="2"/>
  <c r="G247" i="2" s="1"/>
  <c r="I247" i="2" s="1"/>
  <c r="F248" i="2"/>
  <c r="G248" i="2" s="1"/>
  <c r="I248" i="2" s="1"/>
  <c r="F249" i="2"/>
  <c r="G249" i="2" s="1"/>
  <c r="I249" i="2" s="1"/>
  <c r="F250" i="2"/>
  <c r="G250" i="2" s="1"/>
  <c r="I250" i="2" s="1"/>
  <c r="F251" i="2"/>
  <c r="G251" i="2" s="1"/>
  <c r="I251" i="2" s="1"/>
  <c r="F252" i="2"/>
  <c r="G252" i="2" s="1"/>
  <c r="I252" i="2" s="1"/>
  <c r="F253" i="2"/>
  <c r="G253" i="2" s="1"/>
  <c r="I253" i="2" s="1"/>
  <c r="F254" i="2"/>
  <c r="G254" i="2" s="1"/>
  <c r="I254" i="2" s="1"/>
  <c r="F255" i="2"/>
  <c r="G255" i="2" s="1"/>
  <c r="I255" i="2" s="1"/>
  <c r="F256" i="2"/>
  <c r="G256" i="2" s="1"/>
  <c r="I256" i="2" s="1"/>
  <c r="F257" i="2"/>
  <c r="G257" i="2" s="1"/>
  <c r="I257" i="2" s="1"/>
  <c r="F26" i="2" l="1"/>
  <c r="G26" i="2" s="1"/>
  <c r="I26" i="2" s="1"/>
  <c r="F27" i="2"/>
  <c r="G27" i="2" s="1"/>
  <c r="I27" i="2" s="1"/>
  <c r="I28" i="2"/>
  <c r="F29" i="2"/>
  <c r="G29" i="2" s="1"/>
  <c r="I29" i="2" s="1"/>
  <c r="F30" i="2"/>
  <c r="G30" i="2" s="1"/>
  <c r="I30" i="2" s="1"/>
  <c r="F31" i="2"/>
  <c r="G31" i="2" s="1"/>
  <c r="I31" i="2" s="1"/>
  <c r="F32" i="2"/>
  <c r="G32" i="2" s="1"/>
  <c r="I32" i="2" s="1"/>
  <c r="F33" i="2"/>
  <c r="G33" i="2" s="1"/>
  <c r="I33" i="2" s="1"/>
  <c r="F34" i="2"/>
  <c r="G34" i="2" s="1"/>
  <c r="I34" i="2" s="1"/>
  <c r="F35" i="2"/>
  <c r="G35" i="2" s="1"/>
  <c r="I35" i="2" s="1"/>
  <c r="F36" i="2"/>
  <c r="G36" i="2" s="1"/>
  <c r="I36" i="2" s="1"/>
  <c r="F37" i="2"/>
  <c r="G37" i="2" s="1"/>
  <c r="I37" i="2" s="1"/>
  <c r="F38" i="2"/>
  <c r="G38" i="2" s="1"/>
  <c r="I38" i="2" s="1"/>
  <c r="F11" i="2" l="1"/>
  <c r="G11" i="2" s="1"/>
  <c r="I11" i="2" s="1"/>
  <c r="F12" i="2"/>
  <c r="G12" i="2" s="1"/>
  <c r="I12" i="2" s="1"/>
  <c r="F13" i="2"/>
  <c r="G13" i="2" s="1"/>
  <c r="I13" i="2" s="1"/>
  <c r="F14" i="2"/>
  <c r="G14" i="2" s="1"/>
  <c r="I14" i="2" s="1"/>
  <c r="I15" i="2"/>
  <c r="F16" i="2"/>
  <c r="G16" i="2" s="1"/>
  <c r="I16" i="2" s="1"/>
  <c r="F17" i="2"/>
  <c r="G17" i="2" s="1"/>
  <c r="I17" i="2" s="1"/>
  <c r="F18" i="2"/>
  <c r="G18" i="2" s="1"/>
  <c r="I18" i="2" s="1"/>
  <c r="F19" i="2"/>
  <c r="G19" i="2" s="1"/>
  <c r="I19" i="2" s="1"/>
  <c r="F20" i="2"/>
  <c r="G20" i="2" s="1"/>
  <c r="I20" i="2" s="1"/>
  <c r="F21" i="2"/>
  <c r="G21" i="2" s="1"/>
  <c r="I21" i="2" s="1"/>
  <c r="F22" i="2"/>
  <c r="G22" i="2" s="1"/>
  <c r="I22" i="2" s="1"/>
  <c r="F23" i="2"/>
  <c r="G23" i="2" s="1"/>
  <c r="I23" i="2" s="1"/>
  <c r="I24" i="2"/>
  <c r="F25" i="2"/>
  <c r="G25" i="2" s="1"/>
  <c r="I25" i="2" s="1"/>
  <c r="I10" i="2" l="1"/>
  <c r="F9" i="2" l="1"/>
  <c r="F7" i="2" s="1"/>
  <c r="G9" i="2" l="1"/>
  <c r="G7" i="2" s="1"/>
  <c r="I8" i="2"/>
  <c r="I9" i="2" l="1"/>
  <c r="I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2" authorId="0" shapeId="0" xr:uid="{CAEAF6F3-B54D-489A-BCAA-0F96DF3FBA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11/3</t>
        </r>
      </text>
    </comment>
    <comment ref="C80" authorId="0" shapeId="0" xr:uid="{DEAAE063-1B9C-4AEA-BBEC-CC96E7BFBF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29/4</t>
        </r>
      </text>
    </comment>
    <comment ref="C145" authorId="0" shapeId="0" xr:uid="{883BB94F-B922-4FB0-B99F-6FB9CC219D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29/5</t>
        </r>
      </text>
    </comment>
    <comment ref="C184" authorId="0" shapeId="0" xr:uid="{31D54638-3A04-4ECA-9C74-41CFCF0D3A1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24/6</t>
        </r>
      </text>
    </comment>
    <comment ref="C262" authorId="0" shapeId="0" xr:uid="{11E4DF09-4A61-4A30-9BF6-53E39B21025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5/8</t>
        </r>
      </text>
    </comment>
    <comment ref="C266" authorId="0" shapeId="0" xr:uid="{C8A8B3DF-A955-4F91-ABC7-2847D1390B0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5/8</t>
        </r>
      </text>
    </comment>
    <comment ref="C295" authorId="0" shapeId="0" xr:uid="{27476316-1BB5-42EF-A222-D17CFEC1D24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19/8</t>
        </r>
      </text>
    </comment>
    <comment ref="C352" authorId="0" shapeId="0" xr:uid="{4D75249F-9934-4D44-BFB2-E5998060FE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23/9</t>
        </r>
      </text>
    </comment>
    <comment ref="C364" authorId="0" shapeId="0" xr:uid="{A8240D1F-CFFF-4A94-BDCC-9ADEA9FE90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30/9</t>
        </r>
      </text>
    </comment>
    <comment ref="C399" authorId="0" shapeId="0" xr:uid="{D2B21EE9-1B33-4D64-B042-78D54EFA28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21/10</t>
        </r>
      </text>
    </comment>
    <comment ref="C404" authorId="0" shapeId="0" xr:uid="{7D8A8B89-ACDC-4133-AB95-32DFCF570A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28/10</t>
        </r>
      </text>
    </comment>
    <comment ref="C405" authorId="0" shapeId="0" xr:uid="{46392E9A-84A2-4043-8209-5966D7165E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28/10</t>
        </r>
      </text>
    </comment>
    <comment ref="C420" authorId="0" shapeId="0" xr:uid="{25F7B315-6D45-48F9-B539-CEB4E82337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4/11</t>
        </r>
      </text>
    </comment>
    <comment ref="C483" authorId="0" shapeId="0" xr:uid="{DD39EBAF-B5C2-4592-9592-B7BC3AE75F1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29/11</t>
        </r>
      </text>
    </comment>
    <comment ref="C494" authorId="0" shapeId="0" xr:uid="{05494D22-1314-4E8D-9549-BA56D7995D3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5/12</t>
        </r>
      </text>
    </comment>
    <comment ref="C514" authorId="0" shapeId="0" xr:uid="{920161F4-0506-4339-B9D6-CB7DFC8D5B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11/12</t>
        </r>
      </text>
    </comment>
    <comment ref="C520" authorId="0" shapeId="0" xr:uid="{E005B70C-CB74-468B-8F07-379E2F028C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11/12</t>
        </r>
      </text>
    </comment>
    <comment ref="C524" authorId="0" shapeId="0" xr:uid="{95EB679D-7D33-4DD0-96CA-CAF6D08A20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11/12</t>
        </r>
      </text>
    </comment>
    <comment ref="C528" authorId="0" shapeId="0" xr:uid="{F3413914-C56C-471C-8A65-821C31EC67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11/12</t>
        </r>
      </text>
    </comment>
    <comment ref="C529" authorId="0" shapeId="0" xr:uid="{EBB488C4-14EB-476B-B9D2-47C82CD3239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11/12</t>
        </r>
      </text>
    </comment>
    <comment ref="C549" authorId="0" shapeId="0" xr:uid="{F3FEB92B-1354-4DC1-BC38-5F6B3EF52C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18/12</t>
        </r>
      </text>
    </comment>
    <comment ref="C552" authorId="0" shapeId="0" xr:uid="{4B6BDFD5-2CCE-4A2F-B35D-ACD52243360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19/12</t>
        </r>
      </text>
    </comment>
    <comment ref="C555" authorId="0" shapeId="0" xr:uid="{BFF6C5FC-2D8D-4D08-8A84-FA8795C21E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19/12</t>
        </r>
      </text>
    </comment>
    <comment ref="C559" authorId="0" shapeId="0" xr:uid="{B2C46AD2-61FD-472F-9E2B-595440F6328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23/12</t>
        </r>
      </text>
    </comment>
    <comment ref="C560" authorId="0" shapeId="0" xr:uid="{6CE42183-4CD8-4C80-888B-11AEBD9C987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23/12</t>
        </r>
      </text>
    </comment>
    <comment ref="C566" authorId="0" shapeId="0" xr:uid="{A27ACC9F-CC91-45BA-BA2B-5DE90DB308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25/12</t>
        </r>
      </text>
    </comment>
    <comment ref="C571" authorId="0" shapeId="0" xr:uid="{E52D3F23-8267-4F7F-AB14-C6B023D205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26/12</t>
        </r>
      </text>
    </comment>
    <comment ref="C574" authorId="0" shapeId="0" xr:uid="{87BD4F4F-A587-472F-9784-4A33C8E8EBD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30/12</t>
        </r>
      </text>
    </comment>
    <comment ref="C575" authorId="0" shapeId="0" xr:uid="{C9011960-2131-4688-B332-E1C90C9128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03/01</t>
        </r>
      </text>
    </comment>
    <comment ref="C588" authorId="0" shapeId="0" xr:uid="{86110F99-41C5-4F97-B676-C145C098D64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3/1</t>
        </r>
      </text>
    </comment>
    <comment ref="C595" authorId="0" shapeId="0" xr:uid="{78EB7D11-F569-41EA-A094-419E45EFB1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6/1</t>
        </r>
      </text>
    </comment>
    <comment ref="C600" authorId="0" shapeId="0" xr:uid="{DED9218F-A240-4D53-82D7-869642FC13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6/1</t>
        </r>
      </text>
    </comment>
    <comment ref="C640" authorId="0" shapeId="0" xr:uid="{B7B64093-1331-41E6-BC81-D37F6688567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27/1</t>
        </r>
      </text>
    </comment>
    <comment ref="C649" authorId="0" shapeId="0" xr:uid="{33BCFD74-4FFA-4FE2-B7B6-B1367254FB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29/1</t>
        </r>
      </text>
    </comment>
    <comment ref="C656" authorId="0" shapeId="0" xr:uid="{3D20CB0C-CB1C-412C-A68A-330E106706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3/2</t>
        </r>
      </text>
    </comment>
    <comment ref="C664" authorId="0" shapeId="0" xr:uid="{656E137F-47B4-4569-AA56-A5BC89B0E9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3/2</t>
        </r>
      </text>
    </comment>
    <comment ref="C669" authorId="0" shapeId="0" xr:uid="{CAFBC12C-FDD4-4BC0-B109-8002B5A29F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11/2</t>
        </r>
      </text>
    </comment>
    <comment ref="C674" authorId="0" shapeId="0" xr:uid="{027B3596-FC24-4698-84AE-95304B83A4A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24/2</t>
        </r>
      </text>
    </comment>
    <comment ref="C693" authorId="0" shapeId="0" xr:uid="{FF6446F3-790F-4F91-AC40-69D6E06A8E1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6/3</t>
        </r>
      </text>
    </comment>
    <comment ref="C762" authorId="0" shapeId="0" xr:uid="{46E7329F-F0BB-4BA1-BB31-540CBA9344A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25/3</t>
        </r>
      </text>
    </comment>
    <comment ref="C763" authorId="0" shapeId="0" xr:uid="{A3B93732-E609-4DC7-A7E1-AA64B57A08F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25/3</t>
        </r>
      </text>
    </comment>
    <comment ref="C778" authorId="0" shapeId="0" xr:uid="{9D186FD4-1BDE-48BD-A62E-DEE54CFF76E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9/4</t>
        </r>
      </text>
    </comment>
    <comment ref="C788" authorId="0" shapeId="0" xr:uid="{4582DE8B-30B4-42C2-85E9-59064BB01CEB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14/4</t>
        </r>
      </text>
    </comment>
    <comment ref="C795" authorId="0" shapeId="0" xr:uid="{1011CF1D-7D63-4676-960E-F7B1523CCA7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20/4</t>
        </r>
      </text>
    </comment>
    <comment ref="C797" authorId="0" shapeId="0" xr:uid="{4A5F360E-574B-4041-8588-A1F7BECB912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20/4</t>
        </r>
      </text>
    </comment>
    <comment ref="C831" authorId="0" shapeId="0" xr:uid="{948635DE-C8E3-4F5D-A3A1-28E00D21506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9/5</t>
        </r>
      </text>
    </comment>
    <comment ref="C906" authorId="0" shapeId="0" xr:uid="{1309398D-6098-4DC2-8422-10B5D9FFB27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30/6</t>
        </r>
      </text>
    </comment>
    <comment ref="C913" authorId="0" shapeId="0" xr:uid="{8F54D237-411E-4B2F-B392-C7A0F052CC1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30/6</t>
        </r>
      </text>
    </comment>
    <comment ref="C914" authorId="0" shapeId="0" xr:uid="{A88787E9-B61D-4774-AFEF-A45F23F7A75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3/7</t>
        </r>
      </text>
    </comment>
    <comment ref="C915" authorId="0" shapeId="0" xr:uid="{FFE6D8F4-880D-47DF-AA28-8013B746EC4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4/7</t>
        </r>
      </text>
    </comment>
    <comment ref="C923" authorId="0" shapeId="0" xr:uid="{524C8470-535F-489A-A11F-67A8D64EA7BB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7/7</t>
        </r>
      </text>
    </comment>
    <comment ref="C942" authorId="0" shapeId="0" xr:uid="{38A266AE-9F38-4F87-B1C2-F1A5916823B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18/7</t>
        </r>
      </text>
    </comment>
  </commentList>
</comments>
</file>

<file path=xl/sharedStrings.xml><?xml version="1.0" encoding="utf-8"?>
<sst xmlns="http://schemas.openxmlformats.org/spreadsheetml/2006/main" count="3154" uniqueCount="1355">
  <si>
    <t>CÔNG NỢ LOTTE</t>
  </si>
  <si>
    <t>Tên khách hàng: Công ty Cổ Phần Trung Tâm Thương mại Lotte Việt Nam</t>
  </si>
  <si>
    <t>MST</t>
  </si>
  <si>
    <t>Đơn vị tính: VNĐ</t>
  </si>
  <si>
    <t>Địa điểm</t>
  </si>
  <si>
    <t>Date HĐ</t>
  </si>
  <si>
    <t>SỐ HĐ</t>
  </si>
  <si>
    <t>Số tiền</t>
  </si>
  <si>
    <t>Ngày TT</t>
  </si>
  <si>
    <t>Dịch vụ</t>
  </si>
  <si>
    <t>VAT 8%</t>
  </si>
  <si>
    <t>TỔNG</t>
  </si>
  <si>
    <t>Số đã trả</t>
  </si>
  <si>
    <t>Số còn nợ</t>
  </si>
  <si>
    <t>HĐ xóa bỏ</t>
  </si>
  <si>
    <t>HĐ thay thế</t>
  </si>
  <si>
    <t>SỐ DƯ ĐẦU KỲ:</t>
  </si>
  <si>
    <t>CÔNG TY CỔ PHẦN TRUNG TÂM THƯƠNG MẠI LOTTE VIỆT NAM</t>
  </si>
  <si>
    <t>CÔNG TY CỔ PHẦN TRUNG TÂM THƯƠNG MẠI LOTTE VIỆT NAM - CHI NHÁNH BÌNH DƯƠNG</t>
  </si>
  <si>
    <t>Công ty Cổ phần Trung Tâm Thương mại Lotte Việt Nam - Chi nhánh Bình Thuận</t>
  </si>
  <si>
    <t>Công ty Cổ phần Trung Tâm Thương mại Lotte Việt Nam - Chi nhánh Đồng Nai</t>
  </si>
  <si>
    <t>Công ty Cổ Phần Trung Tâm Thương mại Lotte Việt Nam - Chi nhánh Đà Nẵng</t>
  </si>
  <si>
    <t>Công ty Cổ phần Trung Tâm Thương mại Lotte Việt Nam - Chi nhánh Cần Thơ</t>
  </si>
  <si>
    <t>Công ty Cổ phần Trung Tâm Thương mại Lotte Việt Nam - Chi nhánh Ba Đình</t>
  </si>
  <si>
    <t>LOTTE MART PHÚ THỌ - 940B - ĐƯỜNG 3/2,P.15, Q.11, TP HCM</t>
  </si>
  <si>
    <t>Công ty Cổ phần Trung Tâm Thương mại Lotte Việt Nam - Chi nhánh Bà Rịa Vũng Tàu</t>
  </si>
  <si>
    <t>CÔNG TY CỔ PHẦN TRUNG TÂM THƯƠNG MẠI LOTTE VIỆT NAM- CN VINH</t>
  </si>
  <si>
    <t>Công ty Cổ phần Trung Tâm Thương mại Lotte Việt Nam - Chi nhánh Gò Vấp</t>
  </si>
  <si>
    <t>CÔNG TY CỔ PHẦN TRUNG TÂM THƯƠNG MẠI LOTTE VIỆT NAM - CHI NHÁNH TÂN BÌNH</t>
  </si>
  <si>
    <t>00002135</t>
  </si>
  <si>
    <t>CÔNG TY CỔ PHẦN TRUNG TÂM THƯƠNG MẠI LOTTE VIỆT NAM - CHI NHÁNH NHA TRANG</t>
  </si>
  <si>
    <t>00002137</t>
  </si>
  <si>
    <t>CÔNG TY CỔ PHẦN TRUNG TÂM THƯƠNG MẠI LOTTE VIỆT NAM - CHI NHÁNH TÂY HỒ</t>
  </si>
  <si>
    <t>00001317</t>
  </si>
  <si>
    <t>00001360</t>
  </si>
  <si>
    <t>00001651</t>
  </si>
  <si>
    <t>00001652</t>
  </si>
  <si>
    <t>00001653</t>
  </si>
  <si>
    <t>00001654</t>
  </si>
  <si>
    <t>00001749</t>
  </si>
  <si>
    <t>00001999</t>
  </si>
  <si>
    <t>00002136</t>
  </si>
  <si>
    <t>00002138</t>
  </si>
  <si>
    <t>00004975</t>
  </si>
  <si>
    <t>07/12/2024</t>
  </si>
  <si>
    <t>CÔNG TY CỔ PHẦN TRUNG TÂM THƯƠNG MẠI LOTTE VIỆT NAM – CHI NHÁNH NHA TRANG</t>
  </si>
  <si>
    <t>00005482</t>
  </si>
  <si>
    <t>26/12/2024</t>
  </si>
  <si>
    <t>Siêu Thị Lotte Nha trang Gold coast</t>
  </si>
  <si>
    <t>00001060</t>
  </si>
  <si>
    <t>00001079</t>
  </si>
  <si>
    <t>00001091</t>
  </si>
  <si>
    <t>00001092</t>
  </si>
  <si>
    <t>00001108</t>
  </si>
  <si>
    <t>00001109</t>
  </si>
  <si>
    <t>00001191</t>
  </si>
  <si>
    <t>00001195</t>
  </si>
  <si>
    <t>00001196</t>
  </si>
  <si>
    <t>00001197</t>
  </si>
  <si>
    <t>00001199</t>
  </si>
  <si>
    <t>00001200</t>
  </si>
  <si>
    <t>00001201</t>
  </si>
  <si>
    <t>00001218</t>
  </si>
  <si>
    <t>00001223</t>
  </si>
  <si>
    <t>00001304</t>
  </si>
  <si>
    <t>00001306</t>
  </si>
  <si>
    <t>00001313</t>
  </si>
  <si>
    <t>00001315</t>
  </si>
  <si>
    <t>00001316</t>
  </si>
  <si>
    <t>00001318</t>
  </si>
  <si>
    <t>00001319</t>
  </si>
  <si>
    <t>00001320</t>
  </si>
  <si>
    <t>00001321</t>
  </si>
  <si>
    <t>00001359</t>
  </si>
  <si>
    <t>00001361</t>
  </si>
  <si>
    <t>08/03/2025</t>
  </si>
  <si>
    <t>11/03/2025</t>
  </si>
  <si>
    <t>13/03/2025</t>
  </si>
  <si>
    <t>15/03/2025</t>
  </si>
  <si>
    <t>18/03/2025</t>
  </si>
  <si>
    <t>20/03/2025</t>
  </si>
  <si>
    <t>22/03/2025</t>
  </si>
  <si>
    <t>25/03/2025</t>
  </si>
  <si>
    <t>27/03/2025</t>
  </si>
  <si>
    <t>1343</t>
  </si>
  <si>
    <t>00001379</t>
  </si>
  <si>
    <t>00001418</t>
  </si>
  <si>
    <t>00001419</t>
  </si>
  <si>
    <t>00001420</t>
  </si>
  <si>
    <t>00001421</t>
  </si>
  <si>
    <t>00001422</t>
  </si>
  <si>
    <t>00001431</t>
  </si>
  <si>
    <t>00001570</t>
  </si>
  <si>
    <t>00001591</t>
  </si>
  <si>
    <t>00001649</t>
  </si>
  <si>
    <t>00001650</t>
  </si>
  <si>
    <t>00001656</t>
  </si>
  <si>
    <t>00001657</t>
  </si>
  <si>
    <t>00001658</t>
  </si>
  <si>
    <t>00001693</t>
  </si>
  <si>
    <t>00001706</t>
  </si>
  <si>
    <t>29/03/2025</t>
  </si>
  <si>
    <t>01/04/2025</t>
  </si>
  <si>
    <t>03/04/2025</t>
  </si>
  <si>
    <t>05/04/2025</t>
  </si>
  <si>
    <t>08/04/2025</t>
  </si>
  <si>
    <t>11/04/2025</t>
  </si>
  <si>
    <t>12/04/2025</t>
  </si>
  <si>
    <t>HOÀN</t>
  </si>
  <si>
    <t>00001743</t>
  </si>
  <si>
    <t>00001744</t>
  </si>
  <si>
    <t>00001750</t>
  </si>
  <si>
    <t>00001751</t>
  </si>
  <si>
    <t>00001752</t>
  </si>
  <si>
    <t>00001753</t>
  </si>
  <si>
    <t>00001782</t>
  </si>
  <si>
    <t>00001783</t>
  </si>
  <si>
    <t>00001882</t>
  </si>
  <si>
    <t>00001883</t>
  </si>
  <si>
    <t>00001884</t>
  </si>
  <si>
    <t>00001885</t>
  </si>
  <si>
    <t>00001886</t>
  </si>
  <si>
    <t>00001901</t>
  </si>
  <si>
    <t>14/04/2025</t>
  </si>
  <si>
    <t>15/04/2025</t>
  </si>
  <si>
    <t>18/04/2025</t>
  </si>
  <si>
    <t>22/04/2025</t>
  </si>
  <si>
    <t>00001923</t>
  </si>
  <si>
    <t>00001936</t>
  </si>
  <si>
    <t>00001955</t>
  </si>
  <si>
    <t>23/04/2025</t>
  </si>
  <si>
    <t>25/04/2025</t>
  </si>
  <si>
    <t>26/04/2025</t>
  </si>
  <si>
    <t>00002020</t>
  </si>
  <si>
    <t>00002021</t>
  </si>
  <si>
    <t>00002029</t>
  </si>
  <si>
    <t>00002047</t>
  </si>
  <si>
    <t>00002048</t>
  </si>
  <si>
    <t>00002049</t>
  </si>
  <si>
    <t>00002050</t>
  </si>
  <si>
    <t>00002063</t>
  </si>
  <si>
    <t>00002085</t>
  </si>
  <si>
    <t>29/04/2025</t>
  </si>
  <si>
    <t>03/05/2025</t>
  </si>
  <si>
    <t>xuất thay thế 5183, nhưng Lotte thanh toán 5183</t>
  </si>
  <si>
    <t>2101</t>
  </si>
  <si>
    <t>00002096</t>
  </si>
  <si>
    <t>00002125</t>
  </si>
  <si>
    <t>00002132</t>
  </si>
  <si>
    <t>00002133</t>
  </si>
  <si>
    <t>00002134</t>
  </si>
  <si>
    <t>00002163</t>
  </si>
  <si>
    <t>05/05/2025</t>
  </si>
  <si>
    <t>06/05/2025</t>
  </si>
  <si>
    <t>07/05/2025</t>
  </si>
  <si>
    <t>HỦY</t>
  </si>
  <si>
    <t>HỦY, TRÙNG VỚI 1191</t>
  </si>
  <si>
    <t>00002191</t>
  </si>
  <si>
    <t>00002192</t>
  </si>
  <si>
    <t>00002215</t>
  </si>
  <si>
    <t>00002234</t>
  </si>
  <si>
    <t>00002235</t>
  </si>
  <si>
    <t>00002236</t>
  </si>
  <si>
    <t>00002237</t>
  </si>
  <si>
    <t>00002238</t>
  </si>
  <si>
    <t>00002246</t>
  </si>
  <si>
    <t>00002280</t>
  </si>
  <si>
    <t>00002286</t>
  </si>
  <si>
    <t>00002351</t>
  </si>
  <si>
    <t>09/05/2025</t>
  </si>
  <si>
    <t>13/05/2025</t>
  </si>
  <si>
    <t>15/05/2025</t>
  </si>
  <si>
    <t>17/05/2025</t>
  </si>
  <si>
    <t>00002400</t>
  </si>
  <si>
    <t>00002401</t>
  </si>
  <si>
    <t>00002402</t>
  </si>
  <si>
    <t>00002403</t>
  </si>
  <si>
    <t>00002404</t>
  </si>
  <si>
    <t>00002405</t>
  </si>
  <si>
    <t>00002406</t>
  </si>
  <si>
    <t>00002407</t>
  </si>
  <si>
    <t>00002408</t>
  </si>
  <si>
    <t>00002409</t>
  </si>
  <si>
    <t>00002410</t>
  </si>
  <si>
    <t>00002415</t>
  </si>
  <si>
    <t>00002417</t>
  </si>
  <si>
    <t>20/05/2025</t>
  </si>
  <si>
    <t>00002433</t>
  </si>
  <si>
    <t>00002434</t>
  </si>
  <si>
    <t>00002435</t>
  </si>
  <si>
    <t>00002436</t>
  </si>
  <si>
    <t>00002444</t>
  </si>
  <si>
    <t>00002445</t>
  </si>
  <si>
    <t>00002446</t>
  </si>
  <si>
    <t>00002447</t>
  </si>
  <si>
    <t>00002502</t>
  </si>
  <si>
    <t>00002525</t>
  </si>
  <si>
    <t>00002543</t>
  </si>
  <si>
    <t>00002549</t>
  </si>
  <si>
    <t>00002559</t>
  </si>
  <si>
    <t>00002560</t>
  </si>
  <si>
    <t>00002561</t>
  </si>
  <si>
    <t>00002562</t>
  </si>
  <si>
    <t>00002563</t>
  </si>
  <si>
    <t>00002564</t>
  </si>
  <si>
    <t>00002565</t>
  </si>
  <si>
    <t>00002566</t>
  </si>
  <si>
    <t>00002567</t>
  </si>
  <si>
    <t>00002568</t>
  </si>
  <si>
    <t>00002602</t>
  </si>
  <si>
    <t>00002603</t>
  </si>
  <si>
    <t>00002703</t>
  </si>
  <si>
    <t>00002704</t>
  </si>
  <si>
    <t>00002705</t>
  </si>
  <si>
    <t>00002706</t>
  </si>
  <si>
    <t>00002715</t>
  </si>
  <si>
    <t>22/05/2025</t>
  </si>
  <si>
    <t>24/05/2025</t>
  </si>
  <si>
    <t>26/05/2025</t>
  </si>
  <si>
    <t>27/05/2025</t>
  </si>
  <si>
    <t>29/05/2025</t>
  </si>
  <si>
    <t>02/06/2025</t>
  </si>
  <si>
    <t>03/06/2025</t>
  </si>
  <si>
    <t>2711</t>
  </si>
  <si>
    <t>CHỐT CÔNG NỢ KHỚP TẠI 03/06/2025</t>
  </si>
  <si>
    <t>00002756</t>
  </si>
  <si>
    <t>00002757</t>
  </si>
  <si>
    <t>00002801</t>
  </si>
  <si>
    <t>00002818</t>
  </si>
  <si>
    <t>00002838</t>
  </si>
  <si>
    <t>00002839</t>
  </si>
  <si>
    <t>00002840</t>
  </si>
  <si>
    <t>00002841</t>
  </si>
  <si>
    <t>00002842</t>
  </si>
  <si>
    <t>00002844</t>
  </si>
  <si>
    <t>00002845</t>
  </si>
  <si>
    <t>00002879</t>
  </si>
  <si>
    <t>00002880</t>
  </si>
  <si>
    <t>06/06/2025</t>
  </si>
  <si>
    <t>07/06/2025</t>
  </si>
  <si>
    <t>09/06/2025</t>
  </si>
  <si>
    <t>10/06/2025</t>
  </si>
  <si>
    <t>12/06/2025</t>
  </si>
  <si>
    <t>Hàng xuất trả- Lotte Nam Sài Gòn</t>
  </si>
  <si>
    <t>2904</t>
  </si>
  <si>
    <t>2948</t>
  </si>
  <si>
    <t>CHỐT CÔNG NỢ KHỚP TẠI 16/06/2025</t>
  </si>
  <si>
    <t>2965</t>
  </si>
  <si>
    <t>00002977</t>
  </si>
  <si>
    <t>00002978</t>
  </si>
  <si>
    <t>00002979</t>
  </si>
  <si>
    <t>00002980</t>
  </si>
  <si>
    <t>00002981</t>
  </si>
  <si>
    <t>00002982</t>
  </si>
  <si>
    <t>00002983</t>
  </si>
  <si>
    <t>00002984</t>
  </si>
  <si>
    <t>00002985</t>
  </si>
  <si>
    <t>00003031</t>
  </si>
  <si>
    <t>00003032</t>
  </si>
  <si>
    <t>00003045</t>
  </si>
  <si>
    <t>17/06/2025</t>
  </si>
  <si>
    <t>19/06/2025</t>
  </si>
  <si>
    <t>00003134</t>
  </si>
  <si>
    <t>00003145</t>
  </si>
  <si>
    <t>00003148</t>
  </si>
  <si>
    <t>00003149</t>
  </si>
  <si>
    <t>00003150</t>
  </si>
  <si>
    <t>00003151</t>
  </si>
  <si>
    <t>00003152</t>
  </si>
  <si>
    <t>00003191</t>
  </si>
  <si>
    <t>00003192</t>
  </si>
  <si>
    <t>24/06/2025</t>
  </si>
  <si>
    <t>26/06/2025</t>
  </si>
  <si>
    <t>3202</t>
  </si>
  <si>
    <t>CHỐT CÔNG NỢ KHỚP TẠI 27/06/2025</t>
  </si>
  <si>
    <t>00003209</t>
  </si>
  <si>
    <t>00003210</t>
  </si>
  <si>
    <t>00003277</t>
  </si>
  <si>
    <t>00003278</t>
  </si>
  <si>
    <t>00003279</t>
  </si>
  <si>
    <t>00003280</t>
  </si>
  <si>
    <t>00003281</t>
  </si>
  <si>
    <t>00003282</t>
  </si>
  <si>
    <t>00003283</t>
  </si>
  <si>
    <t>00003284</t>
  </si>
  <si>
    <t>00003285</t>
  </si>
  <si>
    <t>00003315</t>
  </si>
  <si>
    <t>00003316</t>
  </si>
  <si>
    <t>00003317</t>
  </si>
  <si>
    <t>00003333</t>
  </si>
  <si>
    <t>28/06/2025</t>
  </si>
  <si>
    <t>01/07/2025</t>
  </si>
  <si>
    <t>03/07/2025</t>
  </si>
  <si>
    <t>CÔNG TY CỔ PHẦN TRUNG TÂM THƯƠNG MẠI LOTTE VIỆT NAM - CHI NHÁNH BA ĐÌNH</t>
  </si>
  <si>
    <t>LOTTE MART NHA TRANG</t>
  </si>
  <si>
    <t>LOTTE MART PHÚ THỌ</t>
  </si>
  <si>
    <t>3344</t>
  </si>
  <si>
    <t>00003349</t>
  </si>
  <si>
    <t>00003395</t>
  </si>
  <si>
    <t>00003427</t>
  </si>
  <si>
    <t>00003428</t>
  </si>
  <si>
    <t>00003429</t>
  </si>
  <si>
    <t>00003430</t>
  </si>
  <si>
    <t>00003431</t>
  </si>
  <si>
    <t>00003432</t>
  </si>
  <si>
    <t>00003433</t>
  </si>
  <si>
    <t>00003434</t>
  </si>
  <si>
    <t>00003435</t>
  </si>
  <si>
    <t>00003436</t>
  </si>
  <si>
    <t>05/07/2025</t>
  </si>
  <si>
    <t>07/07/2025</t>
  </si>
  <si>
    <t>08/07/2025</t>
  </si>
  <si>
    <t>00003450</t>
  </si>
  <si>
    <t>00003451</t>
  </si>
  <si>
    <t>00003452</t>
  </si>
  <si>
    <t>00003453</t>
  </si>
  <si>
    <t>00003550</t>
  </si>
  <si>
    <t>00003564</t>
  </si>
  <si>
    <t>00003578</t>
  </si>
  <si>
    <t>00003579</t>
  </si>
  <si>
    <t>00003580</t>
  </si>
  <si>
    <t>00003581</t>
  </si>
  <si>
    <t>00003582</t>
  </si>
  <si>
    <t>00003583</t>
  </si>
  <si>
    <t>00003584</t>
  </si>
  <si>
    <t>00003585</t>
  </si>
  <si>
    <t>00003586</t>
  </si>
  <si>
    <t>00003587</t>
  </si>
  <si>
    <t>10/07/2025</t>
  </si>
  <si>
    <t>12/07/2025</t>
  </si>
  <si>
    <t>14/07/2025</t>
  </si>
  <si>
    <t>15/07/2025</t>
  </si>
  <si>
    <t>DS T6</t>
  </si>
  <si>
    <t>00003603</t>
  </si>
  <si>
    <t>00003628</t>
  </si>
  <si>
    <t>00003629</t>
  </si>
  <si>
    <t>00003675</t>
  </si>
  <si>
    <t>00003692</t>
  </si>
  <si>
    <t>00003693</t>
  </si>
  <si>
    <t>00003694</t>
  </si>
  <si>
    <t>00003695</t>
  </si>
  <si>
    <t>00003696</t>
  </si>
  <si>
    <t>00003697</t>
  </si>
  <si>
    <t>00003698</t>
  </si>
  <si>
    <t>00003699</t>
  </si>
  <si>
    <t>00003700</t>
  </si>
  <si>
    <t>00003701</t>
  </si>
  <si>
    <t>00003702</t>
  </si>
  <si>
    <t>00003709</t>
  </si>
  <si>
    <t>00003710</t>
  </si>
  <si>
    <t>00003735</t>
  </si>
  <si>
    <t>00003793</t>
  </si>
  <si>
    <t>00003795</t>
  </si>
  <si>
    <t>00003798</t>
  </si>
  <si>
    <t>00003848</t>
  </si>
  <si>
    <t>00003849</t>
  </si>
  <si>
    <t>00003850</t>
  </si>
  <si>
    <t>00003851</t>
  </si>
  <si>
    <t>00003852</t>
  </si>
  <si>
    <t>00003858</t>
  </si>
  <si>
    <t>00003859</t>
  </si>
  <si>
    <t>17/07/2025</t>
  </si>
  <si>
    <t>18/07/2025</t>
  </si>
  <si>
    <t>21/07/2025</t>
  </si>
  <si>
    <t>23/07/2025</t>
  </si>
  <si>
    <t>24/07/2025</t>
  </si>
  <si>
    <t>26/07/2025</t>
  </si>
  <si>
    <t>29/07/2025</t>
  </si>
  <si>
    <t>00003914</t>
  </si>
  <si>
    <t>00003915</t>
  </si>
  <si>
    <t>00004002</t>
  </si>
  <si>
    <t>00004003</t>
  </si>
  <si>
    <t>00004004</t>
  </si>
  <si>
    <t>00004005</t>
  </si>
  <si>
    <t>00004006</t>
  </si>
  <si>
    <t>00004007</t>
  </si>
  <si>
    <t>00004008</t>
  </si>
  <si>
    <t>00004012</t>
  </si>
  <si>
    <t>00004037</t>
  </si>
  <si>
    <t>00004049</t>
  </si>
  <si>
    <t>00004101</t>
  </si>
  <si>
    <t>00004102</t>
  </si>
  <si>
    <t>00004103</t>
  </si>
  <si>
    <t>00004131</t>
  </si>
  <si>
    <t>00004132</t>
  </si>
  <si>
    <t>00004133</t>
  </si>
  <si>
    <t>00004134</t>
  </si>
  <si>
    <t>00004135</t>
  </si>
  <si>
    <t>00004136</t>
  </si>
  <si>
    <t>00004137</t>
  </si>
  <si>
    <t>00004138</t>
  </si>
  <si>
    <t>00004147</t>
  </si>
  <si>
    <t>00004148</t>
  </si>
  <si>
    <t>00004149</t>
  </si>
  <si>
    <t>00004153</t>
  </si>
  <si>
    <t>00004154</t>
  </si>
  <si>
    <t>00004181</t>
  </si>
  <si>
    <t>00004269</t>
  </si>
  <si>
    <t>00004270</t>
  </si>
  <si>
    <t>00004271</t>
  </si>
  <si>
    <t>00004272</t>
  </si>
  <si>
    <t>00004273</t>
  </si>
  <si>
    <t>00004274</t>
  </si>
  <si>
    <t>00004275</t>
  </si>
  <si>
    <t>00004276</t>
  </si>
  <si>
    <t>00004279</t>
  </si>
  <si>
    <t>31/07/2025</t>
  </si>
  <si>
    <t>05/08/2025</t>
  </si>
  <si>
    <t>06/08/2025</t>
  </si>
  <si>
    <t>07/08/2025</t>
  </si>
  <si>
    <t>09/08/2025</t>
  </si>
  <si>
    <t>11/08/2025</t>
  </si>
  <si>
    <t>12/08/2025</t>
  </si>
  <si>
    <t>13/08/2025</t>
  </si>
  <si>
    <t>14/08/2025</t>
  </si>
  <si>
    <t>16/08/2025</t>
  </si>
  <si>
    <t>19/08/2025</t>
  </si>
  <si>
    <t>4263</t>
  </si>
  <si>
    <t>4266</t>
  </si>
  <si>
    <t>DS T7</t>
  </si>
  <si>
    <t>00004336</t>
  </si>
  <si>
    <t>00004337</t>
  </si>
  <si>
    <t>00004338</t>
  </si>
  <si>
    <t>00004339</t>
  </si>
  <si>
    <t>00004418</t>
  </si>
  <si>
    <t>00004424</t>
  </si>
  <si>
    <t>00004425</t>
  </si>
  <si>
    <t>00004426</t>
  </si>
  <si>
    <t>00004427</t>
  </si>
  <si>
    <t>00004428</t>
  </si>
  <si>
    <t>00004429</t>
  </si>
  <si>
    <t>00004430</t>
  </si>
  <si>
    <t>00004431</t>
  </si>
  <si>
    <t>00004437</t>
  </si>
  <si>
    <t>00004442</t>
  </si>
  <si>
    <t>00004481</t>
  </si>
  <si>
    <t>00004575</t>
  </si>
  <si>
    <t>22/08/2025</t>
  </si>
  <si>
    <t>26/08/2025</t>
  </si>
  <si>
    <t>27/08/2025</t>
  </si>
  <si>
    <t>29/08/2025</t>
  </si>
  <si>
    <t>Hàng xuất trả- Lotte Vũng TÀU</t>
  </si>
  <si>
    <t>Hàng xuất trả- Lotte Cần Thơ</t>
  </si>
  <si>
    <t>Hàng xuất trả- Lotte Bình Dương</t>
  </si>
  <si>
    <t>Hàng xuất trả- Lotte Phan Thiết</t>
  </si>
  <si>
    <t>Hàng xuất trả- Lotte Đà Nẵng</t>
  </si>
  <si>
    <t>00004600</t>
  </si>
  <si>
    <t>00004601</t>
  </si>
  <si>
    <t>00004602</t>
  </si>
  <si>
    <t>00004603</t>
  </si>
  <si>
    <t>00004604</t>
  </si>
  <si>
    <t>00004605</t>
  </si>
  <si>
    <t>00004636</t>
  </si>
  <si>
    <t>00004714</t>
  </si>
  <si>
    <t>00004754</t>
  </si>
  <si>
    <t>00004755</t>
  </si>
  <si>
    <t>00004756</t>
  </si>
  <si>
    <t>00004757</t>
  </si>
  <si>
    <t>00004760</t>
  </si>
  <si>
    <t>00004761</t>
  </si>
  <si>
    <t>03/09/2025</t>
  </si>
  <si>
    <t>04/09/2025</t>
  </si>
  <si>
    <t>09/09/2025</t>
  </si>
  <si>
    <t>LOTTE PHÚ THỌ</t>
  </si>
  <si>
    <t>DS T8</t>
  </si>
  <si>
    <t>4917</t>
  </si>
  <si>
    <t>00004776</t>
  </si>
  <si>
    <t>00004777</t>
  </si>
  <si>
    <t>00004778</t>
  </si>
  <si>
    <t>00004839</t>
  </si>
  <si>
    <t>00004868</t>
  </si>
  <si>
    <t>00004869</t>
  </si>
  <si>
    <t>00004870</t>
  </si>
  <si>
    <t>00004871</t>
  </si>
  <si>
    <t>00004900</t>
  </si>
  <si>
    <t>00004901</t>
  </si>
  <si>
    <t>00004902</t>
  </si>
  <si>
    <t>00004903</t>
  </si>
  <si>
    <t>00004904</t>
  </si>
  <si>
    <t>00004933</t>
  </si>
  <si>
    <t>00004934</t>
  </si>
  <si>
    <t>00004966</t>
  </si>
  <si>
    <t>11/09/2025</t>
  </si>
  <si>
    <t>13/09/2025</t>
  </si>
  <si>
    <t>16/09/2025</t>
  </si>
  <si>
    <t>18/09/2025</t>
  </si>
  <si>
    <t>20/09/2025</t>
  </si>
  <si>
    <t>00005044</t>
  </si>
  <si>
    <t>00005045</t>
  </si>
  <si>
    <t>00005046</t>
  </si>
  <si>
    <t>00005047</t>
  </si>
  <si>
    <t>00005048</t>
  </si>
  <si>
    <t>00005049</t>
  </si>
  <si>
    <t>00005050</t>
  </si>
  <si>
    <t>00005089</t>
  </si>
  <si>
    <t>00005090</t>
  </si>
  <si>
    <t>00005091</t>
  </si>
  <si>
    <t>00005100</t>
  </si>
  <si>
    <t>00005106</t>
  </si>
  <si>
    <t>00005174</t>
  </si>
  <si>
    <t>00005175</t>
  </si>
  <si>
    <t>00005176</t>
  </si>
  <si>
    <t>00005177</t>
  </si>
  <si>
    <t>00005178</t>
  </si>
  <si>
    <t>00005179</t>
  </si>
  <si>
    <t>00005180</t>
  </si>
  <si>
    <t>00005181</t>
  </si>
  <si>
    <t>23/09/2025</t>
  </si>
  <si>
    <t>25/09/2025</t>
  </si>
  <si>
    <t>26/09/2025</t>
  </si>
  <si>
    <t>30/09/2025</t>
  </si>
  <si>
    <t>5366</t>
  </si>
  <si>
    <t>00005196</t>
  </si>
  <si>
    <t>00005207</t>
  </si>
  <si>
    <t>00005208</t>
  </si>
  <si>
    <t>00005266</t>
  </si>
  <si>
    <t>00005286</t>
  </si>
  <si>
    <t>00005311</t>
  </si>
  <si>
    <t>00005312</t>
  </si>
  <si>
    <t>00005313</t>
  </si>
  <si>
    <t>00005314</t>
  </si>
  <si>
    <t>00005315</t>
  </si>
  <si>
    <t>00005316</t>
  </si>
  <si>
    <t>00005317</t>
  </si>
  <si>
    <t>00005318</t>
  </si>
  <si>
    <t>00005319</t>
  </si>
  <si>
    <t>00005355</t>
  </si>
  <si>
    <t>00005422</t>
  </si>
  <si>
    <t>00005423</t>
  </si>
  <si>
    <t>00005424</t>
  </si>
  <si>
    <t>00005425</t>
  </si>
  <si>
    <t>00005426</t>
  </si>
  <si>
    <t>00005427</t>
  </si>
  <si>
    <t>00005428</t>
  </si>
  <si>
    <t>00005429</t>
  </si>
  <si>
    <t>00005430</t>
  </si>
  <si>
    <t>00005434</t>
  </si>
  <si>
    <t>00005435</t>
  </si>
  <si>
    <t>01/10/2025</t>
  </si>
  <si>
    <t>02/10/2025</t>
  </si>
  <si>
    <t>04/10/2025</t>
  </si>
  <si>
    <t>06/10/2025</t>
  </si>
  <si>
    <t>07/10/2025</t>
  </si>
  <si>
    <t>09/10/2025</t>
  </si>
  <si>
    <t>14/10/2025</t>
  </si>
  <si>
    <t>00004955</t>
  </si>
  <si>
    <t>00004956</t>
  </si>
  <si>
    <t>19/09/2025</t>
  </si>
  <si>
    <t>DS T9</t>
  </si>
  <si>
    <t>ds t9</t>
  </si>
  <si>
    <t>5595</t>
  </si>
  <si>
    <t>5596</t>
  </si>
  <si>
    <t>5597</t>
  </si>
  <si>
    <t>Hàng xuất trả- Lotte Vũng Tàu</t>
  </si>
  <si>
    <t>5598</t>
  </si>
  <si>
    <t>5599</t>
  </si>
  <si>
    <t>5600</t>
  </si>
  <si>
    <t>5601</t>
  </si>
  <si>
    <t>HXT- Lotte Nha Trang</t>
  </si>
  <si>
    <t>5657</t>
  </si>
  <si>
    <t>HÀNG HOÀN</t>
  </si>
  <si>
    <t>00005541</t>
  </si>
  <si>
    <t>00005612</t>
  </si>
  <si>
    <t>00005615</t>
  </si>
  <si>
    <t>00005616</t>
  </si>
  <si>
    <t>00005617</t>
  </si>
  <si>
    <t>00005618</t>
  </si>
  <si>
    <t>00005619</t>
  </si>
  <si>
    <t>00005620</t>
  </si>
  <si>
    <t>00005621</t>
  </si>
  <si>
    <t>00005628</t>
  </si>
  <si>
    <t>00005712</t>
  </si>
  <si>
    <t>00005713</t>
  </si>
  <si>
    <t>00005734</t>
  </si>
  <si>
    <t>00005735</t>
  </si>
  <si>
    <t>00005736</t>
  </si>
  <si>
    <t>00005737</t>
  </si>
  <si>
    <t>00005738</t>
  </si>
  <si>
    <t>00005739</t>
  </si>
  <si>
    <t>00005809</t>
  </si>
  <si>
    <t>00005810</t>
  </si>
  <si>
    <t>00005894</t>
  </si>
  <si>
    <t>18/10/2025</t>
  </si>
  <si>
    <t>21/10/2025</t>
  </si>
  <si>
    <t>25/10/2025</t>
  </si>
  <si>
    <t>28/10/2025</t>
  </si>
  <si>
    <t>30/10/2025</t>
  </si>
  <si>
    <t>03/11/2025</t>
  </si>
  <si>
    <t>00005908</t>
  </si>
  <si>
    <t>00005909</t>
  </si>
  <si>
    <t>00005910</t>
  </si>
  <si>
    <t>00005911</t>
  </si>
  <si>
    <t>00005912</t>
  </si>
  <si>
    <t>00005913</t>
  </si>
  <si>
    <t>00005918</t>
  </si>
  <si>
    <t>00005920</t>
  </si>
  <si>
    <t>00005921</t>
  </si>
  <si>
    <t>00005951</t>
  </si>
  <si>
    <t>00005952</t>
  </si>
  <si>
    <t>00005953</t>
  </si>
  <si>
    <t>00005954</t>
  </si>
  <si>
    <t>00005955</t>
  </si>
  <si>
    <t>00005956</t>
  </si>
  <si>
    <t>00005983</t>
  </si>
  <si>
    <t>00006010</t>
  </si>
  <si>
    <t>00006078</t>
  </si>
  <si>
    <t>00006079</t>
  </si>
  <si>
    <t>00006080</t>
  </si>
  <si>
    <t>00006081</t>
  </si>
  <si>
    <t>00006082</t>
  </si>
  <si>
    <t>00006083</t>
  </si>
  <si>
    <t>00006092</t>
  </si>
  <si>
    <t>04/11/2025</t>
  </si>
  <si>
    <t>06/11/2025</t>
  </si>
  <si>
    <t>08/11/2025</t>
  </si>
  <si>
    <t>11/11/2025</t>
  </si>
  <si>
    <t>5826</t>
  </si>
  <si>
    <t>5923</t>
  </si>
  <si>
    <t>5924</t>
  </si>
  <si>
    <t>00006177</t>
  </si>
  <si>
    <t>00006260</t>
  </si>
  <si>
    <t>00006262</t>
  </si>
  <si>
    <t>00006264</t>
  </si>
  <si>
    <t>00006265</t>
  </si>
  <si>
    <t>00006266</t>
  </si>
  <si>
    <t>00006267</t>
  </si>
  <si>
    <t>00006269</t>
  </si>
  <si>
    <t>00006324</t>
  </si>
  <si>
    <t>00006325</t>
  </si>
  <si>
    <t>00006334</t>
  </si>
  <si>
    <t>00006335</t>
  </si>
  <si>
    <t>00006336</t>
  </si>
  <si>
    <t>00006346</t>
  </si>
  <si>
    <t>00006363</t>
  </si>
  <si>
    <t>00006364</t>
  </si>
  <si>
    <t>00006365</t>
  </si>
  <si>
    <t>00006411</t>
  </si>
  <si>
    <t>00006414</t>
  </si>
  <si>
    <t>00006415</t>
  </si>
  <si>
    <t>00006416</t>
  </si>
  <si>
    <t>00006417</t>
  </si>
  <si>
    <t>00006418</t>
  </si>
  <si>
    <t>00006419</t>
  </si>
  <si>
    <t>00006420</t>
  </si>
  <si>
    <t>00006421</t>
  </si>
  <si>
    <t>00006441</t>
  </si>
  <si>
    <t>00006447</t>
  </si>
  <si>
    <t>00006554</t>
  </si>
  <si>
    <t>00006555</t>
  </si>
  <si>
    <t>15/11/2025</t>
  </si>
  <si>
    <t>18/11/2025</t>
  </si>
  <si>
    <t>21/11/2025</t>
  </si>
  <si>
    <t>22/11/2025</t>
  </si>
  <si>
    <t>25/11/2025</t>
  </si>
  <si>
    <t>26/11/2025</t>
  </si>
  <si>
    <t>27/11/2025</t>
  </si>
  <si>
    <t>29/11/2025</t>
  </si>
  <si>
    <t>6373</t>
  </si>
  <si>
    <t>HXT- Lotte Nha Trang Gold Coast</t>
  </si>
  <si>
    <t>5879</t>
  </si>
  <si>
    <t>5641</t>
  </si>
  <si>
    <t>5642</t>
  </si>
  <si>
    <t>HXT- Lotte  Cần Thơ</t>
  </si>
  <si>
    <t>5674</t>
  </si>
  <si>
    <t>HXT- Lotte Phan Thiết</t>
  </si>
  <si>
    <t>5991</t>
  </si>
  <si>
    <t>5992</t>
  </si>
  <si>
    <t>HXT- Lotte Bình Dương</t>
  </si>
  <si>
    <t>5606</t>
  </si>
  <si>
    <t>5607</t>
  </si>
  <si>
    <t>HXT- Lotte Phú Thọ</t>
  </si>
  <si>
    <t>6048</t>
  </si>
  <si>
    <t>6049</t>
  </si>
  <si>
    <t>6050</t>
  </si>
  <si>
    <t>00006599</t>
  </si>
  <si>
    <t>00006618</t>
  </si>
  <si>
    <t>00006619</t>
  </si>
  <si>
    <t>00006620</t>
  </si>
  <si>
    <t>00006621</t>
  </si>
  <si>
    <t>00006622</t>
  </si>
  <si>
    <t>00006623</t>
  </si>
  <si>
    <t>00006647</t>
  </si>
  <si>
    <t>01/12/2025</t>
  </si>
  <si>
    <t>02/12/2025</t>
  </si>
  <si>
    <t>03/12/2025</t>
  </si>
  <si>
    <t>00006684</t>
  </si>
  <si>
    <t>00006705</t>
  </si>
  <si>
    <t>00006743</t>
  </si>
  <si>
    <t>00006749</t>
  </si>
  <si>
    <t>00006750</t>
  </si>
  <si>
    <t>00006858</t>
  </si>
  <si>
    <t>00006859</t>
  </si>
  <si>
    <t>00006860</t>
  </si>
  <si>
    <t>00006861</t>
  </si>
  <si>
    <t>00006862</t>
  </si>
  <si>
    <t>00006863</t>
  </si>
  <si>
    <t>00006864</t>
  </si>
  <si>
    <t>00006865</t>
  </si>
  <si>
    <t>00006866</t>
  </si>
  <si>
    <t>00006955</t>
  </si>
  <si>
    <t>00006957</t>
  </si>
  <si>
    <t>00006958</t>
  </si>
  <si>
    <t>00006959</t>
  </si>
  <si>
    <t>00006960</t>
  </si>
  <si>
    <t>00006961</t>
  </si>
  <si>
    <t>00007007</t>
  </si>
  <si>
    <t>00007008</t>
  </si>
  <si>
    <t>00007009</t>
  </si>
  <si>
    <t>00007010</t>
  </si>
  <si>
    <t>00007011</t>
  </si>
  <si>
    <t>00007012</t>
  </si>
  <si>
    <t>00007013</t>
  </si>
  <si>
    <t>00007014</t>
  </si>
  <si>
    <t>00007015</t>
  </si>
  <si>
    <t>00007016</t>
  </si>
  <si>
    <t>00007017</t>
  </si>
  <si>
    <t>00007018</t>
  </si>
  <si>
    <t>00007019</t>
  </si>
  <si>
    <t>00007020</t>
  </si>
  <si>
    <t>00007021</t>
  </si>
  <si>
    <t>00007022</t>
  </si>
  <si>
    <t>00007023</t>
  </si>
  <si>
    <t>00007024</t>
  </si>
  <si>
    <t>00007025</t>
  </si>
  <si>
    <t>00007026</t>
  </si>
  <si>
    <t>00007027</t>
  </si>
  <si>
    <t>00007061</t>
  </si>
  <si>
    <t>00007124</t>
  </si>
  <si>
    <t>00007125</t>
  </si>
  <si>
    <t>04/12/2025</t>
  </si>
  <si>
    <t>06/12/2025</t>
  </si>
  <si>
    <t>09/12/2025</t>
  </si>
  <si>
    <t>10/12/2025</t>
  </si>
  <si>
    <t>11/12/2025</t>
  </si>
  <si>
    <t>12/12/2025</t>
  </si>
  <si>
    <t>13/12/2025</t>
  </si>
  <si>
    <t>DS T11</t>
  </si>
  <si>
    <t>00007195</t>
  </si>
  <si>
    <t>00007197</t>
  </si>
  <si>
    <t>00007206</t>
  </si>
  <si>
    <t>00007214</t>
  </si>
  <si>
    <t>00007216</t>
  </si>
  <si>
    <t>00007217</t>
  </si>
  <si>
    <t>00007219</t>
  </si>
  <si>
    <t>00007220</t>
  </si>
  <si>
    <t>00007221</t>
  </si>
  <si>
    <t>00007222</t>
  </si>
  <si>
    <t>00007293</t>
  </si>
  <si>
    <t>00007294</t>
  </si>
  <si>
    <t>00007295</t>
  </si>
  <si>
    <t>00007296</t>
  </si>
  <si>
    <t>00007346</t>
  </si>
  <si>
    <t>00007347</t>
  </si>
  <si>
    <t>00007348</t>
  </si>
  <si>
    <t>00007357</t>
  </si>
  <si>
    <t>00007416</t>
  </si>
  <si>
    <t>00007417</t>
  </si>
  <si>
    <t>15/12/2025</t>
  </si>
  <si>
    <t>16/12/2025</t>
  </si>
  <si>
    <t>18/12/2025</t>
  </si>
  <si>
    <t>19/12/2025</t>
  </si>
  <si>
    <t>00007473</t>
  </si>
  <si>
    <t>00007474</t>
  </si>
  <si>
    <t>00007475</t>
  </si>
  <si>
    <t>00007476</t>
  </si>
  <si>
    <t>00007477</t>
  </si>
  <si>
    <t>00007478</t>
  </si>
  <si>
    <t>00007479</t>
  </si>
  <si>
    <t>00007510</t>
  </si>
  <si>
    <t>00007511</t>
  </si>
  <si>
    <t>00007541</t>
  </si>
  <si>
    <t>00007542</t>
  </si>
  <si>
    <t>00007543</t>
  </si>
  <si>
    <t>00007544</t>
  </si>
  <si>
    <t>00007707</t>
  </si>
  <si>
    <t>00007708</t>
  </si>
  <si>
    <t>00007716</t>
  </si>
  <si>
    <t>00007741</t>
  </si>
  <si>
    <t>00007764</t>
  </si>
  <si>
    <t>00007770</t>
  </si>
  <si>
    <t>00007771</t>
  </si>
  <si>
    <t>00007772</t>
  </si>
  <si>
    <t>00007773</t>
  </si>
  <si>
    <t>00007774</t>
  </si>
  <si>
    <t>00007775</t>
  </si>
  <si>
    <t>00007837</t>
  </si>
  <si>
    <t>00007838</t>
  </si>
  <si>
    <t>23/12/2025</t>
  </si>
  <si>
    <t>24/12/2025</t>
  </si>
  <si>
    <t>25/12/2025</t>
  </si>
  <si>
    <t>26/12/2025</t>
  </si>
  <si>
    <t>27/12/2025</t>
  </si>
  <si>
    <t>29/12/2025</t>
  </si>
  <si>
    <t>30/12/2025</t>
  </si>
  <si>
    <t>31/12/2025</t>
  </si>
  <si>
    <t>7488</t>
  </si>
  <si>
    <t>7793</t>
  </si>
  <si>
    <t>132</t>
  </si>
  <si>
    <t>142</t>
  </si>
  <si>
    <t>DS T12</t>
  </si>
  <si>
    <t>238</t>
  </si>
  <si>
    <t>239</t>
  </si>
  <si>
    <t>240</t>
  </si>
  <si>
    <t>00000056</t>
  </si>
  <si>
    <t>00000112</t>
  </si>
  <si>
    <t>00000113</t>
  </si>
  <si>
    <t>00000114</t>
  </si>
  <si>
    <t>00000115</t>
  </si>
  <si>
    <t>00000116</t>
  </si>
  <si>
    <t>00000117</t>
  </si>
  <si>
    <t>00000118</t>
  </si>
  <si>
    <t>00000128</t>
  </si>
  <si>
    <t>00000167</t>
  </si>
  <si>
    <t>00000168</t>
  </si>
  <si>
    <t>00000169</t>
  </si>
  <si>
    <t>00000170</t>
  </si>
  <si>
    <t>00000173</t>
  </si>
  <si>
    <t>00000175</t>
  </si>
  <si>
    <t>00000180</t>
  </si>
  <si>
    <t>00000181</t>
  </si>
  <si>
    <t>00000201</t>
  </si>
  <si>
    <t>00000256</t>
  </si>
  <si>
    <t>02/01/2026</t>
  </si>
  <si>
    <t>03/01/2026</t>
  </si>
  <si>
    <t>06/01/2026</t>
  </si>
  <si>
    <t>07/01/2026</t>
  </si>
  <si>
    <t>08/01/2026</t>
  </si>
  <si>
    <t>62</t>
  </si>
  <si>
    <t>124</t>
  </si>
  <si>
    <t>hoàn</t>
  </si>
  <si>
    <t>283</t>
  </si>
  <si>
    <t>316</t>
  </si>
  <si>
    <t>297</t>
  </si>
  <si>
    <t>376</t>
  </si>
  <si>
    <t>377</t>
  </si>
  <si>
    <t>384</t>
  </si>
  <si>
    <t>453</t>
  </si>
  <si>
    <t>497</t>
  </si>
  <si>
    <t>00000498</t>
  </si>
  <si>
    <t>00000499</t>
  </si>
  <si>
    <t>00000502</t>
  </si>
  <si>
    <t>00000503</t>
  </si>
  <si>
    <t>00000504</t>
  </si>
  <si>
    <t>00000505</t>
  </si>
  <si>
    <t>00000506</t>
  </si>
  <si>
    <t>00000507</t>
  </si>
  <si>
    <t>00000508</t>
  </si>
  <si>
    <t>00000522</t>
  </si>
  <si>
    <t>00000547</t>
  </si>
  <si>
    <t>00000549</t>
  </si>
  <si>
    <t>13/01/2026</t>
  </si>
  <si>
    <t>14/01/2026</t>
  </si>
  <si>
    <t>475</t>
  </si>
  <si>
    <t>476</t>
  </si>
  <si>
    <t>478</t>
  </si>
  <si>
    <t>551</t>
  </si>
  <si>
    <t>569</t>
  </si>
  <si>
    <t>00000569</t>
  </si>
  <si>
    <t>00000591</t>
  </si>
  <si>
    <t>00000592</t>
  </si>
  <si>
    <t>00000618</t>
  </si>
  <si>
    <t>00000619</t>
  </si>
  <si>
    <t>00000668</t>
  </si>
  <si>
    <t>00000697</t>
  </si>
  <si>
    <t>00000708</t>
  </si>
  <si>
    <t>00000730</t>
  </si>
  <si>
    <t>00000731</t>
  </si>
  <si>
    <t>00000733</t>
  </si>
  <si>
    <t>00000734</t>
  </si>
  <si>
    <t>00000735</t>
  </si>
  <si>
    <t>00000769</t>
  </si>
  <si>
    <t>00000823</t>
  </si>
  <si>
    <t>00000933</t>
  </si>
  <si>
    <t>00000960</t>
  </si>
  <si>
    <t>00000972</t>
  </si>
  <si>
    <t>00000984</t>
  </si>
  <si>
    <t>00000985</t>
  </si>
  <si>
    <t>00000986</t>
  </si>
  <si>
    <t>00000987</t>
  </si>
  <si>
    <t>00000988</t>
  </si>
  <si>
    <t>00000989</t>
  </si>
  <si>
    <t>00001006</t>
  </si>
  <si>
    <t>00001009</t>
  </si>
  <si>
    <t>00001038</t>
  </si>
  <si>
    <t>00001098</t>
  </si>
  <si>
    <t>00001100</t>
  </si>
  <si>
    <t>00001101</t>
  </si>
  <si>
    <t>00001164</t>
  </si>
  <si>
    <t>00001255</t>
  </si>
  <si>
    <t>00001258</t>
  </si>
  <si>
    <t>00001259</t>
  </si>
  <si>
    <t>00001287</t>
  </si>
  <si>
    <t>00001288</t>
  </si>
  <si>
    <t>00001289</t>
  </si>
  <si>
    <t>00001290</t>
  </si>
  <si>
    <t>00001291</t>
  </si>
  <si>
    <t>00001292</t>
  </si>
  <si>
    <t>00001293</t>
  </si>
  <si>
    <t>00001299</t>
  </si>
  <si>
    <t>00001303</t>
  </si>
  <si>
    <t>00001334</t>
  </si>
  <si>
    <t>00001373</t>
  </si>
  <si>
    <t>00001398</t>
  </si>
  <si>
    <t>00001493</t>
  </si>
  <si>
    <t>00001514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</si>
  <si>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</si>
  <si>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</si>
  <si>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</si>
  <si>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</si>
  <si>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</si>
  <si>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</si>
  <si>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</si>
  <si>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24/01/2026</t>
  </si>
  <si>
    <t>26/01/2026</t>
  </si>
  <si>
    <t>27/01/2026</t>
  </si>
  <si>
    <t>28/01/2026</t>
  </si>
  <si>
    <t>29/01/2026</t>
  </si>
  <si>
    <t>31/01/2026</t>
  </si>
  <si>
    <t>02/02/2026</t>
  </si>
  <si>
    <t>03/02/2026</t>
  </si>
  <si>
    <t>04/02/2026</t>
  </si>
  <si>
    <t>06/02/2026</t>
  </si>
  <si>
    <t>07/02/2026</t>
  </si>
  <si>
    <t>10/02/2026</t>
  </si>
  <si>
    <t>00001552</t>
  </si>
  <si>
    <t>00001553</t>
  </si>
  <si>
    <t>00001554</t>
  </si>
  <si>
    <t>00001555</t>
  </si>
  <si>
    <t>00001556</t>
  </si>
  <si>
    <t>00001557</t>
  </si>
  <si>
    <t>00001558</t>
  </si>
  <si>
    <t>00001559</t>
  </si>
  <si>
    <t>00001560</t>
  </si>
  <si>
    <t>00001561</t>
  </si>
  <si>
    <t>00001592</t>
  </si>
  <si>
    <t>00001593</t>
  </si>
  <si>
    <t>00001603</t>
  </si>
  <si>
    <t>00001637</t>
  </si>
  <si>
    <t>00001638</t>
  </si>
  <si>
    <t>00001639</t>
  </si>
  <si>
    <t>00001871</t>
  </si>
  <si>
    <t>00001872</t>
  </si>
  <si>
    <t>00001873</t>
  </si>
  <si>
    <t>00001874</t>
  </si>
  <si>
    <t>00001875</t>
  </si>
  <si>
    <t>00001876</t>
  </si>
  <si>
    <t>24/02/2026</t>
  </si>
  <si>
    <t>25/02/2026</t>
  </si>
  <si>
    <t>26/02/2026</t>
  </si>
  <si>
    <t>03/03/2026</t>
  </si>
  <si>
    <t>1526</t>
  </si>
  <si>
    <t>1751</t>
  </si>
  <si>
    <t>609</t>
  </si>
  <si>
    <t>849</t>
  </si>
  <si>
    <t>977</t>
  </si>
  <si>
    <t>2000</t>
  </si>
  <si>
    <t>1754</t>
  </si>
  <si>
    <t>2010</t>
  </si>
  <si>
    <t>00001997</t>
  </si>
  <si>
    <t>00002018</t>
  </si>
  <si>
    <t>00002019</t>
  </si>
  <si>
    <t>00002022</t>
  </si>
  <si>
    <t>00002023</t>
  </si>
  <si>
    <t>00002024</t>
  </si>
  <si>
    <t>00002025</t>
  </si>
  <si>
    <t>00002070</t>
  </si>
  <si>
    <t>00002071</t>
  </si>
  <si>
    <t>00002072</t>
  </si>
  <si>
    <t>00002073</t>
  </si>
  <si>
    <t>00002159</t>
  </si>
  <si>
    <t>00002180</t>
  </si>
  <si>
    <t>00002181</t>
  </si>
  <si>
    <t>00002182</t>
  </si>
  <si>
    <t>00002183</t>
  </si>
  <si>
    <t>00002184</t>
  </si>
  <si>
    <t>00002185</t>
  </si>
  <si>
    <t>00002186</t>
  </si>
  <si>
    <t>00002187</t>
  </si>
  <si>
    <t>00002217</t>
  </si>
  <si>
    <t>00002218</t>
  </si>
  <si>
    <t>00002219</t>
  </si>
  <si>
    <t>00002363</t>
  </si>
  <si>
    <t>00002364</t>
  </si>
  <si>
    <t>00002365</t>
  </si>
  <si>
    <t>00002366</t>
  </si>
  <si>
    <t>00002367</t>
  </si>
  <si>
    <t>00002368</t>
  </si>
  <si>
    <t>00002369</t>
  </si>
  <si>
    <t>00002441</t>
  </si>
  <si>
    <t>00002475</t>
  </si>
  <si>
    <t>00002530</t>
  </si>
  <si>
    <t>00002531</t>
  </si>
  <si>
    <t>00002532</t>
  </si>
  <si>
    <t>00002533</t>
  </si>
  <si>
    <t>00002534</t>
  </si>
  <si>
    <t>00002535</t>
  </si>
  <si>
    <t>00002579</t>
  </si>
  <si>
    <t>00002581</t>
  </si>
  <si>
    <t>07/03/2026</t>
  </si>
  <si>
    <t>10/03/2026</t>
  </si>
  <si>
    <t>12/03/2026</t>
  </si>
  <si>
    <t>13/03/2026</t>
  </si>
  <si>
    <t>17/03/2026</t>
  </si>
  <si>
    <t>19/03/2026</t>
  </si>
  <si>
    <t>20/03/2026</t>
  </si>
  <si>
    <t>24/03/2026</t>
  </si>
  <si>
    <t>26/03/2026</t>
  </si>
  <si>
    <t>27/03/2026</t>
  </si>
  <si>
    <t>31/03/2026</t>
  </si>
  <si>
    <t>01/04/2026</t>
  </si>
  <si>
    <t>00002253</t>
  </si>
  <si>
    <t>00002254</t>
  </si>
  <si>
    <t>00002255</t>
  </si>
  <si>
    <t>00002256</t>
  </si>
  <si>
    <t>00002257</t>
  </si>
  <si>
    <t>00002258</t>
  </si>
  <si>
    <t>00002259</t>
  </si>
  <si>
    <t>00002260</t>
  </si>
  <si>
    <t>00002261</t>
  </si>
  <si>
    <t>00002262</t>
  </si>
  <si>
    <t>00002263</t>
  </si>
  <si>
    <t>00002264</t>
  </si>
  <si>
    <t>00002265</t>
  </si>
  <si>
    <t>00002266</t>
  </si>
  <si>
    <t>00002267</t>
  </si>
  <si>
    <t>00002268</t>
  </si>
  <si>
    <t>00002269</t>
  </si>
  <si>
    <t>00002270</t>
  </si>
  <si>
    <t>00002271</t>
  </si>
  <si>
    <t>00002272</t>
  </si>
  <si>
    <t>00002273</t>
  </si>
  <si>
    <t>00002414</t>
  </si>
  <si>
    <t>00002422</t>
  </si>
  <si>
    <t>00002423</t>
  </si>
  <si>
    <t>00002424</t>
  </si>
  <si>
    <t>00002425</t>
  </si>
  <si>
    <t>00002542</t>
  </si>
  <si>
    <t>25/03/2026</t>
  </si>
  <si>
    <t>2891</t>
  </si>
  <si>
    <t>00002599</t>
  </si>
  <si>
    <t>00002600</t>
  </si>
  <si>
    <t>00002651</t>
  </si>
  <si>
    <t>00002652</t>
  </si>
  <si>
    <t>00002653</t>
  </si>
  <si>
    <t>00002654</t>
  </si>
  <si>
    <t>00002689</t>
  </si>
  <si>
    <t>00002690</t>
  </si>
  <si>
    <t>00002691</t>
  </si>
  <si>
    <t>00002692</t>
  </si>
  <si>
    <t>00002693</t>
  </si>
  <si>
    <t>00002694</t>
  </si>
  <si>
    <t>00002748</t>
  </si>
  <si>
    <t>00002749</t>
  </si>
  <si>
    <t>00002814</t>
  </si>
  <si>
    <t>00002889</t>
  </si>
  <si>
    <t>00002890</t>
  </si>
  <si>
    <t>02/04/2026</t>
  </si>
  <si>
    <t>04/04/2026</t>
  </si>
  <si>
    <t>07/04/2026</t>
  </si>
  <si>
    <t>09/04/2026</t>
  </si>
  <si>
    <t>11/04/2026</t>
  </si>
  <si>
    <t>13/04/2026</t>
  </si>
  <si>
    <t>2607</t>
  </si>
  <si>
    <t>2608</t>
  </si>
  <si>
    <t>00002898</t>
  </si>
  <si>
    <t>00002904</t>
  </si>
  <si>
    <t>00002905</t>
  </si>
  <si>
    <t>00002906</t>
  </si>
  <si>
    <t>00002907</t>
  </si>
  <si>
    <t>00002908</t>
  </si>
  <si>
    <t>00002909</t>
  </si>
  <si>
    <t>00002910</t>
  </si>
  <si>
    <t>00002951</t>
  </si>
  <si>
    <t>00002962</t>
  </si>
  <si>
    <t>00003017</t>
  </si>
  <si>
    <t>00003043</t>
  </si>
  <si>
    <t>00003044</t>
  </si>
  <si>
    <t>00003053</t>
  </si>
  <si>
    <t>00003084</t>
  </si>
  <si>
    <t>00003086</t>
  </si>
  <si>
    <t>00003088</t>
  </si>
  <si>
    <t>00003089</t>
  </si>
  <si>
    <t>00003090</t>
  </si>
  <si>
    <t>00003091</t>
  </si>
  <si>
    <t>00003098</t>
  </si>
  <si>
    <t>00003099</t>
  </si>
  <si>
    <t>00003131</t>
  </si>
  <si>
    <t>00003132</t>
  </si>
  <si>
    <t>00003146</t>
  </si>
  <si>
    <t>00003147</t>
  </si>
  <si>
    <t>00003342</t>
  </si>
  <si>
    <t>00003343</t>
  </si>
  <si>
    <t>00003344</t>
  </si>
  <si>
    <t>00003345</t>
  </si>
  <si>
    <t>00003346</t>
  </si>
  <si>
    <t>00003347</t>
  </si>
  <si>
    <t>00003348</t>
  </si>
  <si>
    <t>00003350</t>
  </si>
  <si>
    <t>00003351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</si>
  <si>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</si>
  <si>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</si>
  <si>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</si>
  <si>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</si>
  <si>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</si>
  <si>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</si>
  <si>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</si>
  <si>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</si>
  <si>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28/04/2026</t>
  </si>
  <si>
    <t>3171</t>
  </si>
  <si>
    <t>3172</t>
  </si>
  <si>
    <t>00003556</t>
  </si>
  <si>
    <t>00003557</t>
  </si>
  <si>
    <t>00003558</t>
  </si>
  <si>
    <t>00003559</t>
  </si>
  <si>
    <t>00003560</t>
  </si>
  <si>
    <t>00003565</t>
  </si>
  <si>
    <t>00003637</t>
  </si>
  <si>
    <t>00003643</t>
  </si>
  <si>
    <t>00003757</t>
  </si>
  <si>
    <t>00003759</t>
  </si>
  <si>
    <t>00003760</t>
  </si>
  <si>
    <t>00003761</t>
  </si>
  <si>
    <t>00003762</t>
  </si>
  <si>
    <t>00003763</t>
  </si>
  <si>
    <t>00003764</t>
  </si>
  <si>
    <t>00003765</t>
  </si>
  <si>
    <t>00003782</t>
  </si>
  <si>
    <t>05/05/2026</t>
  </si>
  <si>
    <t>08/05/2026</t>
  </si>
  <si>
    <t>09/05/2026</t>
  </si>
  <si>
    <t>12/05/2026</t>
  </si>
  <si>
    <t>13/05/2026</t>
  </si>
  <si>
    <t>3622</t>
  </si>
  <si>
    <t>3623</t>
  </si>
  <si>
    <t>3649</t>
  </si>
  <si>
    <t>3886</t>
  </si>
  <si>
    <t>3944</t>
  </si>
  <si>
    <t>00003895</t>
  </si>
  <si>
    <t>00003991</t>
  </si>
  <si>
    <t>00003992</t>
  </si>
  <si>
    <t>00003993</t>
  </si>
  <si>
    <t>00003994</t>
  </si>
  <si>
    <t>00003996</t>
  </si>
  <si>
    <t>00004088</t>
  </si>
  <si>
    <t>00004089</t>
  </si>
  <si>
    <t>00004090</t>
  </si>
  <si>
    <t>00004193</t>
  </si>
  <si>
    <t>16/05/2026</t>
  </si>
  <si>
    <t>19/05/2026</t>
  </si>
  <si>
    <t>21/05/2026</t>
  </si>
  <si>
    <t>23/05/2026</t>
  </si>
  <si>
    <t>00004200</t>
  </si>
  <si>
    <t>00004236</t>
  </si>
  <si>
    <t>00004238</t>
  </si>
  <si>
    <t>00004239</t>
  </si>
  <si>
    <t>00004240</t>
  </si>
  <si>
    <t>00004241</t>
  </si>
  <si>
    <t>00004242</t>
  </si>
  <si>
    <t>25/05/2026</t>
  </si>
  <si>
    <t>26/05/2026</t>
  </si>
  <si>
    <t>00004411</t>
  </si>
  <si>
    <t>00004432</t>
  </si>
  <si>
    <t>00004433</t>
  </si>
  <si>
    <t>00004434</t>
  </si>
  <si>
    <t>00004435</t>
  </si>
  <si>
    <t>00004436</t>
  </si>
  <si>
    <t>00004484</t>
  </si>
  <si>
    <t>00004499</t>
  </si>
  <si>
    <t>00004500</t>
  </si>
  <si>
    <t>00004501</t>
  </si>
  <si>
    <t>00004623</t>
  </si>
  <si>
    <t>00004624</t>
  </si>
  <si>
    <t>00004625</t>
  </si>
  <si>
    <t>00004626</t>
  </si>
  <si>
    <t>00004627</t>
  </si>
  <si>
    <t>00004628</t>
  </si>
  <si>
    <t>00004629</t>
  </si>
  <si>
    <t>00004630</t>
  </si>
  <si>
    <t>00004684</t>
  </si>
  <si>
    <t>00004685</t>
  </si>
  <si>
    <t>00004686</t>
  </si>
  <si>
    <t>00004742</t>
  </si>
  <si>
    <t>00004743</t>
  </si>
  <si>
    <t>00004744</t>
  </si>
  <si>
    <t>00004881</t>
  </si>
  <si>
    <t>00004912</t>
  </si>
  <si>
    <t>00004913</t>
  </si>
  <si>
    <t>00004914</t>
  </si>
  <si>
    <t>00004915</t>
  </si>
  <si>
    <t>00004916</t>
  </si>
  <si>
    <t>00004917</t>
  </si>
  <si>
    <t>01/06/2026</t>
  </si>
  <si>
    <t>02/06/2026</t>
  </si>
  <si>
    <t>05/06/2026</t>
  </si>
  <si>
    <t>06/06/2026</t>
  </si>
  <si>
    <t>09/06/2026</t>
  </si>
  <si>
    <t>11/06/2026</t>
  </si>
  <si>
    <t>13/06/2026</t>
  </si>
  <si>
    <t>15/06/2026</t>
  </si>
  <si>
    <t>16/06/2026</t>
  </si>
  <si>
    <t>gửi thư nhận ngày 17/6</t>
  </si>
  <si>
    <t>00004995</t>
  </si>
  <si>
    <t>00005070</t>
  </si>
  <si>
    <t>00005071</t>
  </si>
  <si>
    <t>00005072</t>
  </si>
  <si>
    <t>00005073</t>
  </si>
  <si>
    <t>00005112</t>
  </si>
  <si>
    <t>00005113</t>
  </si>
  <si>
    <t>00005114</t>
  </si>
  <si>
    <t>00005115</t>
  </si>
  <si>
    <t>00005116</t>
  </si>
  <si>
    <t>00005117</t>
  </si>
  <si>
    <t>00005166</t>
  </si>
  <si>
    <t>00005172</t>
  </si>
  <si>
    <t>00005238</t>
  </si>
  <si>
    <t>00005433</t>
  </si>
  <si>
    <t>00005436</t>
  </si>
  <si>
    <t>00005437</t>
  </si>
  <si>
    <t>00005438</t>
  </si>
  <si>
    <t>00005439</t>
  </si>
  <si>
    <t>00005463</t>
  </si>
  <si>
    <t>19/06/2026</t>
  </si>
  <si>
    <t>23/06/2026</t>
  </si>
  <si>
    <t>26/06/2026</t>
  </si>
  <si>
    <t>27/06/2026</t>
  </si>
  <si>
    <t>30/06/2026</t>
  </si>
  <si>
    <t>CÔNG TY CỔ PHẦN TRUNG TÂM THƯƠNG MẠI LOTTE VIỆT NAM - CHI NHÁNH TÂY NINH</t>
  </si>
  <si>
    <t>CÔNG TY CỔ PHẦN TRUNG TÂM THƯƠNG MẠI LOTTE VIỆT NAM - CHI NHÁNH BẮC GIANG</t>
  </si>
  <si>
    <t>gửi thư ngày 08/07</t>
  </si>
  <si>
    <t>DS T5.2026</t>
  </si>
  <si>
    <t>DS T4.2026</t>
  </si>
  <si>
    <t>DS T2.2026</t>
  </si>
  <si>
    <t>DS T12.2025</t>
  </si>
  <si>
    <t>DS T1.2026</t>
  </si>
  <si>
    <t>CÔNG TY CỔ PHẦN TRUNG TÂM THƯƠNG MẠI LOTTE VIỆT NAM - CHI NHÁNH BÌNH THUẬN</t>
  </si>
  <si>
    <t>00005559</t>
  </si>
  <si>
    <t>00005644</t>
  </si>
  <si>
    <t>00005669</t>
  </si>
  <si>
    <t>00005717</t>
  </si>
  <si>
    <t>00005718</t>
  </si>
  <si>
    <t>00005719</t>
  </si>
  <si>
    <t>00005720</t>
  </si>
  <si>
    <t>00005721</t>
  </si>
  <si>
    <t>00005722</t>
  </si>
  <si>
    <t>00005723</t>
  </si>
  <si>
    <t>00005724</t>
  </si>
  <si>
    <t>00005801</t>
  </si>
  <si>
    <t>00005802</t>
  </si>
  <si>
    <t>00005803</t>
  </si>
  <si>
    <t>00005865</t>
  </si>
  <si>
    <t>06/07/2026</t>
  </si>
  <si>
    <t>07/07/2026</t>
  </si>
  <si>
    <t>09/07/2026</t>
  </si>
  <si>
    <t>10/07/2026</t>
  </si>
  <si>
    <t>11/07/2026</t>
  </si>
  <si>
    <t>00003990</t>
  </si>
  <si>
    <t>5799</t>
  </si>
  <si>
    <t>5800</t>
  </si>
  <si>
    <t>00005884</t>
  </si>
  <si>
    <t>00005962</t>
  </si>
  <si>
    <t>00005963</t>
  </si>
  <si>
    <t>00005964</t>
  </si>
  <si>
    <t>00005965</t>
  </si>
  <si>
    <t>00005966</t>
  </si>
  <si>
    <t>13/07/2026</t>
  </si>
  <si>
    <t>14/07/2026</t>
  </si>
  <si>
    <t>5874</t>
  </si>
  <si>
    <t>6070</t>
  </si>
  <si>
    <t>đã thay bằng 5801</t>
  </si>
  <si>
    <t>chờ biên bản</t>
  </si>
  <si>
    <t>00006046</t>
  </si>
  <si>
    <t>00006047</t>
  </si>
  <si>
    <t>00006048</t>
  </si>
  <si>
    <t>00006066</t>
  </si>
  <si>
    <t>00006102</t>
  </si>
  <si>
    <t>00006103</t>
  </si>
  <si>
    <t>00006208</t>
  </si>
  <si>
    <t>00006209</t>
  </si>
  <si>
    <t>00006210</t>
  </si>
  <si>
    <t>00006211</t>
  </si>
  <si>
    <t>00006212</t>
  </si>
  <si>
    <t>00006213</t>
  </si>
  <si>
    <t>00006216</t>
  </si>
  <si>
    <t>16/07/2026</t>
  </si>
  <si>
    <t>18/07/2026</t>
  </si>
  <si>
    <t>21/07/2026</t>
  </si>
  <si>
    <t>6197</t>
  </si>
  <si>
    <t>6198</t>
  </si>
  <si>
    <t>00006302</t>
  </si>
  <si>
    <t>00006304</t>
  </si>
  <si>
    <t>00006330</t>
  </si>
  <si>
    <t>00006331</t>
  </si>
  <si>
    <t>00006401</t>
  </si>
  <si>
    <t>00006402</t>
  </si>
  <si>
    <t>00006403</t>
  </si>
  <si>
    <t>00006404</t>
  </si>
  <si>
    <t>00006405</t>
  </si>
  <si>
    <t>00006406</t>
  </si>
  <si>
    <t>00006407</t>
  </si>
  <si>
    <t>25/07/2026</t>
  </si>
  <si>
    <t>28/07/2026</t>
  </si>
  <si>
    <t>6344</t>
  </si>
  <si>
    <t>00006492</t>
  </si>
  <si>
    <t>00006514</t>
  </si>
  <si>
    <t>00006579</t>
  </si>
  <si>
    <t>00006629</t>
  </si>
  <si>
    <t>00006630</t>
  </si>
  <si>
    <t>00006685</t>
  </si>
  <si>
    <t>00006686</t>
  </si>
  <si>
    <t>00006687</t>
  </si>
  <si>
    <t>00006688</t>
  </si>
  <si>
    <t>00006689</t>
  </si>
  <si>
    <t>00006690</t>
  </si>
  <si>
    <t>00006699</t>
  </si>
  <si>
    <t>00006700</t>
  </si>
  <si>
    <t>00006753</t>
  </si>
  <si>
    <t>00006773</t>
  </si>
  <si>
    <t>00006847</t>
  </si>
  <si>
    <t>00006848</t>
  </si>
  <si>
    <t>00006849</t>
  </si>
  <si>
    <t>00006850</t>
  </si>
  <si>
    <t>00006851</t>
  </si>
  <si>
    <t>00006852</t>
  </si>
  <si>
    <t>00006853</t>
  </si>
  <si>
    <t>00006854</t>
  </si>
  <si>
    <t>00006855</t>
  </si>
  <si>
    <t>00006856</t>
  </si>
  <si>
    <t>30/07/2026</t>
  </si>
  <si>
    <t>01/08/2026</t>
  </si>
  <si>
    <t>04/08/2026</t>
  </si>
  <si>
    <t>05/08/2026</t>
  </si>
  <si>
    <t>07/08/2026</t>
  </si>
  <si>
    <t>08/08/2026</t>
  </si>
  <si>
    <t>11/08/2026</t>
  </si>
  <si>
    <t>6698</t>
  </si>
  <si>
    <t>00006925</t>
  </si>
  <si>
    <t>00006926</t>
  </si>
  <si>
    <t>00006927</t>
  </si>
  <si>
    <t>00006928</t>
  </si>
  <si>
    <t>00006930</t>
  </si>
  <si>
    <t>00006931</t>
  </si>
  <si>
    <t>00006932</t>
  </si>
  <si>
    <t>00006933</t>
  </si>
  <si>
    <t>00006934</t>
  </si>
  <si>
    <t>00006935</t>
  </si>
  <si>
    <t>00006963</t>
  </si>
  <si>
    <t>00007069</t>
  </si>
  <si>
    <t>00007070</t>
  </si>
  <si>
    <t>00007071</t>
  </si>
  <si>
    <t>00007122</t>
  </si>
  <si>
    <t>00006962</t>
  </si>
  <si>
    <t>13/08/2026</t>
  </si>
  <si>
    <t>14/08/2026</t>
  </si>
  <si>
    <t>15/08/2026</t>
  </si>
  <si>
    <t>CÔNG TY CỔ PHẦN TRUNG TÂM THƯƠNG MẠI LOTTE VIỆT NAM - CHI NHÁNH CẦN 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</si>
</sst>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"/>
    <numFmt numFmtId="165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8"/>
      <color rgb="FF000000"/>
      <name val="Cambria"/>
      <family val="1"/>
    </font>
    <font>
      <b/>
      <i/>
      <sz val="12"/>
      <color rgb="FF000000"/>
      <name val="Cambria"/>
      <family val="1"/>
    </font>
    <font>
      <sz val="11"/>
      <color rgb="FF000000"/>
      <name val="Cambria"/>
      <family val="1"/>
    </font>
    <font>
      <sz val="11"/>
      <name val="Calibri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11"/>
      <color rgb="FFFF0000"/>
      <name val="Calibri"/>
      <family val="2"/>
    </font>
    <font>
      <sz val="11"/>
      <name val="Times New Roman"/>
      <family val="1"/>
    </font>
    <font>
      <sz val="12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rgb="FFD6E3BC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6E3BC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/>
      <diagonal/>
    </border>
  </borders>
  <cellStyleXfs count="3">
    <xf numFmtId="0" fontId="0" fillId="0" borderId="0"/>
    <xf numFmtId="0" fontId="1" fillId="0" borderId="0"/>
    <xf numFmtId="43" fontId="15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1" applyAlignment="1">
      <alignment horizontal="right"/>
    </xf>
    <xf numFmtId="0" fontId="1" fillId="0" borderId="0" xfId="1"/>
    <xf numFmtId="0" fontId="3" fillId="0" borderId="0" xfId="1" applyFont="1" applyAlignment="1">
      <alignment horizontal="right" vertical="center"/>
    </xf>
    <xf numFmtId="14" fontId="3" fillId="0" borderId="0" xfId="1" applyNumberFormat="1" applyFont="1" applyAlignment="1">
      <alignment vertical="center"/>
    </xf>
    <xf numFmtId="0" fontId="3" fillId="0" borderId="0" xfId="1" quotePrefix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14" fontId="1" fillId="0" borderId="0" xfId="1" applyNumberFormat="1"/>
    <xf numFmtId="0" fontId="1" fillId="2" borderId="0" xfId="1" applyFill="1"/>
    <xf numFmtId="3" fontId="7" fillId="3" borderId="11" xfId="1" applyNumberFormat="1" applyFont="1" applyFill="1" applyBorder="1" applyAlignment="1">
      <alignment horizontal="center" vertical="center"/>
    </xf>
    <xf numFmtId="3" fontId="7" fillId="2" borderId="11" xfId="1" applyNumberFormat="1" applyFont="1" applyFill="1" applyBorder="1" applyAlignment="1">
      <alignment horizontal="center" vertical="center"/>
    </xf>
    <xf numFmtId="164" fontId="7" fillId="2" borderId="12" xfId="1" applyNumberFormat="1" applyFont="1" applyFill="1" applyBorder="1" applyAlignment="1">
      <alignment vertical="center"/>
    </xf>
    <xf numFmtId="0" fontId="5" fillId="0" borderId="13" xfId="1" applyFont="1" applyBorder="1" applyAlignment="1">
      <alignment horizontal="right"/>
    </xf>
    <xf numFmtId="14" fontId="5" fillId="0" borderId="13" xfId="1" applyNumberFormat="1" applyFont="1" applyBorder="1"/>
    <xf numFmtId="0" fontId="6" fillId="0" borderId="13" xfId="1" applyFont="1" applyBorder="1" applyAlignment="1">
      <alignment horizontal="center" vertical="center" wrapText="1"/>
    </xf>
    <xf numFmtId="3" fontId="7" fillId="3" borderId="10" xfId="1" applyNumberFormat="1" applyFont="1" applyFill="1" applyBorder="1" applyAlignment="1">
      <alignment horizontal="center" vertical="center"/>
    </xf>
    <xf numFmtId="3" fontId="7" fillId="3" borderId="8" xfId="1" applyNumberFormat="1" applyFont="1" applyFill="1" applyBorder="1" applyAlignment="1">
      <alignment horizontal="center" vertical="center"/>
    </xf>
    <xf numFmtId="3" fontId="7" fillId="4" borderId="8" xfId="1" applyNumberFormat="1" applyFont="1" applyFill="1" applyBorder="1" applyAlignment="1">
      <alignment horizontal="center" vertical="center"/>
    </xf>
    <xf numFmtId="3" fontId="7" fillId="2" borderId="8" xfId="1" applyNumberFormat="1" applyFont="1" applyFill="1" applyBorder="1" applyAlignment="1">
      <alignment horizontal="center" vertical="center"/>
    </xf>
    <xf numFmtId="14" fontId="8" fillId="0" borderId="14" xfId="1" applyNumberFormat="1" applyFont="1" applyBorder="1" applyAlignment="1">
      <alignment horizontal="right" wrapText="1"/>
    </xf>
    <xf numFmtId="14" fontId="9" fillId="0" borderId="14" xfId="1" applyNumberFormat="1" applyFont="1" applyBorder="1" applyAlignment="1">
      <alignment horizontal="center" wrapText="1"/>
    </xf>
    <xf numFmtId="0" fontId="9" fillId="0" borderId="14" xfId="1" applyFont="1" applyBorder="1" applyAlignment="1">
      <alignment horizontal="center" wrapText="1"/>
    </xf>
    <xf numFmtId="3" fontId="10" fillId="0" borderId="14" xfId="1" applyNumberFormat="1" applyFont="1" applyBorder="1"/>
    <xf numFmtId="3" fontId="10" fillId="5" borderId="14" xfId="1" applyNumberFormat="1" applyFont="1" applyFill="1" applyBorder="1"/>
    <xf numFmtId="3" fontId="10" fillId="2" borderId="15" xfId="1" applyNumberFormat="1" applyFont="1" applyFill="1" applyBorder="1" applyAlignment="1">
      <alignment horizontal="right"/>
    </xf>
    <xf numFmtId="3" fontId="10" fillId="2" borderId="14" xfId="1" applyNumberFormat="1" applyFont="1" applyFill="1" applyBorder="1"/>
    <xf numFmtId="164" fontId="10" fillId="2" borderId="14" xfId="1" applyNumberFormat="1" applyFont="1" applyFill="1" applyBorder="1"/>
    <xf numFmtId="3" fontId="11" fillId="5" borderId="14" xfId="1" applyNumberFormat="1" applyFont="1" applyFill="1" applyBorder="1"/>
    <xf numFmtId="14" fontId="12" fillId="5" borderId="14" xfId="1" applyNumberFormat="1" applyFont="1" applyFill="1" applyBorder="1" applyAlignment="1">
      <alignment horizontal="right" wrapText="1"/>
    </xf>
    <xf numFmtId="14" fontId="12" fillId="5" borderId="14" xfId="1" applyNumberFormat="1" applyFont="1" applyFill="1" applyBorder="1" applyAlignment="1">
      <alignment horizontal="center" wrapText="1"/>
    </xf>
    <xf numFmtId="49" fontId="12" fillId="6" borderId="14" xfId="1" applyNumberFormat="1" applyFont="1" applyFill="1" applyBorder="1" applyAlignment="1">
      <alignment horizontal="center" wrapText="1"/>
    </xf>
    <xf numFmtId="49" fontId="12" fillId="5" borderId="14" xfId="1" applyNumberFormat="1" applyFont="1" applyFill="1" applyBorder="1" applyAlignment="1">
      <alignment horizontal="center" wrapText="1"/>
    </xf>
    <xf numFmtId="3" fontId="11" fillId="7" borderId="14" xfId="1" applyNumberFormat="1" applyFont="1" applyFill="1" applyBorder="1"/>
    <xf numFmtId="3" fontId="11" fillId="8" borderId="14" xfId="1" applyNumberFormat="1" applyFont="1" applyFill="1" applyBorder="1"/>
    <xf numFmtId="164" fontId="11" fillId="8" borderId="14" xfId="1" applyNumberFormat="1" applyFont="1" applyFill="1" applyBorder="1"/>
    <xf numFmtId="3" fontId="11" fillId="8" borderId="15" xfId="1" applyNumberFormat="1" applyFont="1" applyFill="1" applyBorder="1" applyAlignment="1">
      <alignment horizontal="right"/>
    </xf>
    <xf numFmtId="14" fontId="7" fillId="3" borderId="17" xfId="1" applyNumberFormat="1" applyFont="1" applyFill="1" applyBorder="1" applyAlignment="1">
      <alignment horizontal="center" vertical="center"/>
    </xf>
    <xf numFmtId="14" fontId="7" fillId="3" borderId="18" xfId="1" applyNumberFormat="1" applyFont="1" applyFill="1" applyBorder="1" applyAlignment="1">
      <alignment horizontal="center" vertical="center"/>
    </xf>
    <xf numFmtId="14" fontId="7" fillId="3" borderId="16" xfId="1" applyNumberFormat="1" applyFont="1" applyFill="1" applyBorder="1" applyAlignment="1">
      <alignment horizontal="center" vertical="center"/>
    </xf>
    <xf numFmtId="14" fontId="11" fillId="5" borderId="19" xfId="1" applyNumberFormat="1" applyFont="1" applyFill="1" applyBorder="1" applyAlignment="1">
      <alignment horizontal="center"/>
    </xf>
    <xf numFmtId="49" fontId="12" fillId="0" borderId="14" xfId="1" applyNumberFormat="1" applyFont="1" applyBorder="1" applyAlignment="1">
      <alignment horizontal="center" wrapText="1"/>
    </xf>
    <xf numFmtId="14" fontId="1" fillId="0" borderId="20" xfId="1" applyNumberFormat="1" applyBorder="1"/>
    <xf numFmtId="14" fontId="2" fillId="0" borderId="0" xfId="1" applyNumberFormat="1" applyFont="1" applyAlignment="1">
      <alignment vertical="center"/>
    </xf>
    <xf numFmtId="14" fontId="4" fillId="0" borderId="1" xfId="1" applyNumberFormat="1" applyFont="1" applyBorder="1" applyAlignment="1">
      <alignment horizontal="center"/>
    </xf>
    <xf numFmtId="14" fontId="11" fillId="8" borderId="19" xfId="1" applyNumberFormat="1" applyFont="1" applyFill="1" applyBorder="1"/>
    <xf numFmtId="14" fontId="11" fillId="8" borderId="14" xfId="1" applyNumberFormat="1" applyFont="1" applyFill="1" applyBorder="1"/>
    <xf numFmtId="14" fontId="8" fillId="5" borderId="14" xfId="1" applyNumberFormat="1" applyFont="1" applyFill="1" applyBorder="1" applyAlignment="1">
      <alignment horizontal="right" wrapText="1"/>
    </xf>
    <xf numFmtId="14" fontId="8" fillId="5" borderId="14" xfId="1" applyNumberFormat="1" applyFont="1" applyFill="1" applyBorder="1" applyAlignment="1">
      <alignment horizontal="center" wrapText="1"/>
    </xf>
    <xf numFmtId="49" fontId="8" fillId="5" borderId="14" xfId="1" applyNumberFormat="1" applyFont="1" applyFill="1" applyBorder="1" applyAlignment="1">
      <alignment horizontal="center" wrapText="1"/>
    </xf>
    <xf numFmtId="3" fontId="16" fillId="5" borderId="14" xfId="1" applyNumberFormat="1" applyFont="1" applyFill="1" applyBorder="1"/>
    <xf numFmtId="3" fontId="16" fillId="7" borderId="14" xfId="1" applyNumberFormat="1" applyFont="1" applyFill="1" applyBorder="1"/>
    <xf numFmtId="3" fontId="16" fillId="8" borderId="15" xfId="1" applyNumberFormat="1" applyFont="1" applyFill="1" applyBorder="1" applyAlignment="1">
      <alignment horizontal="right"/>
    </xf>
    <xf numFmtId="3" fontId="16" fillId="8" borderId="14" xfId="1" applyNumberFormat="1" applyFont="1" applyFill="1" applyBorder="1"/>
    <xf numFmtId="164" fontId="16" fillId="8" borderId="14" xfId="1" applyNumberFormat="1" applyFont="1" applyFill="1" applyBorder="1"/>
    <xf numFmtId="14" fontId="17" fillId="0" borderId="0" xfId="1" applyNumberFormat="1" applyFont="1"/>
    <xf numFmtId="0" fontId="17" fillId="0" borderId="0" xfId="1" applyFont="1"/>
    <xf numFmtId="0" fontId="17" fillId="9" borderId="0" xfId="1" applyFont="1" applyFill="1"/>
    <xf numFmtId="165" fontId="17" fillId="9" borderId="0" xfId="2" applyNumberFormat="1" applyFont="1" applyFill="1"/>
    <xf numFmtId="49" fontId="8" fillId="6" borderId="14" xfId="1" applyNumberFormat="1" applyFont="1" applyFill="1" applyBorder="1" applyAlignment="1">
      <alignment horizontal="center" wrapText="1"/>
    </xf>
    <xf numFmtId="14" fontId="16" fillId="8" borderId="19" xfId="1" applyNumberFormat="1" applyFont="1" applyFill="1" applyBorder="1"/>
    <xf numFmtId="14" fontId="11" fillId="8" borderId="15" xfId="1" applyNumberFormat="1" applyFont="1" applyFill="1" applyBorder="1" applyAlignment="1">
      <alignment horizontal="right"/>
    </xf>
    <xf numFmtId="14" fontId="18" fillId="5" borderId="14" xfId="1" applyNumberFormat="1" applyFont="1" applyFill="1" applyBorder="1" applyAlignment="1">
      <alignment horizontal="right" wrapText="1"/>
    </xf>
    <xf numFmtId="14" fontId="18" fillId="5" borderId="14" xfId="1" applyNumberFormat="1" applyFont="1" applyFill="1" applyBorder="1" applyAlignment="1">
      <alignment horizontal="center" wrapText="1"/>
    </xf>
    <xf numFmtId="49" fontId="18" fillId="5" borderId="14" xfId="1" applyNumberFormat="1" applyFont="1" applyFill="1" applyBorder="1" applyAlignment="1">
      <alignment horizontal="center" wrapText="1"/>
    </xf>
    <xf numFmtId="49" fontId="18" fillId="6" borderId="14" xfId="1" applyNumberFormat="1" applyFont="1" applyFill="1" applyBorder="1" applyAlignment="1">
      <alignment horizontal="center" wrapText="1"/>
    </xf>
    <xf numFmtId="3" fontId="19" fillId="5" borderId="14" xfId="1" applyNumberFormat="1" applyFont="1" applyFill="1" applyBorder="1"/>
    <xf numFmtId="3" fontId="19" fillId="7" borderId="14" xfId="1" applyNumberFormat="1" applyFont="1" applyFill="1" applyBorder="1"/>
    <xf numFmtId="3" fontId="19" fillId="8" borderId="15" xfId="1" applyNumberFormat="1" applyFont="1" applyFill="1" applyBorder="1" applyAlignment="1">
      <alignment horizontal="right"/>
    </xf>
    <xf numFmtId="3" fontId="19" fillId="8" borderId="14" xfId="1" applyNumberFormat="1" applyFont="1" applyFill="1" applyBorder="1"/>
    <xf numFmtId="164" fontId="19" fillId="8" borderId="14" xfId="1" applyNumberFormat="1" applyFont="1" applyFill="1" applyBorder="1"/>
    <xf numFmtId="14" fontId="5" fillId="0" borderId="0" xfId="1" applyNumberFormat="1" applyFont="1"/>
    <xf numFmtId="0" fontId="5" fillId="0" borderId="0" xfId="1" applyFont="1"/>
    <xf numFmtId="14" fontId="9" fillId="5" borderId="14" xfId="1" applyNumberFormat="1" applyFont="1" applyFill="1" applyBorder="1" applyAlignment="1">
      <alignment horizontal="right" wrapText="1"/>
    </xf>
    <xf numFmtId="14" fontId="9" fillId="5" borderId="14" xfId="1" applyNumberFormat="1" applyFont="1" applyFill="1" applyBorder="1" applyAlignment="1">
      <alignment horizontal="center" wrapText="1"/>
    </xf>
    <xf numFmtId="49" fontId="9" fillId="5" borderId="14" xfId="1" applyNumberFormat="1" applyFont="1" applyFill="1" applyBorder="1" applyAlignment="1">
      <alignment horizontal="center" wrapText="1"/>
    </xf>
    <xf numFmtId="3" fontId="10" fillId="7" borderId="14" xfId="1" applyNumberFormat="1" applyFont="1" applyFill="1" applyBorder="1"/>
    <xf numFmtId="3" fontId="10" fillId="8" borderId="15" xfId="1" applyNumberFormat="1" applyFont="1" applyFill="1" applyBorder="1" applyAlignment="1">
      <alignment horizontal="right"/>
    </xf>
    <xf numFmtId="3" fontId="10" fillId="8" borderId="14" xfId="1" applyNumberFormat="1" applyFont="1" applyFill="1" applyBorder="1"/>
    <xf numFmtId="164" fontId="10" fillId="8" borderId="14" xfId="1" applyNumberFormat="1" applyFont="1" applyFill="1" applyBorder="1"/>
    <xf numFmtId="14" fontId="22" fillId="0" borderId="0" xfId="1" applyNumberFormat="1" applyFont="1"/>
    <xf numFmtId="0" fontId="22" fillId="0" borderId="0" xfId="1" applyFont="1"/>
    <xf numFmtId="49" fontId="9" fillId="6" borderId="14" xfId="1" applyNumberFormat="1" applyFont="1" applyFill="1" applyBorder="1" applyAlignment="1">
      <alignment horizontal="center" wrapText="1"/>
    </xf>
    <xf numFmtId="49" fontId="12" fillId="9" borderId="14" xfId="1" applyNumberFormat="1" applyFont="1" applyFill="1" applyBorder="1" applyAlignment="1">
      <alignment horizontal="center" wrapText="1"/>
    </xf>
    <xf numFmtId="14" fontId="6" fillId="3" borderId="2" xfId="1" applyNumberFormat="1" applyFont="1" applyFill="1" applyBorder="1" applyAlignment="1">
      <alignment horizontal="right" vertical="center" wrapText="1"/>
    </xf>
    <xf numFmtId="14" fontId="6" fillId="3" borderId="8" xfId="1" applyNumberFormat="1" applyFont="1" applyFill="1" applyBorder="1" applyAlignment="1">
      <alignment horizontal="right" vertical="center" wrapText="1"/>
    </xf>
    <xf numFmtId="14" fontId="6" fillId="3" borderId="2" xfId="1" applyNumberFormat="1" applyFont="1" applyFill="1" applyBorder="1" applyAlignment="1">
      <alignment horizontal="center" vertical="center" wrapText="1"/>
    </xf>
    <xf numFmtId="14" fontId="6" fillId="3" borderId="8" xfId="1" applyNumberFormat="1" applyFont="1" applyFill="1" applyBorder="1" applyAlignment="1">
      <alignment horizontal="center" vertical="center" wrapText="1"/>
    </xf>
    <xf numFmtId="49" fontId="6" fillId="3" borderId="3" xfId="1" applyNumberFormat="1" applyFont="1" applyFill="1" applyBorder="1" applyAlignment="1">
      <alignment horizontal="center" vertical="center" wrapText="1"/>
    </xf>
    <xf numFmtId="49" fontId="6" fillId="3" borderId="4" xfId="1" applyNumberFormat="1" applyFont="1" applyFill="1" applyBorder="1" applyAlignment="1">
      <alignment horizontal="center" vertical="center" wrapText="1"/>
    </xf>
    <xf numFmtId="49" fontId="6" fillId="3" borderId="9" xfId="1" applyNumberFormat="1" applyFont="1" applyFill="1" applyBorder="1" applyAlignment="1">
      <alignment horizontal="center" vertical="center" wrapText="1"/>
    </xf>
    <xf numFmtId="49" fontId="6" fillId="3" borderId="10" xfId="1" applyNumberFormat="1" applyFont="1" applyFill="1" applyBorder="1" applyAlignment="1">
      <alignment horizontal="center" vertical="center" wrapText="1"/>
    </xf>
    <xf numFmtId="3" fontId="7" fillId="3" borderId="5" xfId="1" applyNumberFormat="1" applyFont="1" applyFill="1" applyBorder="1" applyAlignment="1">
      <alignment horizontal="center" vertical="center"/>
    </xf>
    <xf numFmtId="0" fontId="5" fillId="0" borderId="6" xfId="1" applyFont="1" applyBorder="1"/>
    <xf numFmtId="0" fontId="5" fillId="0" borderId="7" xfId="1" applyFont="1" applyBorder="1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3" fillId="0" borderId="0" xfId="1" applyFont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FB905E24-BCB3-493A-9FCB-AC9C1799EE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QU&#7842;N%20L&#221;%20KH&#193;CH%20H&#192;NG\B&#192;N%20GIAO%20C&#212;NG%20N&#7906;%20CH&#7882;%20HOA\C&#212;NG%20N&#7906;%20MT%202021\LOTTE%20-%20CONG%20NO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ỔNG HỢP CÔNG NỢ"/>
      <sheetName val="T5.2022-MISA"/>
      <sheetName val="TỔNG HỢP"/>
    </sheetNames>
    <sheetDataSet>
      <sheetData sheetId="0">
        <row r="7">
          <cell r="O7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C101-A622-4D9C-9734-CBACD8B0C72B}">
  <sheetPr filterMode="1">
    <outlinePr summaryBelow="0" summaryRight="0"/>
  </sheetPr>
  <dimension ref="A1:N1068"/>
  <sheetViews>
    <sheetView tabSelected="1" zoomScale="120" zoomScaleNormal="120" workbookViewId="0">
      <pane xSplit="1" ySplit="7" topLeftCell="B887" activePane="bottomRight" state="frozen"/>
      <selection pane="topRight" activeCell="B1" sqref="B1"/>
      <selection pane="bottomLeft" activeCell="A8" sqref="A8"/>
      <selection pane="bottomRight" activeCell="D898" sqref="D898"/>
    </sheetView>
  </sheetViews>
  <sheetFormatPr defaultColWidth="14.44140625" defaultRowHeight="15" customHeight="1" x14ac:dyDescent="0.3"/>
  <cols>
    <col min="1" max="1" width="52.88671875" style="1" customWidth="1"/>
    <col min="2" max="2" width="13.77734375" style="9" customWidth="1"/>
    <col min="3" max="3" width="13" style="2" customWidth="1"/>
    <col min="4" max="4" width="9.5546875" style="2" customWidth="1"/>
    <col min="5" max="5" width="14.33203125" style="2" customWidth="1"/>
    <col min="6" max="6" width="15.33203125" style="2" customWidth="1"/>
    <col min="7" max="7" width="16.109375" style="2" customWidth="1"/>
    <col min="8" max="8" width="15.88671875" style="2" customWidth="1"/>
    <col min="9" max="9" width="17.44140625" style="2" customWidth="1"/>
    <col min="10" max="10" width="22.88671875" style="9" customWidth="1"/>
    <col min="11" max="11" width="14.88671875" style="2" customWidth="1"/>
    <col min="12" max="13" width="13.33203125" style="2" customWidth="1"/>
    <col min="14" max="14" width="16" style="2" customWidth="1"/>
    <col min="15" max="15" width="14.6640625" style="2" customWidth="1"/>
    <col min="16" max="16" width="16.5546875" style="2" customWidth="1"/>
    <col min="17" max="22" width="8" style="2" customWidth="1"/>
    <col min="23" max="16384" width="14.44140625" style="2"/>
  </cols>
  <sheetData>
    <row r="1" spans="1:10" ht="20.399999999999999" customHeight="1" x14ac:dyDescent="0.3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44"/>
    </row>
    <row r="2" spans="1:10" ht="18.75" customHeight="1" x14ac:dyDescent="0.3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4"/>
    </row>
    <row r="3" spans="1:10" ht="12" customHeight="1" x14ac:dyDescent="0.3">
      <c r="A3" s="3" t="s">
        <v>2</v>
      </c>
      <c r="B3" s="4"/>
      <c r="C3" s="5"/>
      <c r="D3" s="5"/>
      <c r="E3" s="6"/>
      <c r="F3" s="7"/>
      <c r="G3" s="7"/>
      <c r="H3" s="7"/>
      <c r="I3" s="7"/>
      <c r="J3" s="8"/>
    </row>
    <row r="4" spans="1:10" ht="16.8" customHeight="1" thickBot="1" x14ac:dyDescent="0.35">
      <c r="G4" s="10"/>
      <c r="H4" s="10"/>
      <c r="I4" s="10"/>
      <c r="J4" s="45" t="s">
        <v>3</v>
      </c>
    </row>
    <row r="5" spans="1:10" ht="17.25" customHeight="1" x14ac:dyDescent="0.3">
      <c r="A5" s="85" t="s">
        <v>4</v>
      </c>
      <c r="B5" s="87" t="s">
        <v>5</v>
      </c>
      <c r="C5" s="89" t="s">
        <v>6</v>
      </c>
      <c r="D5" s="90"/>
      <c r="E5" s="93" t="s">
        <v>7</v>
      </c>
      <c r="F5" s="94"/>
      <c r="G5" s="94"/>
      <c r="H5" s="94"/>
      <c r="I5" s="95"/>
      <c r="J5" s="38" t="s">
        <v>8</v>
      </c>
    </row>
    <row r="6" spans="1:10" ht="17.399999999999999" customHeight="1" x14ac:dyDescent="0.3">
      <c r="A6" s="86"/>
      <c r="B6" s="88"/>
      <c r="C6" s="91"/>
      <c r="D6" s="92"/>
      <c r="E6" s="11" t="s">
        <v>9</v>
      </c>
      <c r="F6" s="11" t="s">
        <v>10</v>
      </c>
      <c r="G6" s="12" t="s">
        <v>11</v>
      </c>
      <c r="H6" s="12" t="s">
        <v>12</v>
      </c>
      <c r="I6" s="13" t="s">
        <v>13</v>
      </c>
      <c r="J6" s="39"/>
    </row>
    <row r="7" spans="1:10" ht="28.5" customHeight="1" x14ac:dyDescent="0.3">
      <c r="A7" s="14"/>
      <c r="B7" s="15"/>
      <c r="C7" s="16" t="s">
        <v>14</v>
      </c>
      <c r="D7" s="16" t="s">
        <v>15</v>
      </c>
      <c r="E7" s="17">
        <f>SUM(E9:E1531)</f>
        <v>8300190587</v>
      </c>
      <c r="F7" s="18">
        <f>SUM(F9:F1531)</f>
        <v>659951886.95999992</v>
      </c>
      <c r="G7" s="19">
        <f>SUM(G9:G1531)</f>
        <v>8909350473.9599991</v>
      </c>
      <c r="H7" s="19">
        <f>SUM(H9:H1505)</f>
        <v>8289122673.9599991</v>
      </c>
      <c r="I7" s="20">
        <f>G7-H7+I8</f>
        <v>620227800</v>
      </c>
      <c r="J7" s="40"/>
    </row>
    <row r="8" spans="1:10" ht="16.2" customHeight="1" x14ac:dyDescent="0.3">
      <c r="A8" s="21" t="s">
        <v>16</v>
      </c>
      <c r="B8" s="22"/>
      <c r="C8" s="22"/>
      <c r="D8" s="23"/>
      <c r="E8" s="24"/>
      <c r="F8" s="25"/>
      <c r="G8" s="26"/>
      <c r="H8" s="27"/>
      <c r="I8" s="28">
        <f>+'[1]TỔNG HỢP CÔNG NỢ'!O7</f>
        <v>0</v>
      </c>
      <c r="J8" s="41"/>
    </row>
    <row r="9" spans="1:10" ht="15" hidden="1" customHeight="1" x14ac:dyDescent="0.3">
      <c r="A9" s="30" t="s">
        <v>25</v>
      </c>
      <c r="B9" s="31" t="s">
        <v>44</v>
      </c>
      <c r="C9" s="33" t="s">
        <v>43</v>
      </c>
      <c r="D9" s="33"/>
      <c r="E9" s="29">
        <v>2000000</v>
      </c>
      <c r="F9" s="34">
        <f>+E9*0.08</f>
        <v>160000</v>
      </c>
      <c r="G9" s="37">
        <f>E9+F9</f>
        <v>2160000</v>
      </c>
      <c r="H9" s="35">
        <v>2160000</v>
      </c>
      <c r="I9" s="36">
        <f>G9-H9</f>
        <v>0</v>
      </c>
      <c r="J9" s="43">
        <v>45848</v>
      </c>
    </row>
    <row r="10" spans="1:10" ht="15" hidden="1" customHeight="1" x14ac:dyDescent="0.3">
      <c r="A10" s="30" t="s">
        <v>27</v>
      </c>
      <c r="B10" s="31" t="s">
        <v>47</v>
      </c>
      <c r="C10" s="42" t="s">
        <v>46</v>
      </c>
      <c r="D10" s="33"/>
      <c r="E10" s="29">
        <v>37257000</v>
      </c>
      <c r="F10" s="34"/>
      <c r="G10" s="37"/>
      <c r="H10" s="35"/>
      <c r="I10" s="36">
        <f>G10-H10</f>
        <v>0</v>
      </c>
      <c r="J10" s="46" t="s">
        <v>144</v>
      </c>
    </row>
    <row r="11" spans="1:10" ht="15" hidden="1" customHeight="1" x14ac:dyDescent="0.3">
      <c r="A11" s="30" t="s">
        <v>19</v>
      </c>
      <c r="B11" s="31" t="s">
        <v>75</v>
      </c>
      <c r="C11" s="32" t="s">
        <v>49</v>
      </c>
      <c r="D11" s="33"/>
      <c r="E11" s="29">
        <v>1005000</v>
      </c>
      <c r="F11" s="34">
        <f t="shared" ref="F11:F21" si="0">+E11*0.08</f>
        <v>80400</v>
      </c>
      <c r="G11" s="37">
        <f t="shared" ref="G11:G21" si="1">E11+F11</f>
        <v>1085400</v>
      </c>
      <c r="H11" s="35">
        <v>1085400</v>
      </c>
      <c r="I11" s="36">
        <f t="shared" ref="I11:I21" si="2">G11-H11</f>
        <v>0</v>
      </c>
      <c r="J11" s="46">
        <v>45789</v>
      </c>
    </row>
    <row r="12" spans="1:10" ht="15" hidden="1" customHeight="1" x14ac:dyDescent="0.3">
      <c r="A12" s="30" t="s">
        <v>20</v>
      </c>
      <c r="B12" s="31" t="s">
        <v>76</v>
      </c>
      <c r="C12" s="33" t="s">
        <v>50</v>
      </c>
      <c r="D12" s="32" t="s">
        <v>84</v>
      </c>
      <c r="E12" s="29">
        <v>1005000</v>
      </c>
      <c r="F12" s="34">
        <f t="shared" si="0"/>
        <v>80400</v>
      </c>
      <c r="G12" s="37">
        <f t="shared" si="1"/>
        <v>1085400</v>
      </c>
      <c r="H12" s="35">
        <v>1085400</v>
      </c>
      <c r="I12" s="36">
        <f t="shared" si="2"/>
        <v>0</v>
      </c>
      <c r="J12" s="46">
        <v>45789</v>
      </c>
    </row>
    <row r="13" spans="1:10" ht="15" hidden="1" customHeight="1" x14ac:dyDescent="0.3">
      <c r="A13" s="30" t="s">
        <v>28</v>
      </c>
      <c r="B13" s="31" t="s">
        <v>77</v>
      </c>
      <c r="C13" s="32" t="s">
        <v>51</v>
      </c>
      <c r="D13" s="33"/>
      <c r="E13" s="29">
        <v>2970000</v>
      </c>
      <c r="F13" s="34">
        <f t="shared" si="0"/>
        <v>237600</v>
      </c>
      <c r="G13" s="37">
        <f t="shared" si="1"/>
        <v>3207600</v>
      </c>
      <c r="H13" s="35">
        <v>3207600</v>
      </c>
      <c r="I13" s="36">
        <f t="shared" si="2"/>
        <v>0</v>
      </c>
      <c r="J13" s="46">
        <v>45789</v>
      </c>
    </row>
    <row r="14" spans="1:10" ht="15" hidden="1" customHeight="1" x14ac:dyDescent="0.3">
      <c r="A14" s="30" t="s">
        <v>23</v>
      </c>
      <c r="B14" s="31" t="s">
        <v>77</v>
      </c>
      <c r="C14" s="32" t="s">
        <v>52</v>
      </c>
      <c r="D14" s="33"/>
      <c r="E14" s="29">
        <v>2430000</v>
      </c>
      <c r="F14" s="34">
        <f t="shared" si="0"/>
        <v>194400</v>
      </c>
      <c r="G14" s="37">
        <f t="shared" si="1"/>
        <v>2624400</v>
      </c>
      <c r="H14" s="35">
        <v>2624400</v>
      </c>
      <c r="I14" s="36">
        <f t="shared" si="2"/>
        <v>0</v>
      </c>
      <c r="J14" s="46">
        <v>45789</v>
      </c>
    </row>
    <row r="15" spans="1:10" ht="15" hidden="1" customHeight="1" x14ac:dyDescent="0.3">
      <c r="A15" s="30" t="s">
        <v>21</v>
      </c>
      <c r="B15" s="31" t="s">
        <v>78</v>
      </c>
      <c r="C15" s="33" t="s">
        <v>53</v>
      </c>
      <c r="D15" s="33"/>
      <c r="E15" s="29">
        <v>5895000</v>
      </c>
      <c r="F15" s="34"/>
      <c r="G15" s="37"/>
      <c r="H15" s="35"/>
      <c r="I15" s="36">
        <f t="shared" si="2"/>
        <v>0</v>
      </c>
      <c r="J15" s="46" t="s">
        <v>155</v>
      </c>
    </row>
    <row r="16" spans="1:10" ht="15" hidden="1" customHeight="1" x14ac:dyDescent="0.3">
      <c r="A16" s="30" t="s">
        <v>17</v>
      </c>
      <c r="B16" s="31" t="s">
        <v>78</v>
      </c>
      <c r="C16" s="32" t="s">
        <v>54</v>
      </c>
      <c r="D16" s="33"/>
      <c r="E16" s="29">
        <v>3085000</v>
      </c>
      <c r="F16" s="34">
        <f t="shared" si="0"/>
        <v>246800</v>
      </c>
      <c r="G16" s="37">
        <f t="shared" si="1"/>
        <v>3331800</v>
      </c>
      <c r="H16" s="35">
        <v>3331800</v>
      </c>
      <c r="I16" s="36">
        <f t="shared" si="2"/>
        <v>0</v>
      </c>
      <c r="J16" s="46">
        <v>45789</v>
      </c>
    </row>
    <row r="17" spans="1:10" ht="15" hidden="1" customHeight="1" x14ac:dyDescent="0.3">
      <c r="A17" s="30" t="s">
        <v>21</v>
      </c>
      <c r="B17" s="31" t="s">
        <v>79</v>
      </c>
      <c r="C17" s="32" t="s">
        <v>55</v>
      </c>
      <c r="D17" s="33"/>
      <c r="E17" s="29">
        <v>4805000</v>
      </c>
      <c r="F17" s="34">
        <f t="shared" si="0"/>
        <v>384400</v>
      </c>
      <c r="G17" s="37">
        <f t="shared" si="1"/>
        <v>5189400</v>
      </c>
      <c r="H17" s="35">
        <v>5189400</v>
      </c>
      <c r="I17" s="36">
        <f t="shared" si="2"/>
        <v>0</v>
      </c>
      <c r="J17" s="46">
        <v>45789</v>
      </c>
    </row>
    <row r="18" spans="1:10" ht="15" hidden="1" customHeight="1" x14ac:dyDescent="0.3">
      <c r="A18" s="30" t="s">
        <v>17</v>
      </c>
      <c r="B18" s="31" t="s">
        <v>79</v>
      </c>
      <c r="C18" s="32" t="s">
        <v>56</v>
      </c>
      <c r="D18" s="33"/>
      <c r="E18" s="29">
        <v>3240000</v>
      </c>
      <c r="F18" s="34">
        <f t="shared" si="0"/>
        <v>259200</v>
      </c>
      <c r="G18" s="37">
        <f t="shared" si="1"/>
        <v>3499200</v>
      </c>
      <c r="H18" s="35">
        <v>3499200</v>
      </c>
      <c r="I18" s="36">
        <f t="shared" si="2"/>
        <v>0</v>
      </c>
      <c r="J18" s="46">
        <v>45789</v>
      </c>
    </row>
    <row r="19" spans="1:10" ht="15" hidden="1" customHeight="1" x14ac:dyDescent="0.3">
      <c r="A19" s="30" t="s">
        <v>32</v>
      </c>
      <c r="B19" s="31" t="s">
        <v>79</v>
      </c>
      <c r="C19" s="32" t="s">
        <v>57</v>
      </c>
      <c r="D19" s="33"/>
      <c r="E19" s="29">
        <v>8980000</v>
      </c>
      <c r="F19" s="34">
        <f t="shared" si="0"/>
        <v>718400</v>
      </c>
      <c r="G19" s="37">
        <f t="shared" si="1"/>
        <v>9698400</v>
      </c>
      <c r="H19" s="35">
        <v>9698400</v>
      </c>
      <c r="I19" s="36">
        <f t="shared" si="2"/>
        <v>0</v>
      </c>
      <c r="J19" s="46">
        <v>45789</v>
      </c>
    </row>
    <row r="20" spans="1:10" ht="15" hidden="1" customHeight="1" x14ac:dyDescent="0.3">
      <c r="A20" s="30" t="s">
        <v>26</v>
      </c>
      <c r="B20" s="31" t="s">
        <v>79</v>
      </c>
      <c r="C20" s="32" t="s">
        <v>58</v>
      </c>
      <c r="D20" s="33"/>
      <c r="E20" s="29">
        <v>3015000</v>
      </c>
      <c r="F20" s="34">
        <f t="shared" si="0"/>
        <v>241200</v>
      </c>
      <c r="G20" s="37">
        <f t="shared" si="1"/>
        <v>3256200</v>
      </c>
      <c r="H20" s="35">
        <v>3256200</v>
      </c>
      <c r="I20" s="36">
        <f t="shared" si="2"/>
        <v>0</v>
      </c>
      <c r="J20" s="46">
        <v>45789</v>
      </c>
    </row>
    <row r="21" spans="1:10" ht="15" hidden="1" customHeight="1" x14ac:dyDescent="0.3">
      <c r="A21" s="30" t="s">
        <v>19</v>
      </c>
      <c r="B21" s="31" t="s">
        <v>79</v>
      </c>
      <c r="C21" s="32" t="s">
        <v>59</v>
      </c>
      <c r="D21" s="33"/>
      <c r="E21" s="29">
        <v>960000</v>
      </c>
      <c r="F21" s="34">
        <f t="shared" si="0"/>
        <v>76800</v>
      </c>
      <c r="G21" s="37">
        <f t="shared" si="1"/>
        <v>1036800</v>
      </c>
      <c r="H21" s="35">
        <v>1036800</v>
      </c>
      <c r="I21" s="36">
        <f t="shared" si="2"/>
        <v>0</v>
      </c>
      <c r="J21" s="46">
        <v>45789</v>
      </c>
    </row>
    <row r="22" spans="1:10" ht="15" hidden="1" customHeight="1" x14ac:dyDescent="0.3">
      <c r="A22" s="30" t="s">
        <v>22</v>
      </c>
      <c r="B22" s="31" t="s">
        <v>79</v>
      </c>
      <c r="C22" s="32" t="s">
        <v>60</v>
      </c>
      <c r="D22" s="33"/>
      <c r="E22" s="29">
        <v>3860000</v>
      </c>
      <c r="F22" s="34">
        <f t="shared" ref="F22:F67" si="3">+E22*0.08</f>
        <v>308800</v>
      </c>
      <c r="G22" s="37">
        <f t="shared" ref="G22:G67" si="4">E22+F22</f>
        <v>4168800</v>
      </c>
      <c r="H22" s="35">
        <v>4168800</v>
      </c>
      <c r="I22" s="36">
        <f t="shared" ref="I22:I67" si="5">G22-H22</f>
        <v>0</v>
      </c>
      <c r="J22" s="46">
        <v>45789</v>
      </c>
    </row>
    <row r="23" spans="1:10" ht="15" hidden="1" customHeight="1" x14ac:dyDescent="0.3">
      <c r="A23" s="30" t="s">
        <v>23</v>
      </c>
      <c r="B23" s="31" t="s">
        <v>79</v>
      </c>
      <c r="C23" s="32" t="s">
        <v>61</v>
      </c>
      <c r="D23" s="33"/>
      <c r="E23" s="29">
        <v>12305000</v>
      </c>
      <c r="F23" s="34">
        <f t="shared" si="3"/>
        <v>984400</v>
      </c>
      <c r="G23" s="37">
        <f t="shared" si="4"/>
        <v>13289400</v>
      </c>
      <c r="H23" s="35">
        <v>13289400</v>
      </c>
      <c r="I23" s="36">
        <f t="shared" si="5"/>
        <v>0</v>
      </c>
      <c r="J23" s="46">
        <v>45789</v>
      </c>
    </row>
    <row r="24" spans="1:10" ht="15" hidden="1" customHeight="1" x14ac:dyDescent="0.3">
      <c r="A24" s="30" t="s">
        <v>21</v>
      </c>
      <c r="B24" s="31" t="s">
        <v>80</v>
      </c>
      <c r="C24" s="33" t="s">
        <v>62</v>
      </c>
      <c r="D24" s="33"/>
      <c r="E24" s="29">
        <v>3800000</v>
      </c>
      <c r="F24" s="34"/>
      <c r="G24" s="37"/>
      <c r="H24" s="35"/>
      <c r="I24" s="36">
        <f t="shared" si="5"/>
        <v>0</v>
      </c>
      <c r="J24" s="46" t="s">
        <v>156</v>
      </c>
    </row>
    <row r="25" spans="1:10" ht="15" hidden="1" customHeight="1" x14ac:dyDescent="0.3">
      <c r="A25" s="30" t="s">
        <v>21</v>
      </c>
      <c r="B25" s="31" t="s">
        <v>80</v>
      </c>
      <c r="C25" s="32" t="s">
        <v>63</v>
      </c>
      <c r="D25" s="33"/>
      <c r="E25" s="29">
        <v>4890000</v>
      </c>
      <c r="F25" s="34">
        <f t="shared" si="3"/>
        <v>391200</v>
      </c>
      <c r="G25" s="37">
        <f t="shared" si="4"/>
        <v>5281200</v>
      </c>
      <c r="H25" s="35">
        <v>5281200</v>
      </c>
      <c r="I25" s="36">
        <f t="shared" si="5"/>
        <v>0</v>
      </c>
      <c r="J25" s="46">
        <v>45789</v>
      </c>
    </row>
    <row r="26" spans="1:10" ht="15" hidden="1" customHeight="1" x14ac:dyDescent="0.3">
      <c r="A26" s="30" t="s">
        <v>17</v>
      </c>
      <c r="B26" s="31" t="s">
        <v>81</v>
      </c>
      <c r="C26" s="32" t="s">
        <v>64</v>
      </c>
      <c r="D26" s="33"/>
      <c r="E26" s="29">
        <v>4740000</v>
      </c>
      <c r="F26" s="34">
        <f t="shared" si="3"/>
        <v>379200</v>
      </c>
      <c r="G26" s="37">
        <f t="shared" si="4"/>
        <v>5119200</v>
      </c>
      <c r="H26" s="35">
        <v>5119200</v>
      </c>
      <c r="I26" s="36">
        <f t="shared" si="5"/>
        <v>0</v>
      </c>
      <c r="J26" s="46">
        <v>45789</v>
      </c>
    </row>
    <row r="27" spans="1:10" ht="15" hidden="1" customHeight="1" x14ac:dyDescent="0.3">
      <c r="A27" s="30" t="s">
        <v>23</v>
      </c>
      <c r="B27" s="31" t="s">
        <v>81</v>
      </c>
      <c r="C27" s="32" t="s">
        <v>65</v>
      </c>
      <c r="D27" s="33"/>
      <c r="E27" s="29">
        <v>4635000</v>
      </c>
      <c r="F27" s="34">
        <f t="shared" si="3"/>
        <v>370800</v>
      </c>
      <c r="G27" s="37">
        <f t="shared" si="4"/>
        <v>5005800</v>
      </c>
      <c r="H27" s="35">
        <v>5005800</v>
      </c>
      <c r="I27" s="36">
        <f t="shared" si="5"/>
        <v>0</v>
      </c>
      <c r="J27" s="46">
        <v>45789</v>
      </c>
    </row>
    <row r="28" spans="1:10" ht="15" hidden="1" customHeight="1" x14ac:dyDescent="0.3">
      <c r="A28" s="30" t="s">
        <v>19</v>
      </c>
      <c r="B28" s="31" t="s">
        <v>82</v>
      </c>
      <c r="C28" s="33" t="s">
        <v>66</v>
      </c>
      <c r="D28" s="33"/>
      <c r="E28" s="29">
        <v>960000</v>
      </c>
      <c r="F28" s="34"/>
      <c r="G28" s="37"/>
      <c r="H28" s="35"/>
      <c r="I28" s="36">
        <f t="shared" si="5"/>
        <v>0</v>
      </c>
      <c r="J28" s="46" t="s">
        <v>108</v>
      </c>
    </row>
    <row r="29" spans="1:10" ht="15" hidden="1" customHeight="1" x14ac:dyDescent="0.3">
      <c r="A29" s="30" t="s">
        <v>20</v>
      </c>
      <c r="B29" s="31" t="s">
        <v>82</v>
      </c>
      <c r="C29" s="32" t="s">
        <v>67</v>
      </c>
      <c r="D29" s="33"/>
      <c r="E29" s="29">
        <v>3965000</v>
      </c>
      <c r="F29" s="34">
        <f t="shared" si="3"/>
        <v>317200</v>
      </c>
      <c r="G29" s="37">
        <f t="shared" si="4"/>
        <v>4282200</v>
      </c>
      <c r="H29" s="35">
        <v>4282200</v>
      </c>
      <c r="I29" s="36">
        <f t="shared" si="5"/>
        <v>0</v>
      </c>
      <c r="J29" s="46">
        <v>45789</v>
      </c>
    </row>
    <row r="30" spans="1:10" ht="15" hidden="1" customHeight="1" x14ac:dyDescent="0.3">
      <c r="A30" s="30" t="s">
        <v>27</v>
      </c>
      <c r="B30" s="31" t="s">
        <v>82</v>
      </c>
      <c r="C30" s="32" t="s">
        <v>68</v>
      </c>
      <c r="D30" s="33"/>
      <c r="E30" s="29">
        <v>1815000</v>
      </c>
      <c r="F30" s="34">
        <f t="shared" si="3"/>
        <v>145200</v>
      </c>
      <c r="G30" s="37">
        <f t="shared" si="4"/>
        <v>1960200</v>
      </c>
      <c r="H30" s="35">
        <v>1960200</v>
      </c>
      <c r="I30" s="36">
        <f t="shared" si="5"/>
        <v>0</v>
      </c>
      <c r="J30" s="46">
        <v>45789</v>
      </c>
    </row>
    <row r="31" spans="1:10" ht="15" hidden="1" customHeight="1" x14ac:dyDescent="0.3">
      <c r="A31" s="30" t="s">
        <v>18</v>
      </c>
      <c r="B31" s="31" t="s">
        <v>82</v>
      </c>
      <c r="C31" s="32" t="s">
        <v>33</v>
      </c>
      <c r="D31" s="33"/>
      <c r="E31" s="29">
        <v>1005000</v>
      </c>
      <c r="F31" s="34">
        <f t="shared" si="3"/>
        <v>80400</v>
      </c>
      <c r="G31" s="37">
        <f t="shared" si="4"/>
        <v>1085400</v>
      </c>
      <c r="H31" s="35">
        <v>1085400</v>
      </c>
      <c r="I31" s="36">
        <f t="shared" si="5"/>
        <v>0</v>
      </c>
      <c r="J31" s="46">
        <v>45789</v>
      </c>
    </row>
    <row r="32" spans="1:10" ht="15" hidden="1" customHeight="1" x14ac:dyDescent="0.3">
      <c r="A32" s="30" t="s">
        <v>21</v>
      </c>
      <c r="B32" s="31" t="s">
        <v>82</v>
      </c>
      <c r="C32" s="32" t="s">
        <v>69</v>
      </c>
      <c r="D32" s="33"/>
      <c r="E32" s="29">
        <v>6705000</v>
      </c>
      <c r="F32" s="34">
        <f t="shared" si="3"/>
        <v>536400</v>
      </c>
      <c r="G32" s="37">
        <f t="shared" si="4"/>
        <v>7241400</v>
      </c>
      <c r="H32" s="35">
        <v>7241400</v>
      </c>
      <c r="I32" s="36">
        <f t="shared" si="5"/>
        <v>0</v>
      </c>
      <c r="J32" s="46">
        <v>45789</v>
      </c>
    </row>
    <row r="33" spans="1:10" ht="15" hidden="1" customHeight="1" x14ac:dyDescent="0.3">
      <c r="A33" s="30" t="s">
        <v>30</v>
      </c>
      <c r="B33" s="31" t="s">
        <v>82</v>
      </c>
      <c r="C33" s="32" t="s">
        <v>70</v>
      </c>
      <c r="D33" s="33"/>
      <c r="E33" s="29">
        <v>1770000</v>
      </c>
      <c r="F33" s="34">
        <f t="shared" si="3"/>
        <v>141600</v>
      </c>
      <c r="G33" s="37">
        <f t="shared" si="4"/>
        <v>1911600</v>
      </c>
      <c r="H33" s="35">
        <v>1911600</v>
      </c>
      <c r="I33" s="36">
        <f t="shared" si="5"/>
        <v>0</v>
      </c>
      <c r="J33" s="46">
        <v>45789</v>
      </c>
    </row>
    <row r="34" spans="1:10" ht="15" hidden="1" customHeight="1" x14ac:dyDescent="0.3">
      <c r="A34" s="30" t="s">
        <v>26</v>
      </c>
      <c r="B34" s="31" t="s">
        <v>82</v>
      </c>
      <c r="C34" s="32" t="s">
        <v>71</v>
      </c>
      <c r="D34" s="33"/>
      <c r="E34" s="29">
        <v>1005000</v>
      </c>
      <c r="F34" s="34">
        <f t="shared" si="3"/>
        <v>80400</v>
      </c>
      <c r="G34" s="37">
        <f t="shared" si="4"/>
        <v>1085400</v>
      </c>
      <c r="H34" s="35">
        <v>1085400</v>
      </c>
      <c r="I34" s="36">
        <f t="shared" si="5"/>
        <v>0</v>
      </c>
      <c r="J34" s="46">
        <v>45789</v>
      </c>
    </row>
    <row r="35" spans="1:10" ht="15" hidden="1" customHeight="1" x14ac:dyDescent="0.3">
      <c r="A35" s="30" t="s">
        <v>32</v>
      </c>
      <c r="B35" s="31" t="s">
        <v>82</v>
      </c>
      <c r="C35" s="32" t="s">
        <v>72</v>
      </c>
      <c r="D35" s="33"/>
      <c r="E35" s="29">
        <v>14540000</v>
      </c>
      <c r="F35" s="34">
        <f t="shared" si="3"/>
        <v>1163200</v>
      </c>
      <c r="G35" s="37">
        <f t="shared" si="4"/>
        <v>15703200</v>
      </c>
      <c r="H35" s="35">
        <v>15703200</v>
      </c>
      <c r="I35" s="36">
        <f t="shared" si="5"/>
        <v>0</v>
      </c>
      <c r="J35" s="46">
        <v>45789</v>
      </c>
    </row>
    <row r="36" spans="1:10" ht="15" hidden="1" customHeight="1" x14ac:dyDescent="0.3">
      <c r="A36" s="30" t="s">
        <v>32</v>
      </c>
      <c r="B36" s="31" t="s">
        <v>83</v>
      </c>
      <c r="C36" s="32" t="s">
        <v>73</v>
      </c>
      <c r="D36" s="33"/>
      <c r="E36" s="29">
        <v>12495000</v>
      </c>
      <c r="F36" s="34">
        <f t="shared" si="3"/>
        <v>999600</v>
      </c>
      <c r="G36" s="37">
        <f t="shared" si="4"/>
        <v>13494600</v>
      </c>
      <c r="H36" s="35">
        <v>13494600</v>
      </c>
      <c r="I36" s="36">
        <f t="shared" si="5"/>
        <v>0</v>
      </c>
      <c r="J36" s="46">
        <v>45789</v>
      </c>
    </row>
    <row r="37" spans="1:10" ht="15" hidden="1" customHeight="1" x14ac:dyDescent="0.3">
      <c r="A37" s="30" t="s">
        <v>23</v>
      </c>
      <c r="B37" s="31" t="s">
        <v>83</v>
      </c>
      <c r="C37" s="32" t="s">
        <v>34</v>
      </c>
      <c r="D37" s="33"/>
      <c r="E37" s="29">
        <v>10020000</v>
      </c>
      <c r="F37" s="34">
        <f t="shared" si="3"/>
        <v>801600</v>
      </c>
      <c r="G37" s="37">
        <f t="shared" si="4"/>
        <v>10821600</v>
      </c>
      <c r="H37" s="35">
        <v>10821600</v>
      </c>
      <c r="I37" s="36">
        <f t="shared" si="5"/>
        <v>0</v>
      </c>
      <c r="J37" s="46">
        <v>45789</v>
      </c>
    </row>
    <row r="38" spans="1:10" ht="15" hidden="1" customHeight="1" x14ac:dyDescent="0.3">
      <c r="A38" s="30" t="s">
        <v>19</v>
      </c>
      <c r="B38" s="31" t="s">
        <v>83</v>
      </c>
      <c r="C38" s="32" t="s">
        <v>74</v>
      </c>
      <c r="D38" s="33"/>
      <c r="E38" s="29">
        <v>2925000</v>
      </c>
      <c r="F38" s="34">
        <f t="shared" si="3"/>
        <v>234000</v>
      </c>
      <c r="G38" s="37">
        <f t="shared" si="4"/>
        <v>3159000</v>
      </c>
      <c r="H38" s="35">
        <v>3159000</v>
      </c>
      <c r="I38" s="36">
        <f t="shared" si="5"/>
        <v>0</v>
      </c>
      <c r="J38" s="46">
        <v>45807</v>
      </c>
    </row>
    <row r="39" spans="1:10" ht="15" hidden="1" customHeight="1" x14ac:dyDescent="0.3">
      <c r="A39" s="30" t="s">
        <v>32</v>
      </c>
      <c r="B39" s="31" t="s">
        <v>101</v>
      </c>
      <c r="C39" s="32" t="s">
        <v>85</v>
      </c>
      <c r="D39" s="33"/>
      <c r="E39" s="29">
        <v>8145000</v>
      </c>
      <c r="F39" s="34">
        <f t="shared" si="3"/>
        <v>651600</v>
      </c>
      <c r="G39" s="37">
        <f t="shared" si="4"/>
        <v>8796600</v>
      </c>
      <c r="H39" s="35">
        <v>8796600</v>
      </c>
      <c r="I39" s="36">
        <f t="shared" si="5"/>
        <v>0</v>
      </c>
      <c r="J39" s="46">
        <v>45807</v>
      </c>
    </row>
    <row r="40" spans="1:10" ht="15" hidden="1" customHeight="1" x14ac:dyDescent="0.3">
      <c r="A40" s="30" t="s">
        <v>32</v>
      </c>
      <c r="B40" s="31" t="s">
        <v>102</v>
      </c>
      <c r="C40" s="32" t="s">
        <v>86</v>
      </c>
      <c r="D40" s="33"/>
      <c r="E40" s="29">
        <v>16430000</v>
      </c>
      <c r="F40" s="34">
        <f t="shared" si="3"/>
        <v>1314400</v>
      </c>
      <c r="G40" s="37">
        <f t="shared" si="4"/>
        <v>17744400</v>
      </c>
      <c r="H40" s="35">
        <v>17744400</v>
      </c>
      <c r="I40" s="36">
        <f t="shared" si="5"/>
        <v>0</v>
      </c>
      <c r="J40" s="46">
        <v>45807</v>
      </c>
    </row>
    <row r="41" spans="1:10" ht="15" hidden="1" customHeight="1" x14ac:dyDescent="0.3">
      <c r="A41" s="30" t="s">
        <v>26</v>
      </c>
      <c r="B41" s="31" t="s">
        <v>102</v>
      </c>
      <c r="C41" s="32" t="s">
        <v>87</v>
      </c>
      <c r="D41" s="33"/>
      <c r="E41" s="29">
        <v>6735000</v>
      </c>
      <c r="F41" s="34">
        <f t="shared" si="3"/>
        <v>538800</v>
      </c>
      <c r="G41" s="37">
        <f t="shared" si="4"/>
        <v>7273800</v>
      </c>
      <c r="H41" s="35">
        <v>7273800</v>
      </c>
      <c r="I41" s="36">
        <f t="shared" si="5"/>
        <v>0</v>
      </c>
      <c r="J41" s="46">
        <v>45807</v>
      </c>
    </row>
    <row r="42" spans="1:10" ht="15" hidden="1" customHeight="1" x14ac:dyDescent="0.3">
      <c r="A42" s="30" t="s">
        <v>27</v>
      </c>
      <c r="B42" s="31" t="s">
        <v>102</v>
      </c>
      <c r="C42" s="32" t="s">
        <v>88</v>
      </c>
      <c r="D42" s="33"/>
      <c r="E42" s="29">
        <v>4955000</v>
      </c>
      <c r="F42" s="34">
        <f t="shared" si="3"/>
        <v>396400</v>
      </c>
      <c r="G42" s="37">
        <f t="shared" si="4"/>
        <v>5351400</v>
      </c>
      <c r="H42" s="35">
        <v>5351400</v>
      </c>
      <c r="I42" s="36">
        <f t="shared" si="5"/>
        <v>0</v>
      </c>
      <c r="J42" s="46">
        <v>45807</v>
      </c>
    </row>
    <row r="43" spans="1:10" ht="15" hidden="1" customHeight="1" x14ac:dyDescent="0.3">
      <c r="A43" s="30" t="s">
        <v>25</v>
      </c>
      <c r="B43" s="31" t="s">
        <v>102</v>
      </c>
      <c r="C43" s="32" t="s">
        <v>89</v>
      </c>
      <c r="D43" s="33"/>
      <c r="E43" s="29">
        <v>3855000</v>
      </c>
      <c r="F43" s="34">
        <f t="shared" si="3"/>
        <v>308400</v>
      </c>
      <c r="G43" s="37">
        <f t="shared" si="4"/>
        <v>4163400</v>
      </c>
      <c r="H43" s="35">
        <v>4163400</v>
      </c>
      <c r="I43" s="36">
        <f t="shared" si="5"/>
        <v>0</v>
      </c>
      <c r="J43" s="46">
        <v>45807</v>
      </c>
    </row>
    <row r="44" spans="1:10" ht="15" hidden="1" customHeight="1" x14ac:dyDescent="0.3">
      <c r="A44" s="30" t="s">
        <v>23</v>
      </c>
      <c r="B44" s="31" t="s">
        <v>102</v>
      </c>
      <c r="C44" s="32" t="s">
        <v>90</v>
      </c>
      <c r="D44" s="33"/>
      <c r="E44" s="29">
        <v>15380000</v>
      </c>
      <c r="F44" s="34">
        <f t="shared" si="3"/>
        <v>1230400</v>
      </c>
      <c r="G44" s="37">
        <f t="shared" si="4"/>
        <v>16610400</v>
      </c>
      <c r="H44" s="35">
        <v>16610400</v>
      </c>
      <c r="I44" s="36">
        <f t="shared" si="5"/>
        <v>0</v>
      </c>
      <c r="J44" s="46">
        <v>45807</v>
      </c>
    </row>
    <row r="45" spans="1:10" ht="15" hidden="1" customHeight="1" x14ac:dyDescent="0.3">
      <c r="A45" s="30" t="s">
        <v>21</v>
      </c>
      <c r="B45" s="31" t="s">
        <v>102</v>
      </c>
      <c r="C45" s="32" t="s">
        <v>91</v>
      </c>
      <c r="D45" s="33"/>
      <c r="E45" s="29">
        <v>9865000</v>
      </c>
      <c r="F45" s="34">
        <f t="shared" si="3"/>
        <v>789200</v>
      </c>
      <c r="G45" s="37">
        <f t="shared" si="4"/>
        <v>10654200</v>
      </c>
      <c r="H45" s="35">
        <v>10654200</v>
      </c>
      <c r="I45" s="36">
        <f t="shared" si="5"/>
        <v>0</v>
      </c>
      <c r="J45" s="46">
        <v>45807</v>
      </c>
    </row>
    <row r="46" spans="1:10" ht="15" hidden="1" customHeight="1" x14ac:dyDescent="0.3">
      <c r="A46" s="30" t="s">
        <v>23</v>
      </c>
      <c r="B46" s="31" t="s">
        <v>103</v>
      </c>
      <c r="C46" s="32" t="s">
        <v>92</v>
      </c>
      <c r="D46" s="33"/>
      <c r="E46" s="29">
        <v>4035000</v>
      </c>
      <c r="F46" s="34">
        <f t="shared" si="3"/>
        <v>322800</v>
      </c>
      <c r="G46" s="37">
        <f t="shared" si="4"/>
        <v>4357800</v>
      </c>
      <c r="H46" s="35">
        <v>4357800</v>
      </c>
      <c r="I46" s="36">
        <f t="shared" si="5"/>
        <v>0</v>
      </c>
      <c r="J46" s="46">
        <v>45807</v>
      </c>
    </row>
    <row r="47" spans="1:10" ht="15" hidden="1" customHeight="1" x14ac:dyDescent="0.3">
      <c r="A47" s="30" t="s">
        <v>17</v>
      </c>
      <c r="B47" s="31" t="s">
        <v>104</v>
      </c>
      <c r="C47" s="32" t="s">
        <v>93</v>
      </c>
      <c r="D47" s="33"/>
      <c r="E47" s="29">
        <v>13685000</v>
      </c>
      <c r="F47" s="34">
        <f t="shared" si="3"/>
        <v>1094800</v>
      </c>
      <c r="G47" s="37">
        <f t="shared" si="4"/>
        <v>14779800</v>
      </c>
      <c r="H47" s="35">
        <v>14779800</v>
      </c>
      <c r="I47" s="36">
        <f t="shared" si="5"/>
        <v>0</v>
      </c>
      <c r="J47" s="46">
        <v>45807</v>
      </c>
    </row>
    <row r="48" spans="1:10" ht="15" hidden="1" customHeight="1" x14ac:dyDescent="0.3">
      <c r="A48" s="30" t="s">
        <v>20</v>
      </c>
      <c r="B48" s="31" t="s">
        <v>105</v>
      </c>
      <c r="C48" s="32" t="s">
        <v>94</v>
      </c>
      <c r="D48" s="33"/>
      <c r="E48" s="29">
        <v>960000</v>
      </c>
      <c r="F48" s="34">
        <f t="shared" si="3"/>
        <v>76800</v>
      </c>
      <c r="G48" s="37">
        <f t="shared" si="4"/>
        <v>1036800</v>
      </c>
      <c r="H48" s="35">
        <v>1036800</v>
      </c>
      <c r="I48" s="36">
        <f t="shared" si="5"/>
        <v>0</v>
      </c>
      <c r="J48" s="46">
        <v>45807</v>
      </c>
    </row>
    <row r="49" spans="1:10" ht="15" hidden="1" customHeight="1" x14ac:dyDescent="0.3">
      <c r="A49" s="30" t="s">
        <v>23</v>
      </c>
      <c r="B49" s="31" t="s">
        <v>105</v>
      </c>
      <c r="C49" s="32" t="s">
        <v>95</v>
      </c>
      <c r="D49" s="33"/>
      <c r="E49" s="29">
        <v>13225000</v>
      </c>
      <c r="F49" s="34">
        <f t="shared" si="3"/>
        <v>1058000</v>
      </c>
      <c r="G49" s="37">
        <f t="shared" si="4"/>
        <v>14283000</v>
      </c>
      <c r="H49" s="35">
        <v>14283000</v>
      </c>
      <c r="I49" s="36">
        <f t="shared" si="5"/>
        <v>0</v>
      </c>
      <c r="J49" s="46">
        <v>45807</v>
      </c>
    </row>
    <row r="50" spans="1:10" ht="15" hidden="1" customHeight="1" x14ac:dyDescent="0.3">
      <c r="A50" s="30" t="s">
        <v>30</v>
      </c>
      <c r="B50" s="31" t="s">
        <v>105</v>
      </c>
      <c r="C50" s="32" t="s">
        <v>35</v>
      </c>
      <c r="D50" s="33"/>
      <c r="E50" s="29">
        <v>1920000</v>
      </c>
      <c r="F50" s="34">
        <f t="shared" si="3"/>
        <v>153600</v>
      </c>
      <c r="G50" s="37">
        <f t="shared" si="4"/>
        <v>2073600</v>
      </c>
      <c r="H50" s="35">
        <v>2073600</v>
      </c>
      <c r="I50" s="36">
        <f t="shared" si="5"/>
        <v>0</v>
      </c>
      <c r="J50" s="46">
        <v>45807</v>
      </c>
    </row>
    <row r="51" spans="1:10" ht="15" hidden="1" customHeight="1" x14ac:dyDescent="0.3">
      <c r="A51" s="30" t="s">
        <v>25</v>
      </c>
      <c r="B51" s="31" t="s">
        <v>105</v>
      </c>
      <c r="C51" s="32" t="s">
        <v>36</v>
      </c>
      <c r="D51" s="33"/>
      <c r="E51" s="29">
        <v>3840000</v>
      </c>
      <c r="F51" s="34">
        <f t="shared" si="3"/>
        <v>307200</v>
      </c>
      <c r="G51" s="37">
        <f t="shared" si="4"/>
        <v>4147200</v>
      </c>
      <c r="H51" s="35">
        <v>4147200</v>
      </c>
      <c r="I51" s="36">
        <f t="shared" si="5"/>
        <v>0</v>
      </c>
      <c r="J51" s="46">
        <v>45807</v>
      </c>
    </row>
    <row r="52" spans="1:10" ht="15" hidden="1" customHeight="1" x14ac:dyDescent="0.3">
      <c r="A52" s="30" t="s">
        <v>32</v>
      </c>
      <c r="B52" s="31" t="s">
        <v>105</v>
      </c>
      <c r="C52" s="32" t="s">
        <v>37</v>
      </c>
      <c r="D52" s="33"/>
      <c r="E52" s="29">
        <v>3510000</v>
      </c>
      <c r="F52" s="34">
        <f t="shared" si="3"/>
        <v>280800</v>
      </c>
      <c r="G52" s="37">
        <f t="shared" si="4"/>
        <v>3790800</v>
      </c>
      <c r="H52" s="35">
        <v>3790800</v>
      </c>
      <c r="I52" s="36">
        <f t="shared" si="5"/>
        <v>0</v>
      </c>
      <c r="J52" s="46">
        <v>45807</v>
      </c>
    </row>
    <row r="53" spans="1:10" ht="15" hidden="1" customHeight="1" x14ac:dyDescent="0.3">
      <c r="A53" s="30" t="s">
        <v>26</v>
      </c>
      <c r="B53" s="31" t="s">
        <v>105</v>
      </c>
      <c r="C53" s="32" t="s">
        <v>38</v>
      </c>
      <c r="D53" s="33"/>
      <c r="E53" s="29">
        <v>3605000</v>
      </c>
      <c r="F53" s="34">
        <f t="shared" si="3"/>
        <v>288400</v>
      </c>
      <c r="G53" s="37">
        <f t="shared" si="4"/>
        <v>3893400</v>
      </c>
      <c r="H53" s="35">
        <v>3893400</v>
      </c>
      <c r="I53" s="36">
        <f t="shared" si="5"/>
        <v>0</v>
      </c>
      <c r="J53" s="46">
        <v>45807</v>
      </c>
    </row>
    <row r="54" spans="1:10" ht="15" hidden="1" customHeight="1" x14ac:dyDescent="0.3">
      <c r="A54" s="30" t="s">
        <v>21</v>
      </c>
      <c r="B54" s="31" t="s">
        <v>105</v>
      </c>
      <c r="C54" s="32" t="s">
        <v>96</v>
      </c>
      <c r="D54" s="33"/>
      <c r="E54" s="29">
        <v>4635000</v>
      </c>
      <c r="F54" s="34">
        <f t="shared" si="3"/>
        <v>370800</v>
      </c>
      <c r="G54" s="37">
        <f t="shared" si="4"/>
        <v>5005800</v>
      </c>
      <c r="H54" s="35">
        <v>5005800</v>
      </c>
      <c r="I54" s="36">
        <f t="shared" si="5"/>
        <v>0</v>
      </c>
      <c r="J54" s="46">
        <v>45807</v>
      </c>
    </row>
    <row r="55" spans="1:10" ht="15" hidden="1" customHeight="1" x14ac:dyDescent="0.3">
      <c r="A55" s="30" t="s">
        <v>17</v>
      </c>
      <c r="B55" s="31" t="s">
        <v>105</v>
      </c>
      <c r="C55" s="32" t="s">
        <v>97</v>
      </c>
      <c r="D55" s="33"/>
      <c r="E55" s="29">
        <v>990000</v>
      </c>
      <c r="F55" s="34">
        <f t="shared" si="3"/>
        <v>79200</v>
      </c>
      <c r="G55" s="37">
        <f t="shared" si="4"/>
        <v>1069200</v>
      </c>
      <c r="H55" s="35">
        <v>1069200</v>
      </c>
      <c r="I55" s="36">
        <f t="shared" si="5"/>
        <v>0</v>
      </c>
      <c r="J55" s="46">
        <v>45807</v>
      </c>
    </row>
    <row r="56" spans="1:10" ht="15" hidden="1" customHeight="1" x14ac:dyDescent="0.3">
      <c r="A56" s="30" t="s">
        <v>28</v>
      </c>
      <c r="B56" s="31" t="s">
        <v>105</v>
      </c>
      <c r="C56" s="32" t="s">
        <v>98</v>
      </c>
      <c r="D56" s="33"/>
      <c r="E56" s="29">
        <v>4560000</v>
      </c>
      <c r="F56" s="34">
        <f t="shared" si="3"/>
        <v>364800</v>
      </c>
      <c r="G56" s="37">
        <f t="shared" si="4"/>
        <v>4924800</v>
      </c>
      <c r="H56" s="35">
        <v>4924800</v>
      </c>
      <c r="I56" s="36">
        <f t="shared" si="5"/>
        <v>0</v>
      </c>
      <c r="J56" s="46">
        <v>45807</v>
      </c>
    </row>
    <row r="57" spans="1:10" ht="15" hidden="1" customHeight="1" x14ac:dyDescent="0.3">
      <c r="A57" s="30" t="s">
        <v>24</v>
      </c>
      <c r="B57" s="31" t="s">
        <v>106</v>
      </c>
      <c r="C57" s="32" t="s">
        <v>99</v>
      </c>
      <c r="D57" s="33"/>
      <c r="E57" s="29">
        <v>3750000</v>
      </c>
      <c r="F57" s="34">
        <f t="shared" si="3"/>
        <v>300000</v>
      </c>
      <c r="G57" s="37">
        <f t="shared" si="4"/>
        <v>4050000</v>
      </c>
      <c r="H57" s="35">
        <v>4050000</v>
      </c>
      <c r="I57" s="36">
        <f t="shared" si="5"/>
        <v>0</v>
      </c>
      <c r="J57" s="46">
        <v>45807</v>
      </c>
    </row>
    <row r="58" spans="1:10" ht="15" hidden="1" customHeight="1" x14ac:dyDescent="0.3">
      <c r="A58" s="30" t="s">
        <v>18</v>
      </c>
      <c r="B58" s="31" t="s">
        <v>107</v>
      </c>
      <c r="C58" s="32" t="s">
        <v>100</v>
      </c>
      <c r="D58" s="33"/>
      <c r="E58" s="29">
        <v>6000000</v>
      </c>
      <c r="F58" s="34">
        <f t="shared" si="3"/>
        <v>480000</v>
      </c>
      <c r="G58" s="37">
        <f t="shared" si="4"/>
        <v>6480000</v>
      </c>
      <c r="H58" s="35">
        <v>6480000</v>
      </c>
      <c r="I58" s="36">
        <f t="shared" si="5"/>
        <v>0</v>
      </c>
      <c r="J58" s="46">
        <v>45818</v>
      </c>
    </row>
    <row r="59" spans="1:10" ht="15" hidden="1" customHeight="1" x14ac:dyDescent="0.3">
      <c r="A59" s="30" t="s">
        <v>25</v>
      </c>
      <c r="B59" s="31" t="s">
        <v>123</v>
      </c>
      <c r="C59" s="32" t="s">
        <v>109</v>
      </c>
      <c r="D59" s="33"/>
      <c r="E59" s="29">
        <v>3360000</v>
      </c>
      <c r="F59" s="34">
        <f t="shared" si="3"/>
        <v>268800</v>
      </c>
      <c r="G59" s="37">
        <f t="shared" si="4"/>
        <v>3628800</v>
      </c>
      <c r="H59" s="35">
        <v>3628800</v>
      </c>
      <c r="I59" s="36">
        <f t="shared" si="5"/>
        <v>0</v>
      </c>
      <c r="J59" s="46">
        <v>45818</v>
      </c>
    </row>
    <row r="60" spans="1:10" ht="15" hidden="1" customHeight="1" x14ac:dyDescent="0.3">
      <c r="A60" s="30" t="s">
        <v>23</v>
      </c>
      <c r="B60" s="31" t="s">
        <v>123</v>
      </c>
      <c r="C60" s="32" t="s">
        <v>110</v>
      </c>
      <c r="D60" s="33"/>
      <c r="E60" s="29">
        <v>7925000</v>
      </c>
      <c r="F60" s="34">
        <f t="shared" si="3"/>
        <v>634000</v>
      </c>
      <c r="G60" s="37">
        <f t="shared" si="4"/>
        <v>8559000</v>
      </c>
      <c r="H60" s="35">
        <v>8559000</v>
      </c>
      <c r="I60" s="36">
        <f t="shared" si="5"/>
        <v>0</v>
      </c>
      <c r="J60" s="46">
        <v>45818</v>
      </c>
    </row>
    <row r="61" spans="1:10" ht="15" hidden="1" customHeight="1" x14ac:dyDescent="0.3">
      <c r="A61" s="30" t="s">
        <v>32</v>
      </c>
      <c r="B61" s="31" t="s">
        <v>124</v>
      </c>
      <c r="C61" s="32" t="s">
        <v>39</v>
      </c>
      <c r="D61" s="33"/>
      <c r="E61" s="29">
        <v>4835000</v>
      </c>
      <c r="F61" s="34">
        <f t="shared" si="3"/>
        <v>386800</v>
      </c>
      <c r="G61" s="37">
        <f t="shared" si="4"/>
        <v>5221800</v>
      </c>
      <c r="H61" s="35">
        <v>5221800</v>
      </c>
      <c r="I61" s="36">
        <f t="shared" si="5"/>
        <v>0</v>
      </c>
      <c r="J61" s="46">
        <v>45818</v>
      </c>
    </row>
    <row r="62" spans="1:10" ht="15" hidden="1" customHeight="1" x14ac:dyDescent="0.3">
      <c r="A62" s="30" t="s">
        <v>30</v>
      </c>
      <c r="B62" s="31" t="s">
        <v>124</v>
      </c>
      <c r="C62" s="32" t="s">
        <v>111</v>
      </c>
      <c r="D62" s="33"/>
      <c r="E62" s="29">
        <v>4050000</v>
      </c>
      <c r="F62" s="34">
        <f t="shared" si="3"/>
        <v>324000</v>
      </c>
      <c r="G62" s="37">
        <f t="shared" si="4"/>
        <v>4374000</v>
      </c>
      <c r="H62" s="35">
        <v>4374000</v>
      </c>
      <c r="I62" s="36">
        <f t="shared" si="5"/>
        <v>0</v>
      </c>
      <c r="J62" s="46">
        <v>45818</v>
      </c>
    </row>
    <row r="63" spans="1:10" ht="15" hidden="1" customHeight="1" x14ac:dyDescent="0.3">
      <c r="A63" s="30" t="s">
        <v>28</v>
      </c>
      <c r="B63" s="31" t="s">
        <v>124</v>
      </c>
      <c r="C63" s="32" t="s">
        <v>112</v>
      </c>
      <c r="D63" s="33"/>
      <c r="E63" s="29">
        <v>3960000</v>
      </c>
      <c r="F63" s="34">
        <f t="shared" si="3"/>
        <v>316800</v>
      </c>
      <c r="G63" s="37">
        <f t="shared" si="4"/>
        <v>4276800</v>
      </c>
      <c r="H63" s="35">
        <v>4276800</v>
      </c>
      <c r="I63" s="36">
        <f t="shared" si="5"/>
        <v>0</v>
      </c>
      <c r="J63" s="46">
        <v>45818</v>
      </c>
    </row>
    <row r="64" spans="1:10" ht="15" hidden="1" customHeight="1" x14ac:dyDescent="0.3">
      <c r="A64" s="30" t="s">
        <v>19</v>
      </c>
      <c r="B64" s="31" t="s">
        <v>124</v>
      </c>
      <c r="C64" s="32" t="s">
        <v>113</v>
      </c>
      <c r="D64" s="33"/>
      <c r="E64" s="29">
        <v>2775000</v>
      </c>
      <c r="F64" s="34">
        <f t="shared" si="3"/>
        <v>222000</v>
      </c>
      <c r="G64" s="37">
        <f t="shared" si="4"/>
        <v>2997000</v>
      </c>
      <c r="H64" s="35">
        <v>2997000</v>
      </c>
      <c r="I64" s="36">
        <f t="shared" si="5"/>
        <v>0</v>
      </c>
      <c r="J64" s="46">
        <v>45818</v>
      </c>
    </row>
    <row r="65" spans="1:10" ht="15" hidden="1" customHeight="1" x14ac:dyDescent="0.3">
      <c r="A65" s="30" t="s">
        <v>21</v>
      </c>
      <c r="B65" s="31" t="s">
        <v>124</v>
      </c>
      <c r="C65" s="32" t="s">
        <v>114</v>
      </c>
      <c r="D65" s="33"/>
      <c r="E65" s="29">
        <v>5915000</v>
      </c>
      <c r="F65" s="34">
        <f t="shared" si="3"/>
        <v>473200</v>
      </c>
      <c r="G65" s="37">
        <f t="shared" si="4"/>
        <v>6388200</v>
      </c>
      <c r="H65" s="35">
        <v>6388200</v>
      </c>
      <c r="I65" s="36">
        <f t="shared" si="5"/>
        <v>0</v>
      </c>
      <c r="J65" s="46">
        <v>45818</v>
      </c>
    </row>
    <row r="66" spans="1:10" ht="15" hidden="1" customHeight="1" x14ac:dyDescent="0.3">
      <c r="A66" s="30" t="s">
        <v>45</v>
      </c>
      <c r="B66" s="31" t="s">
        <v>125</v>
      </c>
      <c r="C66" s="32" t="s">
        <v>115</v>
      </c>
      <c r="D66" s="33"/>
      <c r="E66" s="29">
        <v>5045000</v>
      </c>
      <c r="F66" s="34">
        <f t="shared" si="3"/>
        <v>403600</v>
      </c>
      <c r="G66" s="37">
        <f t="shared" si="4"/>
        <v>5448600</v>
      </c>
      <c r="H66" s="35">
        <v>5448600</v>
      </c>
      <c r="I66" s="36">
        <f t="shared" si="5"/>
        <v>0</v>
      </c>
      <c r="J66" s="46">
        <v>45818</v>
      </c>
    </row>
    <row r="67" spans="1:10" ht="15" hidden="1" customHeight="1" x14ac:dyDescent="0.3">
      <c r="A67" s="30" t="s">
        <v>27</v>
      </c>
      <c r="B67" s="31" t="s">
        <v>125</v>
      </c>
      <c r="C67" s="32" t="s">
        <v>116</v>
      </c>
      <c r="D67" s="33"/>
      <c r="E67" s="29">
        <v>4965000</v>
      </c>
      <c r="F67" s="34">
        <f t="shared" si="3"/>
        <v>397200</v>
      </c>
      <c r="G67" s="37">
        <f t="shared" si="4"/>
        <v>5362200</v>
      </c>
      <c r="H67" s="35">
        <v>5362200</v>
      </c>
      <c r="I67" s="36">
        <f t="shared" si="5"/>
        <v>0</v>
      </c>
      <c r="J67" s="46">
        <v>45818</v>
      </c>
    </row>
    <row r="68" spans="1:10" ht="15" hidden="1" customHeight="1" x14ac:dyDescent="0.3">
      <c r="A68" s="30" t="s">
        <v>26</v>
      </c>
      <c r="B68" s="31" t="s">
        <v>126</v>
      </c>
      <c r="C68" s="32" t="s">
        <v>117</v>
      </c>
      <c r="D68" s="33"/>
      <c r="E68" s="29">
        <v>1920000</v>
      </c>
      <c r="F68" s="34">
        <f t="shared" ref="F68:F105" si="6">+E68*0.08</f>
        <v>153600</v>
      </c>
      <c r="G68" s="37">
        <f t="shared" ref="G68:G105" si="7">E68+F68</f>
        <v>2073600</v>
      </c>
      <c r="H68" s="35">
        <v>2073600</v>
      </c>
      <c r="I68" s="36">
        <f t="shared" ref="I68:I105" si="8">G68-H68</f>
        <v>0</v>
      </c>
      <c r="J68" s="46">
        <v>45818</v>
      </c>
    </row>
    <row r="69" spans="1:10" ht="15" hidden="1" customHeight="1" x14ac:dyDescent="0.3">
      <c r="A69" s="30" t="s">
        <v>30</v>
      </c>
      <c r="B69" s="31" t="s">
        <v>126</v>
      </c>
      <c r="C69" s="32" t="s">
        <v>118</v>
      </c>
      <c r="D69" s="33"/>
      <c r="E69" s="29">
        <v>2970000</v>
      </c>
      <c r="F69" s="34">
        <f t="shared" si="6"/>
        <v>237600</v>
      </c>
      <c r="G69" s="37">
        <f t="shared" si="7"/>
        <v>3207600</v>
      </c>
      <c r="H69" s="35">
        <v>3207600</v>
      </c>
      <c r="I69" s="36">
        <f t="shared" si="8"/>
        <v>0</v>
      </c>
      <c r="J69" s="46">
        <v>45818</v>
      </c>
    </row>
    <row r="70" spans="1:10" ht="15" hidden="1" customHeight="1" x14ac:dyDescent="0.3">
      <c r="A70" s="30" t="s">
        <v>27</v>
      </c>
      <c r="B70" s="31" t="s">
        <v>126</v>
      </c>
      <c r="C70" s="32" t="s">
        <v>119</v>
      </c>
      <c r="D70" s="33"/>
      <c r="E70" s="29">
        <v>7815000</v>
      </c>
      <c r="F70" s="34">
        <f t="shared" si="6"/>
        <v>625200</v>
      </c>
      <c r="G70" s="37">
        <f t="shared" si="7"/>
        <v>8440200</v>
      </c>
      <c r="H70" s="35">
        <v>8440200</v>
      </c>
      <c r="I70" s="36">
        <f t="shared" si="8"/>
        <v>0</v>
      </c>
      <c r="J70" s="46">
        <v>45818</v>
      </c>
    </row>
    <row r="71" spans="1:10" ht="15" hidden="1" customHeight="1" x14ac:dyDescent="0.3">
      <c r="A71" s="30" t="s">
        <v>23</v>
      </c>
      <c r="B71" s="31" t="s">
        <v>126</v>
      </c>
      <c r="C71" s="32" t="s">
        <v>120</v>
      </c>
      <c r="D71" s="33"/>
      <c r="E71" s="29">
        <v>13240000</v>
      </c>
      <c r="F71" s="34">
        <f t="shared" si="6"/>
        <v>1059200</v>
      </c>
      <c r="G71" s="37">
        <f t="shared" si="7"/>
        <v>14299200</v>
      </c>
      <c r="H71" s="35">
        <v>14299200</v>
      </c>
      <c r="I71" s="36">
        <f t="shared" si="8"/>
        <v>0</v>
      </c>
      <c r="J71" s="46">
        <v>45818</v>
      </c>
    </row>
    <row r="72" spans="1:10" ht="15" hidden="1" customHeight="1" x14ac:dyDescent="0.3">
      <c r="A72" s="30" t="s">
        <v>18</v>
      </c>
      <c r="B72" s="31" t="s">
        <v>126</v>
      </c>
      <c r="C72" s="32" t="s">
        <v>121</v>
      </c>
      <c r="D72" s="33"/>
      <c r="E72" s="29">
        <v>2430000</v>
      </c>
      <c r="F72" s="34">
        <f t="shared" si="6"/>
        <v>194400</v>
      </c>
      <c r="G72" s="37">
        <f t="shared" si="7"/>
        <v>2624400</v>
      </c>
      <c r="H72" s="35">
        <v>2624400</v>
      </c>
      <c r="I72" s="36">
        <f t="shared" si="8"/>
        <v>0</v>
      </c>
      <c r="J72" s="46">
        <v>45818</v>
      </c>
    </row>
    <row r="73" spans="1:10" ht="15" hidden="1" customHeight="1" x14ac:dyDescent="0.3">
      <c r="A73" s="30" t="s">
        <v>21</v>
      </c>
      <c r="B73" s="31" t="s">
        <v>126</v>
      </c>
      <c r="C73" s="32" t="s">
        <v>122</v>
      </c>
      <c r="D73" s="33"/>
      <c r="E73" s="29">
        <v>10640000</v>
      </c>
      <c r="F73" s="34">
        <f t="shared" si="6"/>
        <v>851200</v>
      </c>
      <c r="G73" s="37">
        <f t="shared" si="7"/>
        <v>11491200</v>
      </c>
      <c r="H73" s="35">
        <v>11491200</v>
      </c>
      <c r="I73" s="36">
        <f t="shared" si="8"/>
        <v>0</v>
      </c>
      <c r="J73" s="46">
        <v>45818</v>
      </c>
    </row>
    <row r="74" spans="1:10" ht="15" hidden="1" customHeight="1" x14ac:dyDescent="0.3">
      <c r="A74" s="30" t="s">
        <v>17</v>
      </c>
      <c r="B74" s="31" t="s">
        <v>130</v>
      </c>
      <c r="C74" s="32" t="s">
        <v>127</v>
      </c>
      <c r="D74" s="33"/>
      <c r="E74" s="29">
        <v>10380000</v>
      </c>
      <c r="F74" s="34">
        <f t="shared" si="6"/>
        <v>830400</v>
      </c>
      <c r="G74" s="37">
        <f t="shared" si="7"/>
        <v>11210400</v>
      </c>
      <c r="H74" s="35">
        <v>11210400</v>
      </c>
      <c r="I74" s="36">
        <f t="shared" si="8"/>
        <v>0</v>
      </c>
      <c r="J74" s="46">
        <v>45818</v>
      </c>
    </row>
    <row r="75" spans="1:10" ht="15" hidden="1" customHeight="1" x14ac:dyDescent="0.3">
      <c r="A75" s="30" t="s">
        <v>23</v>
      </c>
      <c r="B75" s="31" t="s">
        <v>131</v>
      </c>
      <c r="C75" s="32" t="s">
        <v>128</v>
      </c>
      <c r="D75" s="33"/>
      <c r="E75" s="29">
        <v>9885000</v>
      </c>
      <c r="F75" s="34">
        <f t="shared" si="6"/>
        <v>790800</v>
      </c>
      <c r="G75" s="37">
        <f t="shared" si="7"/>
        <v>10675800</v>
      </c>
      <c r="H75" s="35">
        <v>10675800</v>
      </c>
      <c r="I75" s="36">
        <f t="shared" si="8"/>
        <v>0</v>
      </c>
      <c r="J75" s="46">
        <v>45818</v>
      </c>
    </row>
    <row r="76" spans="1:10" ht="15" hidden="1" customHeight="1" x14ac:dyDescent="0.3">
      <c r="A76" s="30" t="s">
        <v>17</v>
      </c>
      <c r="B76" s="31" t="s">
        <v>132</v>
      </c>
      <c r="C76" s="32" t="s">
        <v>129</v>
      </c>
      <c r="D76" s="33"/>
      <c r="E76" s="29">
        <v>4530000</v>
      </c>
      <c r="F76" s="34">
        <f t="shared" si="6"/>
        <v>362400</v>
      </c>
      <c r="G76" s="37">
        <f t="shared" si="7"/>
        <v>4892400</v>
      </c>
      <c r="H76" s="35">
        <v>4892400</v>
      </c>
      <c r="I76" s="36">
        <f t="shared" si="8"/>
        <v>0</v>
      </c>
      <c r="J76" s="46">
        <v>45838</v>
      </c>
    </row>
    <row r="77" spans="1:10" s="57" customFormat="1" ht="15" hidden="1" customHeight="1" x14ac:dyDescent="0.3">
      <c r="A77" s="48" t="s">
        <v>23</v>
      </c>
      <c r="B77" s="49" t="s">
        <v>132</v>
      </c>
      <c r="C77" s="60" t="s">
        <v>40</v>
      </c>
      <c r="D77" s="50"/>
      <c r="E77" s="51">
        <v>5590000</v>
      </c>
      <c r="F77" s="52">
        <f t="shared" si="6"/>
        <v>447200</v>
      </c>
      <c r="G77" s="53">
        <f t="shared" si="7"/>
        <v>6037200</v>
      </c>
      <c r="H77" s="54">
        <v>6037200</v>
      </c>
      <c r="I77" s="55">
        <f t="shared" si="8"/>
        <v>0</v>
      </c>
      <c r="J77" s="61">
        <v>45971</v>
      </c>
    </row>
    <row r="78" spans="1:10" ht="15" hidden="1" customHeight="1" x14ac:dyDescent="0.3">
      <c r="A78" s="30" t="s">
        <v>32</v>
      </c>
      <c r="B78" s="31" t="s">
        <v>142</v>
      </c>
      <c r="C78" s="32" t="s">
        <v>133</v>
      </c>
      <c r="D78" s="33"/>
      <c r="E78" s="29">
        <v>1755000</v>
      </c>
      <c r="F78" s="34">
        <f t="shared" si="6"/>
        <v>140400</v>
      </c>
      <c r="G78" s="37">
        <f t="shared" si="7"/>
        <v>1895400</v>
      </c>
      <c r="H78" s="35">
        <v>1895400</v>
      </c>
      <c r="I78" s="36">
        <f t="shared" si="8"/>
        <v>0</v>
      </c>
      <c r="J78" s="46">
        <v>45838</v>
      </c>
    </row>
    <row r="79" spans="1:10" ht="15" hidden="1" customHeight="1" x14ac:dyDescent="0.3">
      <c r="A79" s="30" t="s">
        <v>26</v>
      </c>
      <c r="B79" s="31" t="s">
        <v>142</v>
      </c>
      <c r="C79" s="32" t="s">
        <v>134</v>
      </c>
      <c r="D79" s="33"/>
      <c r="E79" s="29">
        <v>2850000</v>
      </c>
      <c r="F79" s="34">
        <f t="shared" si="6"/>
        <v>228000</v>
      </c>
      <c r="G79" s="37">
        <f t="shared" si="7"/>
        <v>3078000</v>
      </c>
      <c r="H79" s="35">
        <v>3078000</v>
      </c>
      <c r="I79" s="36">
        <f t="shared" si="8"/>
        <v>0</v>
      </c>
      <c r="J79" s="46">
        <v>45838</v>
      </c>
    </row>
    <row r="80" spans="1:10" ht="15" hidden="1" customHeight="1" x14ac:dyDescent="0.3">
      <c r="A80" s="30" t="s">
        <v>21</v>
      </c>
      <c r="B80" s="31">
        <v>45782</v>
      </c>
      <c r="C80" s="33" t="s">
        <v>135</v>
      </c>
      <c r="D80" s="33" t="s">
        <v>145</v>
      </c>
      <c r="E80" s="29">
        <v>4470000</v>
      </c>
      <c r="F80" s="34">
        <f t="shared" si="6"/>
        <v>357600</v>
      </c>
      <c r="G80" s="37">
        <f t="shared" si="7"/>
        <v>4827600</v>
      </c>
      <c r="H80" s="35">
        <v>4827600</v>
      </c>
      <c r="I80" s="36">
        <f t="shared" si="8"/>
        <v>0</v>
      </c>
      <c r="J80" s="46">
        <v>45838</v>
      </c>
    </row>
    <row r="81" spans="1:10" ht="15" hidden="1" customHeight="1" x14ac:dyDescent="0.3">
      <c r="A81" s="30" t="s">
        <v>48</v>
      </c>
      <c r="B81" s="31" t="s">
        <v>143</v>
      </c>
      <c r="C81" s="32" t="s">
        <v>136</v>
      </c>
      <c r="D81" s="33"/>
      <c r="E81" s="29">
        <v>4005000</v>
      </c>
      <c r="F81" s="34">
        <f t="shared" si="6"/>
        <v>320400</v>
      </c>
      <c r="G81" s="37">
        <f t="shared" si="7"/>
        <v>4325400</v>
      </c>
      <c r="H81" s="35">
        <v>4325400</v>
      </c>
      <c r="I81" s="36">
        <f t="shared" si="8"/>
        <v>0</v>
      </c>
      <c r="J81" s="46">
        <v>45838</v>
      </c>
    </row>
    <row r="82" spans="1:10" ht="15" hidden="1" customHeight="1" x14ac:dyDescent="0.3">
      <c r="A82" s="30" t="s">
        <v>25</v>
      </c>
      <c r="B82" s="31" t="s">
        <v>143</v>
      </c>
      <c r="C82" s="32" t="s">
        <v>137</v>
      </c>
      <c r="D82" s="33"/>
      <c r="E82" s="29">
        <v>1005000</v>
      </c>
      <c r="F82" s="34">
        <f t="shared" si="6"/>
        <v>80400</v>
      </c>
      <c r="G82" s="37">
        <f t="shared" si="7"/>
        <v>1085400</v>
      </c>
      <c r="H82" s="35">
        <v>1085400</v>
      </c>
      <c r="I82" s="36">
        <f t="shared" si="8"/>
        <v>0</v>
      </c>
      <c r="J82" s="46">
        <v>45838</v>
      </c>
    </row>
    <row r="83" spans="1:10" ht="15" hidden="1" customHeight="1" x14ac:dyDescent="0.3">
      <c r="A83" s="30" t="s">
        <v>23</v>
      </c>
      <c r="B83" s="31" t="s">
        <v>143</v>
      </c>
      <c r="C83" s="32" t="s">
        <v>138</v>
      </c>
      <c r="D83" s="33"/>
      <c r="E83" s="29">
        <v>3765000</v>
      </c>
      <c r="F83" s="34">
        <f t="shared" si="6"/>
        <v>301200</v>
      </c>
      <c r="G83" s="37">
        <f t="shared" si="7"/>
        <v>4066200</v>
      </c>
      <c r="H83" s="35">
        <v>4066200</v>
      </c>
      <c r="I83" s="36">
        <f t="shared" si="8"/>
        <v>0</v>
      </c>
      <c r="J83" s="46">
        <v>45838</v>
      </c>
    </row>
    <row r="84" spans="1:10" ht="15" hidden="1" customHeight="1" x14ac:dyDescent="0.3">
      <c r="A84" s="30" t="s">
        <v>19</v>
      </c>
      <c r="B84" s="31" t="s">
        <v>143</v>
      </c>
      <c r="C84" s="32" t="s">
        <v>139</v>
      </c>
      <c r="D84" s="33"/>
      <c r="E84" s="29">
        <v>1040000</v>
      </c>
      <c r="F84" s="34">
        <f t="shared" si="6"/>
        <v>83200</v>
      </c>
      <c r="G84" s="37">
        <f t="shared" si="7"/>
        <v>1123200</v>
      </c>
      <c r="H84" s="35">
        <v>1123200</v>
      </c>
      <c r="I84" s="36">
        <f t="shared" si="8"/>
        <v>0</v>
      </c>
      <c r="J84" s="46">
        <v>45838</v>
      </c>
    </row>
    <row r="85" spans="1:10" ht="15" hidden="1" customHeight="1" x14ac:dyDescent="0.3">
      <c r="A85" s="30" t="s">
        <v>17</v>
      </c>
      <c r="B85" s="31" t="s">
        <v>143</v>
      </c>
      <c r="C85" s="32" t="s">
        <v>140</v>
      </c>
      <c r="D85" s="33"/>
      <c r="E85" s="29">
        <v>10865000</v>
      </c>
      <c r="F85" s="34">
        <f t="shared" si="6"/>
        <v>869200</v>
      </c>
      <c r="G85" s="37">
        <f t="shared" si="7"/>
        <v>11734200</v>
      </c>
      <c r="H85" s="35">
        <v>11734200</v>
      </c>
      <c r="I85" s="36">
        <f t="shared" si="8"/>
        <v>0</v>
      </c>
      <c r="J85" s="46">
        <v>45838</v>
      </c>
    </row>
    <row r="86" spans="1:10" ht="15" hidden="1" customHeight="1" x14ac:dyDescent="0.3">
      <c r="A86" s="30" t="s">
        <v>24</v>
      </c>
      <c r="B86" s="31" t="s">
        <v>143</v>
      </c>
      <c r="C86" s="32" t="s">
        <v>141</v>
      </c>
      <c r="D86" s="33"/>
      <c r="E86" s="29">
        <v>1815000</v>
      </c>
      <c r="F86" s="34">
        <f t="shared" si="6"/>
        <v>145200</v>
      </c>
      <c r="G86" s="37">
        <f t="shared" si="7"/>
        <v>1960200</v>
      </c>
      <c r="H86" s="35">
        <v>1960200</v>
      </c>
      <c r="I86" s="36">
        <f t="shared" si="8"/>
        <v>0</v>
      </c>
      <c r="J86" s="46">
        <v>45838</v>
      </c>
    </row>
    <row r="87" spans="1:10" ht="15" hidden="1" customHeight="1" x14ac:dyDescent="0.3">
      <c r="A87" s="30" t="s">
        <v>45</v>
      </c>
      <c r="B87" s="31" t="s">
        <v>152</v>
      </c>
      <c r="C87" s="32" t="s">
        <v>146</v>
      </c>
      <c r="D87" s="33"/>
      <c r="E87" s="29">
        <v>2910000</v>
      </c>
      <c r="F87" s="34">
        <f t="shared" si="6"/>
        <v>232800</v>
      </c>
      <c r="G87" s="37">
        <f t="shared" si="7"/>
        <v>3142800</v>
      </c>
      <c r="H87" s="35">
        <v>3142800</v>
      </c>
      <c r="I87" s="36">
        <f t="shared" si="8"/>
        <v>0</v>
      </c>
      <c r="J87" s="46">
        <v>45838</v>
      </c>
    </row>
    <row r="88" spans="1:10" ht="15" hidden="1" customHeight="1" x14ac:dyDescent="0.3">
      <c r="A88" s="30" t="s">
        <v>21</v>
      </c>
      <c r="B88" s="31" t="s">
        <v>152</v>
      </c>
      <c r="C88" s="32" t="s">
        <v>147</v>
      </c>
      <c r="D88" s="33"/>
      <c r="E88" s="29">
        <v>9695000</v>
      </c>
      <c r="F88" s="34">
        <f t="shared" si="6"/>
        <v>775600</v>
      </c>
      <c r="G88" s="37">
        <f t="shared" si="7"/>
        <v>10470600</v>
      </c>
      <c r="H88" s="35">
        <v>10470600</v>
      </c>
      <c r="I88" s="36">
        <f t="shared" si="8"/>
        <v>0</v>
      </c>
      <c r="J88" s="46">
        <v>45838</v>
      </c>
    </row>
    <row r="89" spans="1:10" ht="15" hidden="1" customHeight="1" x14ac:dyDescent="0.3">
      <c r="A89" s="30" t="s">
        <v>32</v>
      </c>
      <c r="B89" s="31" t="s">
        <v>153</v>
      </c>
      <c r="C89" s="32" t="s">
        <v>148</v>
      </c>
      <c r="D89" s="33"/>
      <c r="E89" s="29">
        <v>5720000</v>
      </c>
      <c r="F89" s="34">
        <f t="shared" si="6"/>
        <v>457600</v>
      </c>
      <c r="G89" s="37">
        <f t="shared" si="7"/>
        <v>6177600</v>
      </c>
      <c r="H89" s="35">
        <v>6177600</v>
      </c>
      <c r="I89" s="36">
        <f t="shared" si="8"/>
        <v>0</v>
      </c>
      <c r="J89" s="46">
        <v>45838</v>
      </c>
    </row>
    <row r="90" spans="1:10" ht="15" hidden="1" customHeight="1" x14ac:dyDescent="0.3">
      <c r="A90" s="30" t="s">
        <v>20</v>
      </c>
      <c r="B90" s="31" t="s">
        <v>153</v>
      </c>
      <c r="C90" s="32" t="s">
        <v>149</v>
      </c>
      <c r="D90" s="33"/>
      <c r="E90" s="29">
        <v>4380000</v>
      </c>
      <c r="F90" s="34">
        <f t="shared" si="6"/>
        <v>350400</v>
      </c>
      <c r="G90" s="37">
        <f t="shared" si="7"/>
        <v>4730400</v>
      </c>
      <c r="H90" s="35">
        <v>4730400</v>
      </c>
      <c r="I90" s="36">
        <f t="shared" si="8"/>
        <v>0</v>
      </c>
      <c r="J90" s="46">
        <v>45838</v>
      </c>
    </row>
    <row r="91" spans="1:10" ht="15" hidden="1" customHeight="1" x14ac:dyDescent="0.3">
      <c r="A91" s="30" t="s">
        <v>21</v>
      </c>
      <c r="B91" s="31" t="s">
        <v>153</v>
      </c>
      <c r="C91" s="32" t="s">
        <v>150</v>
      </c>
      <c r="D91" s="33"/>
      <c r="E91" s="29">
        <v>6690000</v>
      </c>
      <c r="F91" s="34">
        <f t="shared" si="6"/>
        <v>535200</v>
      </c>
      <c r="G91" s="37">
        <f t="shared" si="7"/>
        <v>7225200</v>
      </c>
      <c r="H91" s="35">
        <v>7225200</v>
      </c>
      <c r="I91" s="36">
        <f t="shared" si="8"/>
        <v>0</v>
      </c>
      <c r="J91" s="46">
        <v>45838</v>
      </c>
    </row>
    <row r="92" spans="1:10" ht="15" hidden="1" customHeight="1" x14ac:dyDescent="0.3">
      <c r="A92" s="30" t="s">
        <v>23</v>
      </c>
      <c r="B92" s="31" t="s">
        <v>153</v>
      </c>
      <c r="C92" s="32" t="s">
        <v>29</v>
      </c>
      <c r="D92" s="33"/>
      <c r="E92" s="29">
        <v>2805000</v>
      </c>
      <c r="F92" s="34">
        <f t="shared" si="6"/>
        <v>224400</v>
      </c>
      <c r="G92" s="37">
        <f t="shared" si="7"/>
        <v>3029400</v>
      </c>
      <c r="H92" s="35">
        <v>3029400</v>
      </c>
      <c r="I92" s="36">
        <f t="shared" si="8"/>
        <v>0</v>
      </c>
      <c r="J92" s="46">
        <v>45838</v>
      </c>
    </row>
    <row r="93" spans="1:10" ht="15" hidden="1" customHeight="1" x14ac:dyDescent="0.3">
      <c r="A93" s="30" t="s">
        <v>22</v>
      </c>
      <c r="B93" s="31" t="s">
        <v>153</v>
      </c>
      <c r="C93" s="32" t="s">
        <v>41</v>
      </c>
      <c r="D93" s="33"/>
      <c r="E93" s="29">
        <v>4815000</v>
      </c>
      <c r="F93" s="34">
        <f t="shared" si="6"/>
        <v>385200</v>
      </c>
      <c r="G93" s="37">
        <f t="shared" si="7"/>
        <v>5200200</v>
      </c>
      <c r="H93" s="35">
        <v>5200200</v>
      </c>
      <c r="I93" s="36">
        <f t="shared" si="8"/>
        <v>0</v>
      </c>
      <c r="J93" s="46">
        <v>45838</v>
      </c>
    </row>
    <row r="94" spans="1:10" ht="15" hidden="1" customHeight="1" x14ac:dyDescent="0.3">
      <c r="A94" s="30" t="s">
        <v>27</v>
      </c>
      <c r="B94" s="31" t="s">
        <v>153</v>
      </c>
      <c r="C94" s="32" t="s">
        <v>31</v>
      </c>
      <c r="D94" s="33"/>
      <c r="E94" s="29">
        <v>3780000</v>
      </c>
      <c r="F94" s="34">
        <f t="shared" si="6"/>
        <v>302400</v>
      </c>
      <c r="G94" s="37">
        <f t="shared" si="7"/>
        <v>4082400</v>
      </c>
      <c r="H94" s="35">
        <v>4082400</v>
      </c>
      <c r="I94" s="36">
        <f t="shared" si="8"/>
        <v>0</v>
      </c>
      <c r="J94" s="46">
        <v>45838</v>
      </c>
    </row>
    <row r="95" spans="1:10" ht="15" hidden="1" customHeight="1" x14ac:dyDescent="0.3">
      <c r="A95" s="30" t="s">
        <v>26</v>
      </c>
      <c r="B95" s="31" t="s">
        <v>153</v>
      </c>
      <c r="C95" s="32" t="s">
        <v>42</v>
      </c>
      <c r="D95" s="33"/>
      <c r="E95" s="29">
        <v>1815000</v>
      </c>
      <c r="F95" s="34">
        <f t="shared" si="6"/>
        <v>145200</v>
      </c>
      <c r="G95" s="37">
        <f t="shared" si="7"/>
        <v>1960200</v>
      </c>
      <c r="H95" s="35">
        <v>1960200</v>
      </c>
      <c r="I95" s="36">
        <f t="shared" si="8"/>
        <v>0</v>
      </c>
      <c r="J95" s="46">
        <v>45838</v>
      </c>
    </row>
    <row r="96" spans="1:10" ht="15" hidden="1" customHeight="1" x14ac:dyDescent="0.3">
      <c r="A96" s="30" t="s">
        <v>28</v>
      </c>
      <c r="B96" s="31" t="s">
        <v>154</v>
      </c>
      <c r="C96" s="32" t="s">
        <v>151</v>
      </c>
      <c r="D96" s="33"/>
      <c r="E96" s="29">
        <v>3720000</v>
      </c>
      <c r="F96" s="34">
        <f t="shared" si="6"/>
        <v>297600</v>
      </c>
      <c r="G96" s="37">
        <f t="shared" si="7"/>
        <v>4017600</v>
      </c>
      <c r="H96" s="35">
        <v>4017600</v>
      </c>
      <c r="I96" s="36">
        <f t="shared" si="8"/>
        <v>0</v>
      </c>
      <c r="J96" s="46">
        <v>45838</v>
      </c>
    </row>
    <row r="97" spans="1:10" ht="15" hidden="1" customHeight="1" x14ac:dyDescent="0.3">
      <c r="A97" s="30" t="s">
        <v>23</v>
      </c>
      <c r="B97" s="31" t="s">
        <v>169</v>
      </c>
      <c r="C97" s="32" t="s">
        <v>157</v>
      </c>
      <c r="D97" s="33"/>
      <c r="E97" s="29">
        <v>4965000</v>
      </c>
      <c r="F97" s="34">
        <f t="shared" si="6"/>
        <v>397200</v>
      </c>
      <c r="G97" s="37">
        <f t="shared" si="7"/>
        <v>5362200</v>
      </c>
      <c r="H97" s="35">
        <v>5362200</v>
      </c>
      <c r="I97" s="36">
        <f t="shared" si="8"/>
        <v>0</v>
      </c>
      <c r="J97" s="46">
        <v>45838</v>
      </c>
    </row>
    <row r="98" spans="1:10" ht="15" hidden="1" customHeight="1" x14ac:dyDescent="0.3">
      <c r="A98" s="30" t="s">
        <v>17</v>
      </c>
      <c r="B98" s="31" t="s">
        <v>169</v>
      </c>
      <c r="C98" s="32" t="s">
        <v>158</v>
      </c>
      <c r="D98" s="33"/>
      <c r="E98" s="29">
        <v>750000</v>
      </c>
      <c r="F98" s="34">
        <f t="shared" si="6"/>
        <v>60000</v>
      </c>
      <c r="G98" s="37">
        <f t="shared" si="7"/>
        <v>810000</v>
      </c>
      <c r="H98" s="35">
        <v>810000</v>
      </c>
      <c r="I98" s="36">
        <f t="shared" si="8"/>
        <v>0</v>
      </c>
      <c r="J98" s="46">
        <v>45838</v>
      </c>
    </row>
    <row r="99" spans="1:10" ht="15" hidden="1" customHeight="1" x14ac:dyDescent="0.3">
      <c r="A99" s="30" t="s">
        <v>21</v>
      </c>
      <c r="B99" s="31" t="s">
        <v>169</v>
      </c>
      <c r="C99" s="32" t="s">
        <v>159</v>
      </c>
      <c r="D99" s="33"/>
      <c r="E99" s="29">
        <v>8085000</v>
      </c>
      <c r="F99" s="34">
        <f t="shared" si="6"/>
        <v>646800</v>
      </c>
      <c r="G99" s="37">
        <f t="shared" si="7"/>
        <v>8731800</v>
      </c>
      <c r="H99" s="35">
        <v>8731800</v>
      </c>
      <c r="I99" s="36">
        <f t="shared" si="8"/>
        <v>0</v>
      </c>
      <c r="J99" s="46">
        <v>45838</v>
      </c>
    </row>
    <row r="100" spans="1:10" ht="15" hidden="1" customHeight="1" x14ac:dyDescent="0.3">
      <c r="A100" s="30" t="s">
        <v>32</v>
      </c>
      <c r="B100" s="31" t="s">
        <v>170</v>
      </c>
      <c r="C100" s="32" t="s">
        <v>160</v>
      </c>
      <c r="D100" s="33"/>
      <c r="E100" s="29">
        <v>9800000</v>
      </c>
      <c r="F100" s="34">
        <f t="shared" si="6"/>
        <v>784000</v>
      </c>
      <c r="G100" s="37">
        <f t="shared" si="7"/>
        <v>10584000</v>
      </c>
      <c r="H100" s="35">
        <v>10584000</v>
      </c>
      <c r="I100" s="36">
        <f t="shared" si="8"/>
        <v>0</v>
      </c>
      <c r="J100" s="46">
        <v>45838</v>
      </c>
    </row>
    <row r="101" spans="1:10" ht="15" hidden="1" customHeight="1" x14ac:dyDescent="0.3">
      <c r="A101" s="30" t="s">
        <v>26</v>
      </c>
      <c r="B101" s="31" t="s">
        <v>170</v>
      </c>
      <c r="C101" s="32" t="s">
        <v>161</v>
      </c>
      <c r="D101" s="33"/>
      <c r="E101" s="29">
        <v>3965000</v>
      </c>
      <c r="F101" s="34">
        <f t="shared" si="6"/>
        <v>317200</v>
      </c>
      <c r="G101" s="37">
        <f t="shared" si="7"/>
        <v>4282200</v>
      </c>
      <c r="H101" s="35">
        <v>4282200</v>
      </c>
      <c r="I101" s="36">
        <f t="shared" si="8"/>
        <v>0</v>
      </c>
      <c r="J101" s="46">
        <v>45838</v>
      </c>
    </row>
    <row r="102" spans="1:10" ht="15" hidden="1" customHeight="1" x14ac:dyDescent="0.3">
      <c r="A102" s="30" t="s">
        <v>30</v>
      </c>
      <c r="B102" s="31" t="s">
        <v>170</v>
      </c>
      <c r="C102" s="32" t="s">
        <v>162</v>
      </c>
      <c r="D102" s="33"/>
      <c r="E102" s="29">
        <v>2925000</v>
      </c>
      <c r="F102" s="34">
        <f t="shared" si="6"/>
        <v>234000</v>
      </c>
      <c r="G102" s="37">
        <f t="shared" si="7"/>
        <v>3159000</v>
      </c>
      <c r="H102" s="35">
        <v>3159000</v>
      </c>
      <c r="I102" s="36">
        <f t="shared" si="8"/>
        <v>0</v>
      </c>
      <c r="J102" s="46">
        <v>45848</v>
      </c>
    </row>
    <row r="103" spans="1:10" ht="15" hidden="1" customHeight="1" x14ac:dyDescent="0.3">
      <c r="A103" s="30" t="s">
        <v>25</v>
      </c>
      <c r="B103" s="31" t="s">
        <v>170</v>
      </c>
      <c r="C103" s="32" t="s">
        <v>163</v>
      </c>
      <c r="D103" s="33"/>
      <c r="E103" s="29">
        <v>2040000</v>
      </c>
      <c r="F103" s="34">
        <f t="shared" si="6"/>
        <v>163200</v>
      </c>
      <c r="G103" s="37">
        <f t="shared" si="7"/>
        <v>2203200</v>
      </c>
      <c r="H103" s="35">
        <v>2203200</v>
      </c>
      <c r="I103" s="36">
        <f t="shared" si="8"/>
        <v>0</v>
      </c>
      <c r="J103" s="46">
        <v>45848</v>
      </c>
    </row>
    <row r="104" spans="1:10" ht="15" hidden="1" customHeight="1" x14ac:dyDescent="0.3">
      <c r="A104" s="30" t="s">
        <v>19</v>
      </c>
      <c r="B104" s="31" t="s">
        <v>170</v>
      </c>
      <c r="C104" s="32" t="s">
        <v>164</v>
      </c>
      <c r="D104" s="33"/>
      <c r="E104" s="29">
        <v>4965000</v>
      </c>
      <c r="F104" s="34">
        <f t="shared" si="6"/>
        <v>397200</v>
      </c>
      <c r="G104" s="37">
        <f t="shared" si="7"/>
        <v>5362200</v>
      </c>
      <c r="H104" s="35">
        <v>5362200</v>
      </c>
      <c r="I104" s="36">
        <f t="shared" si="8"/>
        <v>0</v>
      </c>
      <c r="J104" s="46">
        <v>45848</v>
      </c>
    </row>
    <row r="105" spans="1:10" ht="15" hidden="1" customHeight="1" x14ac:dyDescent="0.3">
      <c r="A105" s="30" t="s">
        <v>18</v>
      </c>
      <c r="B105" s="31" t="s">
        <v>170</v>
      </c>
      <c r="C105" s="32" t="s">
        <v>165</v>
      </c>
      <c r="D105" s="33"/>
      <c r="E105" s="29">
        <v>1005000</v>
      </c>
      <c r="F105" s="34">
        <f t="shared" si="6"/>
        <v>80400</v>
      </c>
      <c r="G105" s="37">
        <f t="shared" si="7"/>
        <v>1085400</v>
      </c>
      <c r="H105" s="35">
        <v>1085400</v>
      </c>
      <c r="I105" s="36">
        <f t="shared" si="8"/>
        <v>0</v>
      </c>
      <c r="J105" s="46">
        <v>45868</v>
      </c>
    </row>
    <row r="106" spans="1:10" ht="15" hidden="1" customHeight="1" x14ac:dyDescent="0.3">
      <c r="A106" s="30" t="s">
        <v>23</v>
      </c>
      <c r="B106" s="31" t="s">
        <v>171</v>
      </c>
      <c r="C106" s="32" t="s">
        <v>166</v>
      </c>
      <c r="D106" s="33"/>
      <c r="E106" s="29">
        <v>3000000</v>
      </c>
      <c r="F106" s="34">
        <f t="shared" ref="F106:F162" si="9">+E106*0.08</f>
        <v>240000</v>
      </c>
      <c r="G106" s="37">
        <f t="shared" ref="G106:G162" si="10">E106+F106</f>
        <v>3240000</v>
      </c>
      <c r="H106" s="35">
        <v>3240000</v>
      </c>
      <c r="I106" s="36">
        <f t="shared" ref="I106:I162" si="11">G106-H106</f>
        <v>0</v>
      </c>
      <c r="J106" s="46">
        <v>45848</v>
      </c>
    </row>
    <row r="107" spans="1:10" ht="15" hidden="1" customHeight="1" x14ac:dyDescent="0.3">
      <c r="A107" s="30" t="s">
        <v>27</v>
      </c>
      <c r="B107" s="31" t="s">
        <v>171</v>
      </c>
      <c r="C107" s="32" t="s">
        <v>167</v>
      </c>
      <c r="D107" s="33"/>
      <c r="E107" s="29">
        <v>1920000</v>
      </c>
      <c r="F107" s="34">
        <f t="shared" si="9"/>
        <v>153600</v>
      </c>
      <c r="G107" s="37">
        <f t="shared" si="10"/>
        <v>2073600</v>
      </c>
      <c r="H107" s="35">
        <v>2073600</v>
      </c>
      <c r="I107" s="36">
        <f t="shared" si="11"/>
        <v>0</v>
      </c>
      <c r="J107" s="46">
        <v>45848</v>
      </c>
    </row>
    <row r="108" spans="1:10" ht="15" hidden="1" customHeight="1" x14ac:dyDescent="0.3">
      <c r="A108" s="30" t="s">
        <v>19</v>
      </c>
      <c r="B108" s="31" t="s">
        <v>172</v>
      </c>
      <c r="C108" s="32" t="s">
        <v>168</v>
      </c>
      <c r="D108" s="33"/>
      <c r="E108" s="29">
        <v>2670000</v>
      </c>
      <c r="F108" s="34">
        <f t="shared" si="9"/>
        <v>213600</v>
      </c>
      <c r="G108" s="37">
        <f t="shared" si="10"/>
        <v>2883600</v>
      </c>
      <c r="H108" s="35">
        <v>2883600</v>
      </c>
      <c r="I108" s="36">
        <f t="shared" si="11"/>
        <v>0</v>
      </c>
      <c r="J108" s="46">
        <v>45848</v>
      </c>
    </row>
    <row r="109" spans="1:10" ht="15" hidden="1" customHeight="1" x14ac:dyDescent="0.3">
      <c r="A109" s="30" t="s">
        <v>45</v>
      </c>
      <c r="B109" s="31" t="s">
        <v>186</v>
      </c>
      <c r="C109" s="33" t="s">
        <v>173</v>
      </c>
      <c r="D109" s="33"/>
      <c r="E109" s="29">
        <v>-445302</v>
      </c>
      <c r="F109" s="34">
        <f t="shared" si="9"/>
        <v>-35624.160000000003</v>
      </c>
      <c r="G109" s="37">
        <f t="shared" si="10"/>
        <v>-480926.16000000003</v>
      </c>
      <c r="H109" s="35">
        <v>-480926.16000000003</v>
      </c>
      <c r="I109" s="36">
        <f t="shared" si="11"/>
        <v>0</v>
      </c>
      <c r="J109" s="46">
        <v>45776</v>
      </c>
    </row>
    <row r="110" spans="1:10" ht="15" hidden="1" customHeight="1" x14ac:dyDescent="0.3">
      <c r="A110" s="30" t="s">
        <v>19</v>
      </c>
      <c r="B110" s="31" t="s">
        <v>186</v>
      </c>
      <c r="C110" s="33" t="s">
        <v>174</v>
      </c>
      <c r="D110" s="33"/>
      <c r="E110" s="29">
        <v>-476000</v>
      </c>
      <c r="F110" s="34">
        <f t="shared" si="9"/>
        <v>-38080</v>
      </c>
      <c r="G110" s="37">
        <f t="shared" si="10"/>
        <v>-514080</v>
      </c>
      <c r="H110" s="35">
        <v>-514080</v>
      </c>
      <c r="I110" s="36">
        <f t="shared" si="11"/>
        <v>0</v>
      </c>
      <c r="J110" s="46">
        <v>45776</v>
      </c>
    </row>
    <row r="111" spans="1:10" ht="15" hidden="1" customHeight="1" x14ac:dyDescent="0.3">
      <c r="A111" s="30" t="s">
        <v>18</v>
      </c>
      <c r="B111" s="31" t="s">
        <v>186</v>
      </c>
      <c r="C111" s="33" t="s">
        <v>175</v>
      </c>
      <c r="D111" s="33"/>
      <c r="E111" s="29">
        <v>-1538879</v>
      </c>
      <c r="F111" s="34">
        <f t="shared" si="9"/>
        <v>-123110.32</v>
      </c>
      <c r="G111" s="37">
        <f t="shared" si="10"/>
        <v>-1661989.32</v>
      </c>
      <c r="H111" s="35">
        <v>-1661989.32</v>
      </c>
      <c r="I111" s="36">
        <f t="shared" si="11"/>
        <v>0</v>
      </c>
      <c r="J111" s="46">
        <v>45776</v>
      </c>
    </row>
    <row r="112" spans="1:10" ht="15" hidden="1" customHeight="1" x14ac:dyDescent="0.3">
      <c r="A112" s="30" t="s">
        <v>18</v>
      </c>
      <c r="B112" s="31" t="s">
        <v>186</v>
      </c>
      <c r="C112" s="33" t="s">
        <v>176</v>
      </c>
      <c r="D112" s="33"/>
      <c r="E112" s="29">
        <v>-52000</v>
      </c>
      <c r="F112" s="34">
        <f t="shared" si="9"/>
        <v>-4160</v>
      </c>
      <c r="G112" s="37">
        <f t="shared" si="10"/>
        <v>-56160</v>
      </c>
      <c r="H112" s="35">
        <v>-56160</v>
      </c>
      <c r="I112" s="36">
        <f t="shared" si="11"/>
        <v>0</v>
      </c>
      <c r="J112" s="46">
        <v>45776</v>
      </c>
    </row>
    <row r="113" spans="1:10" ht="15" hidden="1" customHeight="1" x14ac:dyDescent="0.3">
      <c r="A113" s="30" t="s">
        <v>18</v>
      </c>
      <c r="B113" s="31" t="s">
        <v>186</v>
      </c>
      <c r="C113" s="33" t="s">
        <v>177</v>
      </c>
      <c r="D113" s="33"/>
      <c r="E113" s="29">
        <v>-4435440</v>
      </c>
      <c r="F113" s="34">
        <f t="shared" si="9"/>
        <v>-354835.20000000001</v>
      </c>
      <c r="G113" s="37">
        <f t="shared" si="10"/>
        <v>-4790275.2</v>
      </c>
      <c r="H113" s="35">
        <v>-4790275.2</v>
      </c>
      <c r="I113" s="36">
        <f t="shared" si="11"/>
        <v>0</v>
      </c>
      <c r="J113" s="46">
        <v>45776</v>
      </c>
    </row>
    <row r="114" spans="1:10" ht="15" hidden="1" customHeight="1" x14ac:dyDescent="0.3">
      <c r="A114" s="30" t="s">
        <v>32</v>
      </c>
      <c r="B114" s="31" t="s">
        <v>186</v>
      </c>
      <c r="C114" s="32" t="s">
        <v>178</v>
      </c>
      <c r="D114" s="33"/>
      <c r="E114" s="29">
        <v>7640000</v>
      </c>
      <c r="F114" s="34">
        <f t="shared" si="9"/>
        <v>611200</v>
      </c>
      <c r="G114" s="37">
        <f t="shared" si="10"/>
        <v>8251200</v>
      </c>
      <c r="H114" s="35">
        <v>8251200</v>
      </c>
      <c r="I114" s="36">
        <f t="shared" si="11"/>
        <v>0</v>
      </c>
      <c r="J114" s="46">
        <v>45848</v>
      </c>
    </row>
    <row r="115" spans="1:10" ht="15" hidden="1" customHeight="1" x14ac:dyDescent="0.3">
      <c r="A115" s="30" t="s">
        <v>26</v>
      </c>
      <c r="B115" s="31" t="s">
        <v>186</v>
      </c>
      <c r="C115" s="32" t="s">
        <v>179</v>
      </c>
      <c r="D115" s="33"/>
      <c r="E115" s="29">
        <v>4800000</v>
      </c>
      <c r="F115" s="34">
        <f t="shared" si="9"/>
        <v>384000</v>
      </c>
      <c r="G115" s="37">
        <f t="shared" si="10"/>
        <v>5184000</v>
      </c>
      <c r="H115" s="35">
        <v>5184000</v>
      </c>
      <c r="I115" s="36">
        <f t="shared" si="11"/>
        <v>0</v>
      </c>
      <c r="J115" s="46">
        <v>45848</v>
      </c>
    </row>
    <row r="116" spans="1:10" ht="15" hidden="1" customHeight="1" x14ac:dyDescent="0.3">
      <c r="A116" s="30" t="s">
        <v>22</v>
      </c>
      <c r="B116" s="31" t="s">
        <v>186</v>
      </c>
      <c r="C116" s="32" t="s">
        <v>180</v>
      </c>
      <c r="D116" s="33"/>
      <c r="E116" s="29">
        <v>4085000</v>
      </c>
      <c r="F116" s="34">
        <f t="shared" si="9"/>
        <v>326800</v>
      </c>
      <c r="G116" s="37">
        <f t="shared" si="10"/>
        <v>4411800</v>
      </c>
      <c r="H116" s="35">
        <v>4411800</v>
      </c>
      <c r="I116" s="36">
        <f t="shared" si="11"/>
        <v>0</v>
      </c>
      <c r="J116" s="46">
        <v>45848</v>
      </c>
    </row>
    <row r="117" spans="1:10" ht="15" hidden="1" customHeight="1" x14ac:dyDescent="0.3">
      <c r="A117" s="30" t="s">
        <v>25</v>
      </c>
      <c r="B117" s="31" t="s">
        <v>186</v>
      </c>
      <c r="C117" s="32" t="s">
        <v>181</v>
      </c>
      <c r="D117" s="33"/>
      <c r="E117" s="29">
        <v>5955000</v>
      </c>
      <c r="F117" s="34">
        <f t="shared" si="9"/>
        <v>476400</v>
      </c>
      <c r="G117" s="37">
        <f t="shared" si="10"/>
        <v>6431400</v>
      </c>
      <c r="H117" s="35">
        <v>6431400</v>
      </c>
      <c r="I117" s="36">
        <f t="shared" si="11"/>
        <v>0</v>
      </c>
      <c r="J117" s="46">
        <v>45848</v>
      </c>
    </row>
    <row r="118" spans="1:10" ht="15" hidden="1" customHeight="1" x14ac:dyDescent="0.3">
      <c r="A118" s="30" t="s">
        <v>23</v>
      </c>
      <c r="B118" s="31" t="s">
        <v>186</v>
      </c>
      <c r="C118" s="32" t="s">
        <v>182</v>
      </c>
      <c r="D118" s="33"/>
      <c r="E118" s="29">
        <v>10790000</v>
      </c>
      <c r="F118" s="34">
        <f t="shared" si="9"/>
        <v>863200</v>
      </c>
      <c r="G118" s="37">
        <f t="shared" si="10"/>
        <v>11653200</v>
      </c>
      <c r="H118" s="35">
        <v>11653200</v>
      </c>
      <c r="I118" s="36">
        <f t="shared" si="11"/>
        <v>0</v>
      </c>
      <c r="J118" s="46">
        <v>45848</v>
      </c>
    </row>
    <row r="119" spans="1:10" ht="15" hidden="1" customHeight="1" x14ac:dyDescent="0.3">
      <c r="A119" s="30" t="s">
        <v>19</v>
      </c>
      <c r="B119" s="31" t="s">
        <v>186</v>
      </c>
      <c r="C119" s="32" t="s">
        <v>183</v>
      </c>
      <c r="D119" s="33"/>
      <c r="E119" s="29">
        <v>1005000</v>
      </c>
      <c r="F119" s="34">
        <f t="shared" si="9"/>
        <v>80400</v>
      </c>
      <c r="G119" s="37">
        <f t="shared" si="10"/>
        <v>1085400</v>
      </c>
      <c r="H119" s="35">
        <v>1085400</v>
      </c>
      <c r="I119" s="36">
        <f t="shared" si="11"/>
        <v>0</v>
      </c>
      <c r="J119" s="46">
        <v>45848</v>
      </c>
    </row>
    <row r="120" spans="1:10" ht="15" hidden="1" customHeight="1" x14ac:dyDescent="0.3">
      <c r="A120" s="30" t="s">
        <v>21</v>
      </c>
      <c r="B120" s="31" t="s">
        <v>186</v>
      </c>
      <c r="C120" s="32" t="s">
        <v>184</v>
      </c>
      <c r="D120" s="33"/>
      <c r="E120" s="29">
        <v>14645000</v>
      </c>
      <c r="F120" s="34">
        <f t="shared" si="9"/>
        <v>1171600</v>
      </c>
      <c r="G120" s="37">
        <f t="shared" si="10"/>
        <v>15816600</v>
      </c>
      <c r="H120" s="35">
        <v>15816600</v>
      </c>
      <c r="I120" s="36">
        <f t="shared" si="11"/>
        <v>0</v>
      </c>
      <c r="J120" s="46">
        <v>45868</v>
      </c>
    </row>
    <row r="121" spans="1:10" ht="15" hidden="1" customHeight="1" x14ac:dyDescent="0.3">
      <c r="A121" s="30" t="s">
        <v>45</v>
      </c>
      <c r="B121" s="31" t="s">
        <v>186</v>
      </c>
      <c r="C121" s="32" t="s">
        <v>185</v>
      </c>
      <c r="D121" s="33"/>
      <c r="E121" s="29">
        <v>3045000</v>
      </c>
      <c r="F121" s="34">
        <f t="shared" si="9"/>
        <v>243600</v>
      </c>
      <c r="G121" s="37">
        <f t="shared" si="10"/>
        <v>3288600</v>
      </c>
      <c r="H121" s="35">
        <v>3288600</v>
      </c>
      <c r="I121" s="36">
        <f t="shared" si="11"/>
        <v>0</v>
      </c>
      <c r="J121" s="46">
        <v>45848</v>
      </c>
    </row>
    <row r="122" spans="1:10" ht="15" hidden="1" customHeight="1" x14ac:dyDescent="0.3">
      <c r="A122" s="30" t="s">
        <v>21</v>
      </c>
      <c r="B122" s="31" t="s">
        <v>216</v>
      </c>
      <c r="C122" s="33" t="s">
        <v>187</v>
      </c>
      <c r="D122" s="33"/>
      <c r="E122" s="29">
        <v>-2080000</v>
      </c>
      <c r="F122" s="34">
        <f t="shared" si="9"/>
        <v>-166400</v>
      </c>
      <c r="G122" s="37">
        <f t="shared" si="10"/>
        <v>-2246400</v>
      </c>
      <c r="H122" s="35">
        <v>-2246400</v>
      </c>
      <c r="I122" s="36">
        <f t="shared" si="11"/>
        <v>0</v>
      </c>
      <c r="J122" s="46">
        <v>45776</v>
      </c>
    </row>
    <row r="123" spans="1:10" ht="15" hidden="1" customHeight="1" x14ac:dyDescent="0.3">
      <c r="A123" s="30" t="s">
        <v>21</v>
      </c>
      <c r="B123" s="31" t="s">
        <v>216</v>
      </c>
      <c r="C123" s="33" t="s">
        <v>188</v>
      </c>
      <c r="D123" s="33"/>
      <c r="E123" s="29">
        <v>-2327500</v>
      </c>
      <c r="F123" s="34">
        <f t="shared" si="9"/>
        <v>-186200</v>
      </c>
      <c r="G123" s="37">
        <f t="shared" si="10"/>
        <v>-2513700</v>
      </c>
      <c r="H123" s="35">
        <v>-2513700</v>
      </c>
      <c r="I123" s="36">
        <f t="shared" si="11"/>
        <v>0</v>
      </c>
      <c r="J123" s="46">
        <v>45776</v>
      </c>
    </row>
    <row r="124" spans="1:10" ht="15" hidden="1" customHeight="1" x14ac:dyDescent="0.3">
      <c r="A124" s="30" t="s">
        <v>28</v>
      </c>
      <c r="B124" s="31" t="s">
        <v>216</v>
      </c>
      <c r="C124" s="33" t="s">
        <v>189</v>
      </c>
      <c r="D124" s="33"/>
      <c r="E124" s="29">
        <v>-382200</v>
      </c>
      <c r="F124" s="34">
        <f t="shared" si="9"/>
        <v>-30576</v>
      </c>
      <c r="G124" s="37">
        <f t="shared" si="10"/>
        <v>-412776</v>
      </c>
      <c r="H124" s="35">
        <v>-412776</v>
      </c>
      <c r="I124" s="36">
        <f t="shared" si="11"/>
        <v>0</v>
      </c>
      <c r="J124" s="46">
        <v>45776</v>
      </c>
    </row>
    <row r="125" spans="1:10" ht="15" hidden="1" customHeight="1" x14ac:dyDescent="0.3">
      <c r="A125" s="30" t="s">
        <v>28</v>
      </c>
      <c r="B125" s="31" t="s">
        <v>216</v>
      </c>
      <c r="C125" s="33" t="s">
        <v>190</v>
      </c>
      <c r="D125" s="33"/>
      <c r="E125" s="29">
        <v>-56000</v>
      </c>
      <c r="F125" s="34">
        <f t="shared" si="9"/>
        <v>-4480</v>
      </c>
      <c r="G125" s="37">
        <f t="shared" si="10"/>
        <v>-60480</v>
      </c>
      <c r="H125" s="35">
        <v>-60480</v>
      </c>
      <c r="I125" s="36">
        <f t="shared" si="11"/>
        <v>0</v>
      </c>
      <c r="J125" s="46">
        <v>45776</v>
      </c>
    </row>
    <row r="126" spans="1:10" ht="15" hidden="1" customHeight="1" x14ac:dyDescent="0.3">
      <c r="A126" s="30" t="s">
        <v>27</v>
      </c>
      <c r="B126" s="31" t="s">
        <v>216</v>
      </c>
      <c r="C126" s="32" t="s">
        <v>191</v>
      </c>
      <c r="D126" s="33"/>
      <c r="E126" s="29">
        <v>4740000</v>
      </c>
      <c r="F126" s="34">
        <f t="shared" si="9"/>
        <v>379200</v>
      </c>
      <c r="G126" s="37">
        <f t="shared" si="10"/>
        <v>5119200</v>
      </c>
      <c r="H126" s="35">
        <v>5119200</v>
      </c>
      <c r="I126" s="36">
        <f t="shared" si="11"/>
        <v>0</v>
      </c>
      <c r="J126" s="46">
        <v>45848</v>
      </c>
    </row>
    <row r="127" spans="1:10" ht="15" hidden="1" customHeight="1" x14ac:dyDescent="0.3">
      <c r="A127" s="30" t="s">
        <v>25</v>
      </c>
      <c r="B127" s="31" t="s">
        <v>216</v>
      </c>
      <c r="C127" s="32" t="s">
        <v>192</v>
      </c>
      <c r="D127" s="33"/>
      <c r="E127" s="29">
        <v>2850000</v>
      </c>
      <c r="F127" s="34">
        <f t="shared" si="9"/>
        <v>228000</v>
      </c>
      <c r="G127" s="37">
        <f t="shared" si="10"/>
        <v>3078000</v>
      </c>
      <c r="H127" s="35">
        <v>3078000</v>
      </c>
      <c r="I127" s="36">
        <f t="shared" si="11"/>
        <v>0</v>
      </c>
      <c r="J127" s="46">
        <v>45848</v>
      </c>
    </row>
    <row r="128" spans="1:10" ht="15" hidden="1" customHeight="1" x14ac:dyDescent="0.3">
      <c r="A128" s="30" t="s">
        <v>23</v>
      </c>
      <c r="B128" s="31" t="s">
        <v>216</v>
      </c>
      <c r="C128" s="32" t="s">
        <v>193</v>
      </c>
      <c r="D128" s="33"/>
      <c r="E128" s="29">
        <v>4050000</v>
      </c>
      <c r="F128" s="34">
        <f t="shared" si="9"/>
        <v>324000</v>
      </c>
      <c r="G128" s="37">
        <f t="shared" si="10"/>
        <v>4374000</v>
      </c>
      <c r="H128" s="35">
        <v>4374000</v>
      </c>
      <c r="I128" s="36">
        <f t="shared" si="11"/>
        <v>0</v>
      </c>
      <c r="J128" s="46">
        <v>45848</v>
      </c>
    </row>
    <row r="129" spans="1:11" ht="15" hidden="1" customHeight="1" x14ac:dyDescent="0.3">
      <c r="A129" s="30" t="s">
        <v>17</v>
      </c>
      <c r="B129" s="31" t="s">
        <v>216</v>
      </c>
      <c r="C129" s="32" t="s">
        <v>194</v>
      </c>
      <c r="D129" s="33"/>
      <c r="E129" s="29">
        <v>16750000</v>
      </c>
      <c r="F129" s="34">
        <f t="shared" si="9"/>
        <v>1340000</v>
      </c>
      <c r="G129" s="37">
        <f t="shared" si="10"/>
        <v>18090000</v>
      </c>
      <c r="H129" s="35">
        <v>18090000</v>
      </c>
      <c r="I129" s="36">
        <f t="shared" si="11"/>
        <v>0</v>
      </c>
      <c r="J129" s="46">
        <v>45848</v>
      </c>
    </row>
    <row r="130" spans="1:11" ht="15" hidden="1" customHeight="1" x14ac:dyDescent="0.3">
      <c r="A130" s="30" t="s">
        <v>28</v>
      </c>
      <c r="B130" s="31" t="s">
        <v>217</v>
      </c>
      <c r="C130" s="32" t="s">
        <v>195</v>
      </c>
      <c r="D130" s="33"/>
      <c r="E130" s="29">
        <v>2925000</v>
      </c>
      <c r="F130" s="34">
        <f t="shared" si="9"/>
        <v>234000</v>
      </c>
      <c r="G130" s="37">
        <f t="shared" si="10"/>
        <v>3159000</v>
      </c>
      <c r="H130" s="35">
        <v>3159000</v>
      </c>
      <c r="I130" s="36">
        <f t="shared" si="11"/>
        <v>0</v>
      </c>
      <c r="J130" s="46">
        <v>45848</v>
      </c>
    </row>
    <row r="131" spans="1:11" ht="15" hidden="1" customHeight="1" x14ac:dyDescent="0.3">
      <c r="A131" s="30" t="s">
        <v>27</v>
      </c>
      <c r="B131" s="31" t="s">
        <v>218</v>
      </c>
      <c r="C131" s="33" t="s">
        <v>196</v>
      </c>
      <c r="D131" s="33"/>
      <c r="E131" s="29">
        <v>-100497</v>
      </c>
      <c r="F131" s="34">
        <f t="shared" si="9"/>
        <v>-8039.76</v>
      </c>
      <c r="G131" s="37">
        <f t="shared" si="10"/>
        <v>-108536.76</v>
      </c>
      <c r="H131" s="35">
        <v>-108536.76</v>
      </c>
      <c r="I131" s="36">
        <f t="shared" si="11"/>
        <v>0</v>
      </c>
      <c r="J131" s="46">
        <v>45807</v>
      </c>
    </row>
    <row r="132" spans="1:11" ht="15" hidden="1" customHeight="1" x14ac:dyDescent="0.3">
      <c r="A132" s="30" t="s">
        <v>28</v>
      </c>
      <c r="B132" s="31" t="s">
        <v>219</v>
      </c>
      <c r="C132" s="33" t="s">
        <v>197</v>
      </c>
      <c r="D132" s="33"/>
      <c r="E132" s="29">
        <v>-99000</v>
      </c>
      <c r="F132" s="34">
        <f t="shared" si="9"/>
        <v>-7920</v>
      </c>
      <c r="G132" s="37">
        <f t="shared" si="10"/>
        <v>-106920</v>
      </c>
      <c r="H132" s="35">
        <v>-106920</v>
      </c>
      <c r="I132" s="36">
        <f t="shared" si="11"/>
        <v>0</v>
      </c>
      <c r="J132" s="46">
        <v>45807</v>
      </c>
    </row>
    <row r="133" spans="1:11" ht="15" hidden="1" customHeight="1" x14ac:dyDescent="0.3">
      <c r="A133" s="30" t="s">
        <v>17</v>
      </c>
      <c r="B133" s="31" t="s">
        <v>219</v>
      </c>
      <c r="C133" s="32" t="s">
        <v>198</v>
      </c>
      <c r="D133" s="33"/>
      <c r="E133" s="29">
        <v>12965000</v>
      </c>
      <c r="F133" s="34">
        <f t="shared" si="9"/>
        <v>1037200</v>
      </c>
      <c r="G133" s="37">
        <f t="shared" si="10"/>
        <v>14002200</v>
      </c>
      <c r="H133" s="35">
        <v>14002200</v>
      </c>
      <c r="I133" s="36">
        <f t="shared" si="11"/>
        <v>0</v>
      </c>
      <c r="J133" s="46">
        <v>45868</v>
      </c>
      <c r="K133" s="2" t="s">
        <v>332</v>
      </c>
    </row>
    <row r="134" spans="1:11" ht="15" hidden="1" customHeight="1" x14ac:dyDescent="0.3">
      <c r="A134" s="30" t="s">
        <v>32</v>
      </c>
      <c r="B134" s="31" t="s">
        <v>219</v>
      </c>
      <c r="C134" s="32" t="s">
        <v>199</v>
      </c>
      <c r="D134" s="33"/>
      <c r="E134" s="29">
        <v>14480000</v>
      </c>
      <c r="F134" s="34">
        <f t="shared" si="9"/>
        <v>1158400</v>
      </c>
      <c r="G134" s="37">
        <f t="shared" si="10"/>
        <v>15638400</v>
      </c>
      <c r="H134" s="35">
        <v>15638400</v>
      </c>
      <c r="I134" s="36">
        <f t="shared" si="11"/>
        <v>0</v>
      </c>
      <c r="J134" s="46">
        <v>45848</v>
      </c>
    </row>
    <row r="135" spans="1:11" ht="15" hidden="1" customHeight="1" x14ac:dyDescent="0.3">
      <c r="A135" s="30" t="s">
        <v>24</v>
      </c>
      <c r="B135" s="31" t="s">
        <v>219</v>
      </c>
      <c r="C135" s="32" t="s">
        <v>200</v>
      </c>
      <c r="D135" s="33"/>
      <c r="E135" s="29">
        <v>2000000</v>
      </c>
      <c r="F135" s="34">
        <f t="shared" si="9"/>
        <v>160000</v>
      </c>
      <c r="G135" s="37">
        <f t="shared" si="10"/>
        <v>2160000</v>
      </c>
      <c r="H135" s="35">
        <v>2160000</v>
      </c>
      <c r="I135" s="36">
        <f t="shared" si="11"/>
        <v>0</v>
      </c>
      <c r="J135" s="46">
        <v>45868</v>
      </c>
      <c r="K135" s="2" t="s">
        <v>332</v>
      </c>
    </row>
    <row r="136" spans="1:11" ht="15" hidden="1" customHeight="1" x14ac:dyDescent="0.3">
      <c r="A136" s="30" t="s">
        <v>20</v>
      </c>
      <c r="B136" s="31" t="s">
        <v>219</v>
      </c>
      <c r="C136" s="32" t="s">
        <v>201</v>
      </c>
      <c r="D136" s="33"/>
      <c r="E136" s="29">
        <v>3720000</v>
      </c>
      <c r="F136" s="34">
        <f t="shared" si="9"/>
        <v>297600</v>
      </c>
      <c r="G136" s="37">
        <f t="shared" si="10"/>
        <v>4017600</v>
      </c>
      <c r="H136" s="35">
        <v>4017600</v>
      </c>
      <c r="I136" s="36">
        <f t="shared" si="11"/>
        <v>0</v>
      </c>
      <c r="J136" s="46">
        <v>45868</v>
      </c>
      <c r="K136" s="2" t="s">
        <v>332</v>
      </c>
    </row>
    <row r="137" spans="1:11" ht="15" hidden="1" customHeight="1" x14ac:dyDescent="0.3">
      <c r="A137" s="30" t="s">
        <v>18</v>
      </c>
      <c r="B137" s="31" t="s">
        <v>219</v>
      </c>
      <c r="C137" s="32" t="s">
        <v>202</v>
      </c>
      <c r="D137" s="33"/>
      <c r="E137" s="29">
        <v>1755000</v>
      </c>
      <c r="F137" s="34">
        <f t="shared" si="9"/>
        <v>140400</v>
      </c>
      <c r="G137" s="37">
        <f t="shared" si="10"/>
        <v>1895400</v>
      </c>
      <c r="H137" s="35">
        <v>1895400</v>
      </c>
      <c r="I137" s="36">
        <f t="shared" si="11"/>
        <v>0</v>
      </c>
      <c r="J137" s="46">
        <v>45868</v>
      </c>
      <c r="K137" s="2" t="s">
        <v>332</v>
      </c>
    </row>
    <row r="138" spans="1:11" ht="15" hidden="1" customHeight="1" x14ac:dyDescent="0.3">
      <c r="A138" s="30" t="s">
        <v>23</v>
      </c>
      <c r="B138" s="31" t="s">
        <v>219</v>
      </c>
      <c r="C138" s="32" t="s">
        <v>203</v>
      </c>
      <c r="D138" s="33"/>
      <c r="E138" s="29">
        <v>5685000</v>
      </c>
      <c r="F138" s="34">
        <f t="shared" si="9"/>
        <v>454800</v>
      </c>
      <c r="G138" s="37">
        <f t="shared" si="10"/>
        <v>6139800</v>
      </c>
      <c r="H138" s="35">
        <v>6139800</v>
      </c>
      <c r="I138" s="36">
        <f t="shared" si="11"/>
        <v>0</v>
      </c>
      <c r="J138" s="46">
        <v>45848</v>
      </c>
    </row>
    <row r="139" spans="1:11" ht="15" hidden="1" customHeight="1" x14ac:dyDescent="0.3">
      <c r="A139" s="30" t="s">
        <v>25</v>
      </c>
      <c r="B139" s="31" t="s">
        <v>219</v>
      </c>
      <c r="C139" s="32" t="s">
        <v>204</v>
      </c>
      <c r="D139" s="33"/>
      <c r="E139" s="29">
        <v>1005000</v>
      </c>
      <c r="F139" s="34">
        <f t="shared" si="9"/>
        <v>80400</v>
      </c>
      <c r="G139" s="37">
        <f t="shared" si="10"/>
        <v>1085400</v>
      </c>
      <c r="H139" s="35">
        <v>1085400</v>
      </c>
      <c r="I139" s="36">
        <f t="shared" si="11"/>
        <v>0</v>
      </c>
      <c r="J139" s="46">
        <v>45868</v>
      </c>
      <c r="K139" s="2" t="s">
        <v>332</v>
      </c>
    </row>
    <row r="140" spans="1:11" ht="15" hidden="1" customHeight="1" x14ac:dyDescent="0.3">
      <c r="A140" s="30" t="s">
        <v>45</v>
      </c>
      <c r="B140" s="31" t="s">
        <v>219</v>
      </c>
      <c r="C140" s="32" t="s">
        <v>205</v>
      </c>
      <c r="D140" s="33"/>
      <c r="E140" s="29">
        <v>960000</v>
      </c>
      <c r="F140" s="34">
        <f t="shared" si="9"/>
        <v>76800</v>
      </c>
      <c r="G140" s="37">
        <f t="shared" si="10"/>
        <v>1036800</v>
      </c>
      <c r="H140" s="35">
        <v>1036800</v>
      </c>
      <c r="I140" s="36">
        <f t="shared" si="11"/>
        <v>0</v>
      </c>
      <c r="J140" s="46">
        <v>45868</v>
      </c>
      <c r="K140" s="2" t="s">
        <v>332</v>
      </c>
    </row>
    <row r="141" spans="1:11" ht="15" hidden="1" customHeight="1" x14ac:dyDescent="0.3">
      <c r="A141" s="30" t="s">
        <v>30</v>
      </c>
      <c r="B141" s="31" t="s">
        <v>219</v>
      </c>
      <c r="C141" s="32" t="s">
        <v>206</v>
      </c>
      <c r="D141" s="33"/>
      <c r="E141" s="29">
        <v>5625000</v>
      </c>
      <c r="F141" s="34">
        <f t="shared" si="9"/>
        <v>450000</v>
      </c>
      <c r="G141" s="37">
        <f t="shared" si="10"/>
        <v>6075000</v>
      </c>
      <c r="H141" s="35">
        <v>6075000</v>
      </c>
      <c r="I141" s="36">
        <f t="shared" si="11"/>
        <v>0</v>
      </c>
      <c r="J141" s="46">
        <v>45848</v>
      </c>
    </row>
    <row r="142" spans="1:11" ht="15" hidden="1" customHeight="1" x14ac:dyDescent="0.3">
      <c r="A142" s="30" t="s">
        <v>26</v>
      </c>
      <c r="B142" s="31" t="s">
        <v>219</v>
      </c>
      <c r="C142" s="32" t="s">
        <v>207</v>
      </c>
      <c r="D142" s="33"/>
      <c r="E142" s="29">
        <v>5865000</v>
      </c>
      <c r="F142" s="34">
        <f t="shared" si="9"/>
        <v>469200</v>
      </c>
      <c r="G142" s="37">
        <f t="shared" si="10"/>
        <v>6334200</v>
      </c>
      <c r="H142" s="35">
        <v>6334200</v>
      </c>
      <c r="I142" s="36">
        <f t="shared" si="11"/>
        <v>0</v>
      </c>
      <c r="J142" s="46">
        <v>45848</v>
      </c>
    </row>
    <row r="143" spans="1:11" ht="15" hidden="1" customHeight="1" x14ac:dyDescent="0.3">
      <c r="A143" s="30" t="s">
        <v>21</v>
      </c>
      <c r="B143" s="31" t="s">
        <v>219</v>
      </c>
      <c r="C143" s="32" t="s">
        <v>208</v>
      </c>
      <c r="D143" s="33"/>
      <c r="E143" s="29">
        <v>19235000</v>
      </c>
      <c r="F143" s="34">
        <f t="shared" si="9"/>
        <v>1538800</v>
      </c>
      <c r="G143" s="37">
        <f t="shared" si="10"/>
        <v>20773800</v>
      </c>
      <c r="H143" s="35">
        <v>20773800</v>
      </c>
      <c r="I143" s="36">
        <f t="shared" si="11"/>
        <v>0</v>
      </c>
      <c r="J143" s="46">
        <v>45868</v>
      </c>
    </row>
    <row r="144" spans="1:11" ht="15" hidden="1" customHeight="1" x14ac:dyDescent="0.3">
      <c r="A144" s="30" t="s">
        <v>21</v>
      </c>
      <c r="B144" s="31" t="s">
        <v>220</v>
      </c>
      <c r="C144" s="32" t="s">
        <v>209</v>
      </c>
      <c r="D144" s="33"/>
      <c r="E144" s="29">
        <v>6755000</v>
      </c>
      <c r="F144" s="34">
        <f t="shared" si="9"/>
        <v>540400</v>
      </c>
      <c r="G144" s="37">
        <f t="shared" si="10"/>
        <v>7295400</v>
      </c>
      <c r="H144" s="35">
        <v>7295400</v>
      </c>
      <c r="I144" s="36">
        <f t="shared" si="11"/>
        <v>0</v>
      </c>
      <c r="J144" s="47">
        <v>45868</v>
      </c>
    </row>
    <row r="145" spans="1:14" ht="15" hidden="1" customHeight="1" x14ac:dyDescent="0.3">
      <c r="A145" s="30" t="s">
        <v>23</v>
      </c>
      <c r="B145" s="31">
        <v>45811</v>
      </c>
      <c r="C145" s="33" t="s">
        <v>210</v>
      </c>
      <c r="D145" s="33" t="s">
        <v>223</v>
      </c>
      <c r="E145" s="29">
        <v>12225000</v>
      </c>
      <c r="F145" s="34">
        <f t="shared" si="9"/>
        <v>978000</v>
      </c>
      <c r="G145" s="37">
        <f t="shared" si="10"/>
        <v>13203000</v>
      </c>
      <c r="H145" s="35">
        <v>13203000</v>
      </c>
      <c r="I145" s="36">
        <f t="shared" si="11"/>
        <v>0</v>
      </c>
      <c r="J145" s="47">
        <v>45880</v>
      </c>
      <c r="K145" s="2" t="s">
        <v>332</v>
      </c>
    </row>
    <row r="146" spans="1:14" ht="15" hidden="1" customHeight="1" x14ac:dyDescent="0.3">
      <c r="A146" s="30" t="s">
        <v>32</v>
      </c>
      <c r="B146" s="31" t="s">
        <v>221</v>
      </c>
      <c r="C146" s="32" t="s">
        <v>211</v>
      </c>
      <c r="D146" s="33"/>
      <c r="E146" s="29">
        <v>11615000</v>
      </c>
      <c r="F146" s="34">
        <f t="shared" si="9"/>
        <v>929200</v>
      </c>
      <c r="G146" s="37">
        <f t="shared" si="10"/>
        <v>12544200</v>
      </c>
      <c r="H146" s="35">
        <v>12544200</v>
      </c>
      <c r="I146" s="36">
        <f t="shared" si="11"/>
        <v>0</v>
      </c>
      <c r="J146" s="9">
        <v>45868</v>
      </c>
      <c r="K146" s="2" t="s">
        <v>332</v>
      </c>
    </row>
    <row r="147" spans="1:14" ht="15" hidden="1" customHeight="1" x14ac:dyDescent="0.3">
      <c r="A147" s="30" t="s">
        <v>21</v>
      </c>
      <c r="B147" s="31" t="s">
        <v>221</v>
      </c>
      <c r="C147" s="32" t="s">
        <v>212</v>
      </c>
      <c r="D147" s="33"/>
      <c r="E147" s="29">
        <v>4020000</v>
      </c>
      <c r="F147" s="34">
        <f t="shared" si="9"/>
        <v>321600</v>
      </c>
      <c r="G147" s="37">
        <f t="shared" si="10"/>
        <v>4341600</v>
      </c>
      <c r="H147" s="35">
        <v>4341600</v>
      </c>
      <c r="I147" s="36">
        <f t="shared" si="11"/>
        <v>0</v>
      </c>
      <c r="J147" s="9">
        <v>45868</v>
      </c>
      <c r="K147" s="2" t="s">
        <v>332</v>
      </c>
    </row>
    <row r="148" spans="1:14" ht="15" hidden="1" customHeight="1" x14ac:dyDescent="0.3">
      <c r="A148" s="30" t="s">
        <v>23</v>
      </c>
      <c r="B148" s="31" t="s">
        <v>221</v>
      </c>
      <c r="C148" s="32" t="s">
        <v>213</v>
      </c>
      <c r="D148" s="33"/>
      <c r="E148" s="29">
        <v>13970000</v>
      </c>
      <c r="F148" s="34">
        <f t="shared" si="9"/>
        <v>1117600</v>
      </c>
      <c r="G148" s="37">
        <f t="shared" si="10"/>
        <v>15087600</v>
      </c>
      <c r="H148" s="35">
        <v>15087600</v>
      </c>
      <c r="I148" s="36">
        <f t="shared" si="11"/>
        <v>0</v>
      </c>
      <c r="J148" s="9">
        <v>45868</v>
      </c>
      <c r="K148" s="2" t="s">
        <v>332</v>
      </c>
    </row>
    <row r="149" spans="1:14" ht="15" hidden="1" customHeight="1" x14ac:dyDescent="0.3">
      <c r="A149" s="30" t="s">
        <v>27</v>
      </c>
      <c r="B149" s="31" t="s">
        <v>221</v>
      </c>
      <c r="C149" s="32" t="s">
        <v>214</v>
      </c>
      <c r="D149" s="33"/>
      <c r="E149" s="29">
        <v>6005000</v>
      </c>
      <c r="F149" s="34">
        <f t="shared" si="9"/>
        <v>480400</v>
      </c>
      <c r="G149" s="37">
        <f t="shared" si="10"/>
        <v>6485400</v>
      </c>
      <c r="H149" s="35">
        <v>6485400</v>
      </c>
      <c r="I149" s="36">
        <f t="shared" si="11"/>
        <v>0</v>
      </c>
      <c r="J149" s="9">
        <v>45868</v>
      </c>
      <c r="K149" s="2" t="s">
        <v>332</v>
      </c>
    </row>
    <row r="150" spans="1:14" s="57" customFormat="1" ht="15" hidden="1" customHeight="1" x14ac:dyDescent="0.3">
      <c r="A150" s="48" t="s">
        <v>18</v>
      </c>
      <c r="B150" s="49" t="s">
        <v>222</v>
      </c>
      <c r="C150" s="60" t="s">
        <v>215</v>
      </c>
      <c r="D150" s="50"/>
      <c r="E150" s="51">
        <v>2040000</v>
      </c>
      <c r="F150" s="52">
        <f t="shared" si="9"/>
        <v>163200</v>
      </c>
      <c r="G150" s="53">
        <f t="shared" si="10"/>
        <v>2203200</v>
      </c>
      <c r="H150" s="54">
        <v>2203200</v>
      </c>
      <c r="I150" s="55">
        <f t="shared" si="11"/>
        <v>0</v>
      </c>
      <c r="J150" s="56">
        <v>45868</v>
      </c>
      <c r="K150" s="57" t="s">
        <v>332</v>
      </c>
      <c r="L150" s="58" t="s">
        <v>224</v>
      </c>
      <c r="M150" s="58"/>
      <c r="N150" s="59">
        <v>494019000</v>
      </c>
    </row>
    <row r="151" spans="1:14" ht="15" hidden="1" customHeight="1" x14ac:dyDescent="0.3">
      <c r="A151" s="30" t="s">
        <v>28</v>
      </c>
      <c r="B151" s="31" t="s">
        <v>238</v>
      </c>
      <c r="C151" s="32" t="s">
        <v>225</v>
      </c>
      <c r="D151" s="33"/>
      <c r="E151" s="29">
        <v>3000000</v>
      </c>
      <c r="F151" s="34">
        <f t="shared" si="9"/>
        <v>240000</v>
      </c>
      <c r="G151" s="37">
        <f t="shared" si="10"/>
        <v>3240000</v>
      </c>
      <c r="H151" s="35">
        <v>3240000</v>
      </c>
      <c r="I151" s="36">
        <f t="shared" si="11"/>
        <v>0</v>
      </c>
      <c r="J151" s="9">
        <v>45868</v>
      </c>
      <c r="K151" s="2" t="s">
        <v>332</v>
      </c>
    </row>
    <row r="152" spans="1:14" ht="15" hidden="1" customHeight="1" x14ac:dyDescent="0.3">
      <c r="A152" s="30" t="s">
        <v>23</v>
      </c>
      <c r="B152" s="31" t="s">
        <v>238</v>
      </c>
      <c r="C152" s="32" t="s">
        <v>226</v>
      </c>
      <c r="D152" s="33"/>
      <c r="E152" s="29">
        <v>3005000</v>
      </c>
      <c r="F152" s="34">
        <f t="shared" si="9"/>
        <v>240400</v>
      </c>
      <c r="G152" s="37">
        <f t="shared" si="10"/>
        <v>3245400</v>
      </c>
      <c r="H152" s="35">
        <v>3245400</v>
      </c>
      <c r="I152" s="36">
        <f t="shared" si="11"/>
        <v>0</v>
      </c>
      <c r="J152" s="9">
        <v>45868</v>
      </c>
      <c r="K152" s="2" t="s">
        <v>332</v>
      </c>
    </row>
    <row r="153" spans="1:14" ht="15" hidden="1" customHeight="1" x14ac:dyDescent="0.3">
      <c r="A153" s="30" t="s">
        <v>24</v>
      </c>
      <c r="B153" s="31" t="s">
        <v>239</v>
      </c>
      <c r="C153" s="32" t="s">
        <v>227</v>
      </c>
      <c r="D153" s="33"/>
      <c r="E153" s="29">
        <v>1920000</v>
      </c>
      <c r="F153" s="34">
        <f t="shared" si="9"/>
        <v>153600</v>
      </c>
      <c r="G153" s="37">
        <f t="shared" si="10"/>
        <v>2073600</v>
      </c>
      <c r="H153" s="35">
        <v>2073600</v>
      </c>
      <c r="I153" s="36">
        <f t="shared" si="11"/>
        <v>0</v>
      </c>
      <c r="J153" s="9">
        <v>45868</v>
      </c>
      <c r="K153" s="2" t="s">
        <v>332</v>
      </c>
    </row>
    <row r="154" spans="1:14" ht="15" hidden="1" customHeight="1" x14ac:dyDescent="0.3">
      <c r="A154" s="30" t="s">
        <v>23</v>
      </c>
      <c r="B154" s="31" t="s">
        <v>240</v>
      </c>
      <c r="C154" s="32" t="s">
        <v>228</v>
      </c>
      <c r="D154" s="33"/>
      <c r="E154" s="29">
        <v>3860000</v>
      </c>
      <c r="F154" s="34">
        <f t="shared" si="9"/>
        <v>308800</v>
      </c>
      <c r="G154" s="37">
        <f t="shared" si="10"/>
        <v>4168800</v>
      </c>
      <c r="H154" s="35">
        <v>4168800</v>
      </c>
      <c r="I154" s="36">
        <f t="shared" si="11"/>
        <v>0</v>
      </c>
      <c r="J154" s="9">
        <v>45868</v>
      </c>
      <c r="K154" s="2" t="s">
        <v>332</v>
      </c>
    </row>
    <row r="155" spans="1:14" ht="15" hidden="1" customHeight="1" x14ac:dyDescent="0.3">
      <c r="A155" s="30" t="s">
        <v>32</v>
      </c>
      <c r="B155" s="31" t="s">
        <v>241</v>
      </c>
      <c r="C155" s="32" t="s">
        <v>229</v>
      </c>
      <c r="D155" s="33"/>
      <c r="E155" s="29">
        <v>6935000</v>
      </c>
      <c r="F155" s="34">
        <f t="shared" si="9"/>
        <v>554800</v>
      </c>
      <c r="G155" s="37">
        <f t="shared" si="10"/>
        <v>7489800</v>
      </c>
      <c r="H155" s="35">
        <v>7489800</v>
      </c>
      <c r="I155" s="36">
        <f t="shared" si="11"/>
        <v>0</v>
      </c>
      <c r="J155" s="9">
        <v>45868</v>
      </c>
      <c r="K155" s="2" t="s">
        <v>332</v>
      </c>
    </row>
    <row r="156" spans="1:14" ht="15" hidden="1" customHeight="1" x14ac:dyDescent="0.3">
      <c r="A156" s="30" t="s">
        <v>26</v>
      </c>
      <c r="B156" s="31" t="s">
        <v>241</v>
      </c>
      <c r="C156" s="32" t="s">
        <v>230</v>
      </c>
      <c r="D156" s="33"/>
      <c r="E156" s="29">
        <v>6690000</v>
      </c>
      <c r="F156" s="34">
        <f t="shared" si="9"/>
        <v>535200</v>
      </c>
      <c r="G156" s="37">
        <f t="shared" si="10"/>
        <v>7225200</v>
      </c>
      <c r="H156" s="35">
        <v>7225200</v>
      </c>
      <c r="I156" s="36">
        <f t="shared" si="11"/>
        <v>0</v>
      </c>
      <c r="J156" s="9">
        <v>45868</v>
      </c>
    </row>
    <row r="157" spans="1:14" ht="15" hidden="1" customHeight="1" x14ac:dyDescent="0.3">
      <c r="A157" s="30" t="s">
        <v>48</v>
      </c>
      <c r="B157" s="31" t="s">
        <v>241</v>
      </c>
      <c r="C157" s="32" t="s">
        <v>231</v>
      </c>
      <c r="D157" s="33"/>
      <c r="E157" s="29">
        <v>5505000</v>
      </c>
      <c r="F157" s="34">
        <f t="shared" si="9"/>
        <v>440400</v>
      </c>
      <c r="G157" s="37">
        <f t="shared" si="10"/>
        <v>5945400</v>
      </c>
      <c r="H157" s="35">
        <v>5945400</v>
      </c>
      <c r="I157" s="36">
        <f t="shared" si="11"/>
        <v>0</v>
      </c>
      <c r="J157" s="9">
        <v>45880</v>
      </c>
      <c r="K157" s="2" t="s">
        <v>332</v>
      </c>
    </row>
    <row r="158" spans="1:14" ht="15" hidden="1" customHeight="1" x14ac:dyDescent="0.3">
      <c r="A158" s="30" t="s">
        <v>25</v>
      </c>
      <c r="B158" s="31" t="s">
        <v>241</v>
      </c>
      <c r="C158" s="32" t="s">
        <v>232</v>
      </c>
      <c r="D158" s="33"/>
      <c r="E158" s="29">
        <v>1755000</v>
      </c>
      <c r="F158" s="34">
        <f t="shared" si="9"/>
        <v>140400</v>
      </c>
      <c r="G158" s="37">
        <f t="shared" si="10"/>
        <v>1895400</v>
      </c>
      <c r="H158" s="35">
        <v>1895400</v>
      </c>
      <c r="I158" s="36">
        <f t="shared" si="11"/>
        <v>0</v>
      </c>
      <c r="J158" s="9">
        <v>45880</v>
      </c>
      <c r="K158" s="2" t="s">
        <v>332</v>
      </c>
    </row>
    <row r="159" spans="1:14" ht="15" hidden="1" customHeight="1" x14ac:dyDescent="0.3">
      <c r="A159" s="30" t="s">
        <v>19</v>
      </c>
      <c r="B159" s="31" t="s">
        <v>241</v>
      </c>
      <c r="C159" s="32" t="s">
        <v>233</v>
      </c>
      <c r="D159" s="33"/>
      <c r="E159" s="29">
        <v>1755000</v>
      </c>
      <c r="F159" s="34">
        <f t="shared" si="9"/>
        <v>140400</v>
      </c>
      <c r="G159" s="37">
        <f t="shared" si="10"/>
        <v>1895400</v>
      </c>
      <c r="H159" s="35">
        <v>1895400</v>
      </c>
      <c r="I159" s="36">
        <f t="shared" si="11"/>
        <v>0</v>
      </c>
      <c r="J159" s="9">
        <v>45880</v>
      </c>
      <c r="K159" s="2" t="s">
        <v>332</v>
      </c>
    </row>
    <row r="160" spans="1:14" ht="15" hidden="1" customHeight="1" x14ac:dyDescent="0.3">
      <c r="A160" s="30" t="s">
        <v>18</v>
      </c>
      <c r="B160" s="31" t="s">
        <v>241</v>
      </c>
      <c r="C160" s="32" t="s">
        <v>234</v>
      </c>
      <c r="D160" s="33"/>
      <c r="E160" s="29">
        <v>2960000</v>
      </c>
      <c r="F160" s="34">
        <f t="shared" si="9"/>
        <v>236800</v>
      </c>
      <c r="G160" s="37">
        <f t="shared" si="10"/>
        <v>3196800</v>
      </c>
      <c r="H160" s="35">
        <v>3196800</v>
      </c>
      <c r="I160" s="36">
        <f t="shared" si="11"/>
        <v>0</v>
      </c>
      <c r="J160" s="9">
        <v>45880</v>
      </c>
      <c r="K160" s="2" t="s">
        <v>332</v>
      </c>
    </row>
    <row r="161" spans="1:12" ht="15" hidden="1" customHeight="1" x14ac:dyDescent="0.3">
      <c r="A161" s="30" t="s">
        <v>21</v>
      </c>
      <c r="B161" s="31" t="s">
        <v>241</v>
      </c>
      <c r="C161" s="32" t="s">
        <v>235</v>
      </c>
      <c r="D161" s="33"/>
      <c r="E161" s="29">
        <v>5790000</v>
      </c>
      <c r="F161" s="34">
        <f t="shared" si="9"/>
        <v>463200</v>
      </c>
      <c r="G161" s="37">
        <f t="shared" si="10"/>
        <v>6253200</v>
      </c>
      <c r="H161" s="35">
        <v>6253200</v>
      </c>
      <c r="I161" s="36">
        <f t="shared" si="11"/>
        <v>0</v>
      </c>
      <c r="J161" s="9">
        <v>45868</v>
      </c>
      <c r="K161" s="2" t="s">
        <v>332</v>
      </c>
    </row>
    <row r="162" spans="1:12" ht="15" hidden="1" customHeight="1" x14ac:dyDescent="0.3">
      <c r="A162" s="30" t="s">
        <v>20</v>
      </c>
      <c r="B162" s="31" t="s">
        <v>242</v>
      </c>
      <c r="C162" s="32" t="s">
        <v>236</v>
      </c>
      <c r="D162" s="33"/>
      <c r="E162" s="29">
        <v>9120000</v>
      </c>
      <c r="F162" s="34">
        <f t="shared" si="9"/>
        <v>729600</v>
      </c>
      <c r="G162" s="37">
        <f t="shared" si="10"/>
        <v>9849600</v>
      </c>
      <c r="H162" s="35">
        <v>9849600</v>
      </c>
      <c r="I162" s="36">
        <f t="shared" si="11"/>
        <v>0</v>
      </c>
      <c r="J162" s="9">
        <v>45880</v>
      </c>
      <c r="K162" s="2" t="s">
        <v>332</v>
      </c>
    </row>
    <row r="163" spans="1:12" ht="15" hidden="1" customHeight="1" x14ac:dyDescent="0.3">
      <c r="A163" s="30" t="s">
        <v>22</v>
      </c>
      <c r="B163" s="31" t="s">
        <v>242</v>
      </c>
      <c r="C163" s="32" t="s">
        <v>237</v>
      </c>
      <c r="D163" s="33"/>
      <c r="E163" s="29">
        <v>1755000</v>
      </c>
      <c r="F163" s="34">
        <f t="shared" ref="F163:F213" si="12">+E163*0.08</f>
        <v>140400</v>
      </c>
      <c r="G163" s="37">
        <f t="shared" ref="G163:G213" si="13">E163+F163</f>
        <v>1895400</v>
      </c>
      <c r="H163" s="35">
        <v>1895400</v>
      </c>
      <c r="I163" s="36">
        <f t="shared" ref="I163:I213" si="14">G163-H163</f>
        <v>0</v>
      </c>
      <c r="J163" s="9">
        <v>45880</v>
      </c>
      <c r="K163" s="2" t="s">
        <v>332</v>
      </c>
    </row>
    <row r="164" spans="1:12" ht="15" hidden="1" customHeight="1" x14ac:dyDescent="0.3">
      <c r="A164" s="30" t="s">
        <v>243</v>
      </c>
      <c r="B164" s="31">
        <v>45825</v>
      </c>
      <c r="C164" s="33" t="s">
        <v>247</v>
      </c>
      <c r="D164" s="33"/>
      <c r="E164" s="29">
        <v>-1400000</v>
      </c>
      <c r="F164" s="34">
        <f t="shared" si="12"/>
        <v>-112000</v>
      </c>
      <c r="G164" s="37">
        <v>-1512000</v>
      </c>
      <c r="H164" s="35">
        <v>-1512000</v>
      </c>
      <c r="I164" s="36">
        <f t="shared" si="14"/>
        <v>0</v>
      </c>
      <c r="J164" s="9">
        <v>45818</v>
      </c>
    </row>
    <row r="165" spans="1:12" ht="15" hidden="1" customHeight="1" x14ac:dyDescent="0.3">
      <c r="A165" s="30" t="s">
        <v>23</v>
      </c>
      <c r="B165" s="31">
        <v>45821</v>
      </c>
      <c r="C165" s="32" t="s">
        <v>244</v>
      </c>
      <c r="D165" s="33"/>
      <c r="E165" s="29">
        <v>12710000</v>
      </c>
      <c r="F165" s="34">
        <f t="shared" si="12"/>
        <v>1016800</v>
      </c>
      <c r="G165" s="37">
        <f t="shared" si="13"/>
        <v>13726800</v>
      </c>
      <c r="H165" s="35">
        <v>13726800</v>
      </c>
      <c r="I165" s="36">
        <f t="shared" si="14"/>
        <v>0</v>
      </c>
      <c r="J165" s="9">
        <v>45880</v>
      </c>
      <c r="K165" s="2" t="s">
        <v>332</v>
      </c>
    </row>
    <row r="166" spans="1:12" ht="15" hidden="1" customHeight="1" x14ac:dyDescent="0.3">
      <c r="A166" s="30" t="s">
        <v>21</v>
      </c>
      <c r="B166" s="31">
        <v>45821</v>
      </c>
      <c r="C166" s="32" t="s">
        <v>245</v>
      </c>
      <c r="D166" s="33"/>
      <c r="E166" s="29">
        <v>2000000</v>
      </c>
      <c r="F166" s="34">
        <f t="shared" si="12"/>
        <v>160000</v>
      </c>
      <c r="G166" s="37">
        <f t="shared" si="13"/>
        <v>2160000</v>
      </c>
      <c r="H166" s="35">
        <v>2160000</v>
      </c>
      <c r="I166" s="36">
        <f t="shared" si="14"/>
        <v>0</v>
      </c>
      <c r="J166" s="9">
        <v>45880</v>
      </c>
      <c r="K166" s="2" t="s">
        <v>332</v>
      </c>
      <c r="L166" s="58" t="s">
        <v>246</v>
      </c>
    </row>
    <row r="167" spans="1:12" ht="15" hidden="1" customHeight="1" x14ac:dyDescent="0.3">
      <c r="A167" s="30" t="s">
        <v>21</v>
      </c>
      <c r="B167" s="31" t="s">
        <v>260</v>
      </c>
      <c r="C167" s="33" t="s">
        <v>248</v>
      </c>
      <c r="D167" s="33" t="s">
        <v>273</v>
      </c>
      <c r="E167" s="29"/>
      <c r="F167" s="34"/>
      <c r="G167" s="37">
        <f t="shared" si="13"/>
        <v>0</v>
      </c>
      <c r="H167" s="35"/>
      <c r="I167" s="36">
        <f t="shared" si="14"/>
        <v>0</v>
      </c>
    </row>
    <row r="168" spans="1:12" ht="15" hidden="1" customHeight="1" x14ac:dyDescent="0.3">
      <c r="A168" s="30" t="s">
        <v>21</v>
      </c>
      <c r="B168" s="31" t="s">
        <v>260</v>
      </c>
      <c r="C168" s="32" t="s">
        <v>249</v>
      </c>
      <c r="D168" s="33"/>
      <c r="E168" s="29">
        <v>5385000</v>
      </c>
      <c r="F168" s="34">
        <f t="shared" si="12"/>
        <v>430800</v>
      </c>
      <c r="G168" s="37">
        <f t="shared" si="13"/>
        <v>5815800</v>
      </c>
      <c r="H168" s="35">
        <v>5815800</v>
      </c>
      <c r="I168" s="36">
        <f t="shared" si="14"/>
        <v>0</v>
      </c>
      <c r="J168" s="9">
        <v>45880</v>
      </c>
      <c r="K168" s="2" t="s">
        <v>332</v>
      </c>
    </row>
    <row r="169" spans="1:12" ht="15" hidden="1" customHeight="1" x14ac:dyDescent="0.3">
      <c r="A169" s="30" t="s">
        <v>23</v>
      </c>
      <c r="B169" s="31" t="s">
        <v>260</v>
      </c>
      <c r="C169" s="32" t="s">
        <v>250</v>
      </c>
      <c r="D169" s="33"/>
      <c r="E169" s="29">
        <v>9675000</v>
      </c>
      <c r="F169" s="34">
        <f t="shared" si="12"/>
        <v>774000</v>
      </c>
      <c r="G169" s="37">
        <f t="shared" si="13"/>
        <v>10449000</v>
      </c>
      <c r="H169" s="35">
        <v>10449000</v>
      </c>
      <c r="I169" s="36">
        <f t="shared" si="14"/>
        <v>0</v>
      </c>
      <c r="J169" s="9">
        <v>45880</v>
      </c>
      <c r="K169" s="2" t="s">
        <v>332</v>
      </c>
    </row>
    <row r="170" spans="1:12" ht="15" hidden="1" customHeight="1" x14ac:dyDescent="0.3">
      <c r="A170" s="30" t="s">
        <v>25</v>
      </c>
      <c r="B170" s="31" t="s">
        <v>260</v>
      </c>
      <c r="C170" s="32" t="s">
        <v>251</v>
      </c>
      <c r="D170" s="33"/>
      <c r="E170" s="29">
        <v>2970000</v>
      </c>
      <c r="F170" s="34">
        <f t="shared" si="12"/>
        <v>237600</v>
      </c>
      <c r="G170" s="37">
        <f t="shared" si="13"/>
        <v>3207600</v>
      </c>
      <c r="H170" s="35">
        <v>3207600</v>
      </c>
      <c r="I170" s="36">
        <f t="shared" si="14"/>
        <v>0</v>
      </c>
      <c r="J170" s="9">
        <v>45880</v>
      </c>
      <c r="K170" s="2" t="s">
        <v>332</v>
      </c>
    </row>
    <row r="171" spans="1:12" ht="15" hidden="1" customHeight="1" x14ac:dyDescent="0.3">
      <c r="A171" s="30" t="s">
        <v>27</v>
      </c>
      <c r="B171" s="31" t="s">
        <v>260</v>
      </c>
      <c r="C171" s="32" t="s">
        <v>252</v>
      </c>
      <c r="D171" s="33"/>
      <c r="E171" s="29">
        <v>2970000</v>
      </c>
      <c r="F171" s="34">
        <f t="shared" si="12"/>
        <v>237600</v>
      </c>
      <c r="G171" s="37">
        <f t="shared" si="13"/>
        <v>3207600</v>
      </c>
      <c r="H171" s="35">
        <v>3207600</v>
      </c>
      <c r="I171" s="36">
        <f t="shared" si="14"/>
        <v>0</v>
      </c>
      <c r="J171" s="9">
        <v>45880</v>
      </c>
      <c r="K171" s="2" t="s">
        <v>332</v>
      </c>
    </row>
    <row r="172" spans="1:12" ht="15" hidden="1" customHeight="1" x14ac:dyDescent="0.3">
      <c r="A172" s="30" t="s">
        <v>48</v>
      </c>
      <c r="B172" s="31" t="s">
        <v>260</v>
      </c>
      <c r="C172" s="32" t="s">
        <v>253</v>
      </c>
      <c r="D172" s="33"/>
      <c r="E172" s="29">
        <v>3885000</v>
      </c>
      <c r="F172" s="34">
        <f t="shared" si="12"/>
        <v>310800</v>
      </c>
      <c r="G172" s="37">
        <f t="shared" si="13"/>
        <v>4195800</v>
      </c>
      <c r="H172" s="37">
        <v>4195800</v>
      </c>
      <c r="I172" s="36">
        <f t="shared" si="14"/>
        <v>0</v>
      </c>
      <c r="J172" s="9">
        <v>45880</v>
      </c>
      <c r="K172" s="2" t="s">
        <v>332</v>
      </c>
    </row>
    <row r="173" spans="1:12" ht="15" hidden="1" customHeight="1" x14ac:dyDescent="0.3">
      <c r="A173" s="30" t="s">
        <v>26</v>
      </c>
      <c r="B173" s="31" t="s">
        <v>260</v>
      </c>
      <c r="C173" s="32" t="s">
        <v>254</v>
      </c>
      <c r="D173" s="33"/>
      <c r="E173" s="29">
        <v>3560000</v>
      </c>
      <c r="F173" s="34">
        <f t="shared" si="12"/>
        <v>284800</v>
      </c>
      <c r="G173" s="37">
        <f t="shared" si="13"/>
        <v>3844800</v>
      </c>
      <c r="H173" s="35">
        <v>3844800</v>
      </c>
      <c r="I173" s="36">
        <f t="shared" si="14"/>
        <v>0</v>
      </c>
      <c r="J173" s="9">
        <v>45880</v>
      </c>
    </row>
    <row r="174" spans="1:12" ht="15" hidden="1" customHeight="1" x14ac:dyDescent="0.3">
      <c r="A174" s="30" t="s">
        <v>32</v>
      </c>
      <c r="B174" s="31" t="s">
        <v>260</v>
      </c>
      <c r="C174" s="32" t="s">
        <v>255</v>
      </c>
      <c r="D174" s="33"/>
      <c r="E174" s="29">
        <v>4715000</v>
      </c>
      <c r="F174" s="34">
        <f t="shared" si="12"/>
        <v>377200</v>
      </c>
      <c r="G174" s="37">
        <f t="shared" si="13"/>
        <v>5092200</v>
      </c>
      <c r="H174" s="35">
        <v>5092200</v>
      </c>
      <c r="I174" s="36">
        <f t="shared" si="14"/>
        <v>0</v>
      </c>
      <c r="J174" s="9">
        <v>45880</v>
      </c>
      <c r="K174" s="2" t="s">
        <v>332</v>
      </c>
    </row>
    <row r="175" spans="1:12" ht="15" hidden="1" customHeight="1" x14ac:dyDescent="0.3">
      <c r="A175" s="30" t="s">
        <v>19</v>
      </c>
      <c r="B175" s="31" t="s">
        <v>260</v>
      </c>
      <c r="C175" s="32" t="s">
        <v>256</v>
      </c>
      <c r="D175" s="33"/>
      <c r="E175" s="29">
        <v>2000000</v>
      </c>
      <c r="F175" s="34">
        <f t="shared" si="12"/>
        <v>160000</v>
      </c>
      <c r="G175" s="37">
        <f t="shared" si="13"/>
        <v>2160000</v>
      </c>
      <c r="H175" s="35">
        <v>2160000</v>
      </c>
      <c r="I175" s="36">
        <f t="shared" si="14"/>
        <v>0</v>
      </c>
      <c r="J175" s="9">
        <v>45880</v>
      </c>
      <c r="K175" s="2" t="s">
        <v>332</v>
      </c>
    </row>
    <row r="176" spans="1:12" ht="15" hidden="1" customHeight="1" x14ac:dyDescent="0.3">
      <c r="A176" s="30" t="s">
        <v>45</v>
      </c>
      <c r="B176" s="31" t="s">
        <v>261</v>
      </c>
      <c r="C176" s="32" t="s">
        <v>257</v>
      </c>
      <c r="D176" s="33"/>
      <c r="E176" s="29">
        <v>3810000</v>
      </c>
      <c r="F176" s="34">
        <f t="shared" si="12"/>
        <v>304800</v>
      </c>
      <c r="G176" s="37">
        <f t="shared" si="13"/>
        <v>4114800</v>
      </c>
      <c r="H176" s="35">
        <v>4114800</v>
      </c>
      <c r="I176" s="36">
        <f t="shared" si="14"/>
        <v>0</v>
      </c>
      <c r="J176" s="9">
        <v>45898</v>
      </c>
      <c r="K176" s="2" t="s">
        <v>332</v>
      </c>
    </row>
    <row r="177" spans="1:12" ht="15" hidden="1" customHeight="1" x14ac:dyDescent="0.3">
      <c r="A177" s="30" t="s">
        <v>25</v>
      </c>
      <c r="B177" s="31" t="s">
        <v>261</v>
      </c>
      <c r="C177" s="32" t="s">
        <v>258</v>
      </c>
      <c r="D177" s="33"/>
      <c r="E177" s="29">
        <v>1800000</v>
      </c>
      <c r="F177" s="34">
        <f t="shared" si="12"/>
        <v>144000</v>
      </c>
      <c r="G177" s="37">
        <f t="shared" si="13"/>
        <v>1944000</v>
      </c>
      <c r="H177" s="35">
        <v>1944000</v>
      </c>
      <c r="I177" s="36">
        <f t="shared" si="14"/>
        <v>0</v>
      </c>
      <c r="J177" s="9">
        <v>45880</v>
      </c>
      <c r="K177" s="2" t="s">
        <v>332</v>
      </c>
    </row>
    <row r="178" spans="1:12" ht="15" hidden="1" customHeight="1" x14ac:dyDescent="0.3">
      <c r="A178" s="30" t="s">
        <v>17</v>
      </c>
      <c r="B178" s="31" t="s">
        <v>261</v>
      </c>
      <c r="C178" s="32" t="s">
        <v>259</v>
      </c>
      <c r="D178" s="33"/>
      <c r="E178" s="29">
        <v>12255000</v>
      </c>
      <c r="F178" s="34">
        <f t="shared" si="12"/>
        <v>980400</v>
      </c>
      <c r="G178" s="37">
        <f t="shared" si="13"/>
        <v>13235400</v>
      </c>
      <c r="H178" s="35">
        <v>13235400</v>
      </c>
      <c r="I178" s="36">
        <f t="shared" si="14"/>
        <v>0</v>
      </c>
      <c r="J178" s="9">
        <v>45880</v>
      </c>
      <c r="K178" s="2" t="s">
        <v>332</v>
      </c>
    </row>
    <row r="179" spans="1:12" ht="15" hidden="1" customHeight="1" x14ac:dyDescent="0.3">
      <c r="A179" s="30" t="s">
        <v>17</v>
      </c>
      <c r="B179" s="31" t="s">
        <v>271</v>
      </c>
      <c r="C179" s="32" t="s">
        <v>262</v>
      </c>
      <c r="D179" s="33"/>
      <c r="E179" s="29">
        <v>19080000</v>
      </c>
      <c r="F179" s="34">
        <f t="shared" si="12"/>
        <v>1526400</v>
      </c>
      <c r="G179" s="37">
        <f t="shared" si="13"/>
        <v>20606400</v>
      </c>
      <c r="H179" s="35">
        <v>20606400</v>
      </c>
      <c r="I179" s="36">
        <f t="shared" si="14"/>
        <v>0</v>
      </c>
      <c r="J179" s="9">
        <v>45880</v>
      </c>
      <c r="K179" s="2" t="s">
        <v>332</v>
      </c>
    </row>
    <row r="180" spans="1:12" ht="15" hidden="1" customHeight="1" x14ac:dyDescent="0.3">
      <c r="A180" s="30" t="s">
        <v>21</v>
      </c>
      <c r="B180" s="31" t="s">
        <v>271</v>
      </c>
      <c r="C180" s="32" t="s">
        <v>263</v>
      </c>
      <c r="D180" s="33"/>
      <c r="E180" s="29">
        <v>3855000</v>
      </c>
      <c r="F180" s="34">
        <f t="shared" si="12"/>
        <v>308400</v>
      </c>
      <c r="G180" s="37">
        <f t="shared" si="13"/>
        <v>4163400</v>
      </c>
      <c r="H180" s="35">
        <v>4163400</v>
      </c>
      <c r="I180" s="36">
        <f t="shared" si="14"/>
        <v>0</v>
      </c>
      <c r="J180" s="9">
        <v>45880</v>
      </c>
      <c r="K180" s="2" t="s">
        <v>332</v>
      </c>
    </row>
    <row r="181" spans="1:12" ht="15" hidden="1" customHeight="1" x14ac:dyDescent="0.3">
      <c r="A181" s="30" t="s">
        <v>23</v>
      </c>
      <c r="B181" s="31" t="s">
        <v>271</v>
      </c>
      <c r="C181" s="32" t="s">
        <v>264</v>
      </c>
      <c r="D181" s="33"/>
      <c r="E181" s="29">
        <v>6515000</v>
      </c>
      <c r="F181" s="34">
        <f t="shared" si="12"/>
        <v>521200</v>
      </c>
      <c r="G181" s="37">
        <f t="shared" si="13"/>
        <v>7036200</v>
      </c>
      <c r="H181" s="35">
        <v>7036200</v>
      </c>
      <c r="I181" s="36">
        <f t="shared" si="14"/>
        <v>0</v>
      </c>
      <c r="J181" s="9">
        <v>45880</v>
      </c>
      <c r="K181" s="2" t="s">
        <v>332</v>
      </c>
    </row>
    <row r="182" spans="1:12" ht="15" hidden="1" customHeight="1" x14ac:dyDescent="0.3">
      <c r="A182" s="30" t="s">
        <v>25</v>
      </c>
      <c r="B182" s="31" t="s">
        <v>271</v>
      </c>
      <c r="C182" s="32" t="s">
        <v>265</v>
      </c>
      <c r="D182" s="33"/>
      <c r="E182" s="29">
        <v>1920000</v>
      </c>
      <c r="F182" s="34">
        <f t="shared" si="12"/>
        <v>153600</v>
      </c>
      <c r="G182" s="37">
        <f t="shared" si="13"/>
        <v>2073600</v>
      </c>
      <c r="H182" s="35">
        <v>2073600</v>
      </c>
      <c r="I182" s="36">
        <f t="shared" si="14"/>
        <v>0</v>
      </c>
      <c r="J182" s="9">
        <v>45880</v>
      </c>
      <c r="K182" s="2" t="s">
        <v>332</v>
      </c>
    </row>
    <row r="183" spans="1:12" ht="15" hidden="1" customHeight="1" x14ac:dyDescent="0.3">
      <c r="A183" s="30" t="s">
        <v>27</v>
      </c>
      <c r="B183" s="31" t="s">
        <v>271</v>
      </c>
      <c r="C183" s="32" t="s">
        <v>266</v>
      </c>
      <c r="D183" s="33"/>
      <c r="E183" s="29">
        <v>5010000</v>
      </c>
      <c r="F183" s="34">
        <f t="shared" si="12"/>
        <v>400800</v>
      </c>
      <c r="G183" s="37">
        <f t="shared" si="13"/>
        <v>5410800</v>
      </c>
      <c r="H183" s="35">
        <v>5410800</v>
      </c>
      <c r="I183" s="36">
        <f t="shared" si="14"/>
        <v>0</v>
      </c>
      <c r="J183" s="9">
        <v>45880</v>
      </c>
      <c r="K183" s="2" t="s">
        <v>332</v>
      </c>
    </row>
    <row r="184" spans="1:12" ht="15" hidden="1" customHeight="1" x14ac:dyDescent="0.3">
      <c r="A184" s="30" t="s">
        <v>26</v>
      </c>
      <c r="B184" s="31">
        <v>45842</v>
      </c>
      <c r="C184" s="32" t="s">
        <v>267</v>
      </c>
      <c r="D184" s="32" t="s">
        <v>296</v>
      </c>
      <c r="E184" s="29">
        <v>4392500</v>
      </c>
      <c r="F184" s="34">
        <f t="shared" si="12"/>
        <v>351400</v>
      </c>
      <c r="G184" s="37">
        <f t="shared" si="13"/>
        <v>4743900</v>
      </c>
      <c r="H184" s="35">
        <v>4743900</v>
      </c>
      <c r="I184" s="36">
        <f t="shared" si="14"/>
        <v>0</v>
      </c>
      <c r="J184" s="9">
        <v>45898</v>
      </c>
    </row>
    <row r="185" spans="1:12" ht="15" hidden="1" customHeight="1" x14ac:dyDescent="0.3">
      <c r="A185" s="30" t="s">
        <v>32</v>
      </c>
      <c r="B185" s="31" t="s">
        <v>271</v>
      </c>
      <c r="C185" s="32" t="s">
        <v>268</v>
      </c>
      <c r="D185" s="33"/>
      <c r="E185" s="29">
        <v>8345000</v>
      </c>
      <c r="F185" s="34">
        <f t="shared" si="12"/>
        <v>667600</v>
      </c>
      <c r="G185" s="37">
        <f t="shared" si="13"/>
        <v>9012600</v>
      </c>
      <c r="H185" s="35">
        <v>9012600</v>
      </c>
      <c r="I185" s="36">
        <f t="shared" si="14"/>
        <v>0</v>
      </c>
      <c r="J185" s="9">
        <v>45880</v>
      </c>
      <c r="K185" s="2" t="s">
        <v>332</v>
      </c>
    </row>
    <row r="186" spans="1:12" ht="15" hidden="1" customHeight="1" x14ac:dyDescent="0.3">
      <c r="A186" s="30" t="s">
        <v>28</v>
      </c>
      <c r="B186" s="31" t="s">
        <v>272</v>
      </c>
      <c r="C186" s="32" t="s">
        <v>269</v>
      </c>
      <c r="D186" s="33"/>
      <c r="E186" s="29">
        <v>1965000</v>
      </c>
      <c r="F186" s="34">
        <f t="shared" si="12"/>
        <v>157200</v>
      </c>
      <c r="G186" s="37">
        <f t="shared" si="13"/>
        <v>2122200</v>
      </c>
      <c r="H186" s="35">
        <v>2122200</v>
      </c>
      <c r="I186" s="36">
        <f t="shared" si="14"/>
        <v>0</v>
      </c>
      <c r="J186" s="9">
        <v>45898</v>
      </c>
      <c r="K186" s="2" t="s">
        <v>419</v>
      </c>
    </row>
    <row r="187" spans="1:12" ht="15" hidden="1" customHeight="1" x14ac:dyDescent="0.3">
      <c r="A187" s="30" t="s">
        <v>23</v>
      </c>
      <c r="B187" s="31" t="s">
        <v>272</v>
      </c>
      <c r="C187" s="32" t="s">
        <v>270</v>
      </c>
      <c r="D187" s="33"/>
      <c r="E187" s="29">
        <v>2715000</v>
      </c>
      <c r="F187" s="34">
        <f t="shared" si="12"/>
        <v>217200</v>
      </c>
      <c r="G187" s="37">
        <f t="shared" si="13"/>
        <v>2932200</v>
      </c>
      <c r="H187" s="35">
        <v>2932200</v>
      </c>
      <c r="I187" s="36">
        <f t="shared" si="14"/>
        <v>0</v>
      </c>
      <c r="J187" s="9">
        <v>45880</v>
      </c>
      <c r="K187" s="2" t="s">
        <v>332</v>
      </c>
      <c r="L187" s="58" t="s">
        <v>274</v>
      </c>
    </row>
    <row r="188" spans="1:12" ht="15" hidden="1" customHeight="1" x14ac:dyDescent="0.3">
      <c r="A188" s="30" t="s">
        <v>24</v>
      </c>
      <c r="B188" s="31" t="s">
        <v>290</v>
      </c>
      <c r="C188" s="32" t="s">
        <v>275</v>
      </c>
      <c r="D188" s="33"/>
      <c r="E188" s="29">
        <v>3930000</v>
      </c>
      <c r="F188" s="34">
        <f t="shared" si="12"/>
        <v>314400</v>
      </c>
      <c r="G188" s="37">
        <f t="shared" si="13"/>
        <v>4244400</v>
      </c>
      <c r="H188" s="35">
        <v>4244400</v>
      </c>
      <c r="I188" s="36">
        <f t="shared" si="14"/>
        <v>0</v>
      </c>
      <c r="J188" s="9">
        <v>45898</v>
      </c>
      <c r="K188" s="2" t="s">
        <v>419</v>
      </c>
    </row>
    <row r="189" spans="1:12" ht="15" hidden="1" customHeight="1" x14ac:dyDescent="0.3">
      <c r="A189" s="30" t="s">
        <v>18</v>
      </c>
      <c r="B189" s="31" t="s">
        <v>290</v>
      </c>
      <c r="C189" s="32" t="s">
        <v>276</v>
      </c>
      <c r="D189" s="33"/>
      <c r="E189" s="29">
        <v>990000</v>
      </c>
      <c r="F189" s="34">
        <f t="shared" si="12"/>
        <v>79200</v>
      </c>
      <c r="G189" s="37">
        <f t="shared" si="13"/>
        <v>1069200</v>
      </c>
      <c r="H189" s="35">
        <v>1069200</v>
      </c>
      <c r="I189" s="36">
        <f t="shared" si="14"/>
        <v>0</v>
      </c>
      <c r="J189" s="9">
        <v>45898</v>
      </c>
      <c r="K189" s="2" t="s">
        <v>419</v>
      </c>
    </row>
    <row r="190" spans="1:12" ht="15" hidden="1" customHeight="1" x14ac:dyDescent="0.3">
      <c r="A190" s="30" t="s">
        <v>21</v>
      </c>
      <c r="B190" s="31" t="s">
        <v>291</v>
      </c>
      <c r="C190" s="32" t="s">
        <v>277</v>
      </c>
      <c r="D190" s="33"/>
      <c r="E190" s="29">
        <v>1790000</v>
      </c>
      <c r="F190" s="34">
        <f t="shared" si="12"/>
        <v>143200</v>
      </c>
      <c r="G190" s="37">
        <f t="shared" si="13"/>
        <v>1933200</v>
      </c>
      <c r="H190" s="35">
        <v>1933200</v>
      </c>
      <c r="I190" s="36">
        <f t="shared" si="14"/>
        <v>0</v>
      </c>
      <c r="J190" s="9">
        <v>45898</v>
      </c>
      <c r="K190" s="2" t="s">
        <v>419</v>
      </c>
    </row>
    <row r="191" spans="1:12" ht="15" hidden="1" customHeight="1" x14ac:dyDescent="0.3">
      <c r="A191" s="30" t="s">
        <v>19</v>
      </c>
      <c r="B191" s="31" t="s">
        <v>291</v>
      </c>
      <c r="C191" s="32" t="s">
        <v>278</v>
      </c>
      <c r="D191" s="33"/>
      <c r="E191" s="29">
        <v>1995000</v>
      </c>
      <c r="F191" s="34">
        <f t="shared" si="12"/>
        <v>159600</v>
      </c>
      <c r="G191" s="37">
        <f t="shared" si="13"/>
        <v>2154600</v>
      </c>
      <c r="H191" s="35">
        <v>2154600</v>
      </c>
      <c r="I191" s="36">
        <f t="shared" si="14"/>
        <v>0</v>
      </c>
      <c r="J191" s="9">
        <v>45898</v>
      </c>
      <c r="K191" s="2" t="s">
        <v>419</v>
      </c>
    </row>
    <row r="192" spans="1:12" ht="15" hidden="1" customHeight="1" x14ac:dyDescent="0.3">
      <c r="A192" s="30" t="s">
        <v>293</v>
      </c>
      <c r="B192" s="31" t="s">
        <v>291</v>
      </c>
      <c r="C192" s="32" t="s">
        <v>279</v>
      </c>
      <c r="D192" s="33"/>
      <c r="E192" s="29">
        <v>4090000</v>
      </c>
      <c r="F192" s="34">
        <f t="shared" si="12"/>
        <v>327200</v>
      </c>
      <c r="G192" s="37">
        <f t="shared" si="13"/>
        <v>4417200</v>
      </c>
      <c r="H192" s="35">
        <v>4417200</v>
      </c>
      <c r="I192" s="36">
        <f t="shared" si="14"/>
        <v>0</v>
      </c>
      <c r="J192" s="9">
        <v>45898</v>
      </c>
      <c r="K192" s="2" t="s">
        <v>419</v>
      </c>
    </row>
    <row r="193" spans="1:11" ht="15" hidden="1" customHeight="1" x14ac:dyDescent="0.3">
      <c r="A193" s="30" t="s">
        <v>25</v>
      </c>
      <c r="B193" s="31" t="s">
        <v>291</v>
      </c>
      <c r="C193" s="32" t="s">
        <v>280</v>
      </c>
      <c r="D193" s="33"/>
      <c r="E193" s="29">
        <v>1815000</v>
      </c>
      <c r="F193" s="34">
        <f t="shared" si="12"/>
        <v>145200</v>
      </c>
      <c r="G193" s="37">
        <f t="shared" si="13"/>
        <v>1960200</v>
      </c>
      <c r="H193" s="35">
        <v>1960200</v>
      </c>
      <c r="I193" s="36">
        <f t="shared" si="14"/>
        <v>0</v>
      </c>
      <c r="J193" s="9">
        <v>45898</v>
      </c>
      <c r="K193" s="2" t="s">
        <v>419</v>
      </c>
    </row>
    <row r="194" spans="1:11" ht="15" hidden="1" customHeight="1" x14ac:dyDescent="0.3">
      <c r="A194" s="30" t="s">
        <v>22</v>
      </c>
      <c r="B194" s="31" t="s">
        <v>291</v>
      </c>
      <c r="C194" s="32" t="s">
        <v>281</v>
      </c>
      <c r="D194" s="33"/>
      <c r="E194" s="29">
        <v>1980000</v>
      </c>
      <c r="F194" s="34">
        <f t="shared" si="12"/>
        <v>158400</v>
      </c>
      <c r="G194" s="37">
        <f t="shared" si="13"/>
        <v>2138400</v>
      </c>
      <c r="H194" s="35">
        <v>2138400</v>
      </c>
      <c r="I194" s="36">
        <f t="shared" si="14"/>
        <v>0</v>
      </c>
      <c r="J194" s="9">
        <v>45898</v>
      </c>
      <c r="K194" s="2" t="s">
        <v>419</v>
      </c>
    </row>
    <row r="195" spans="1:11" ht="15" hidden="1" customHeight="1" x14ac:dyDescent="0.3">
      <c r="A195" s="30" t="s">
        <v>294</v>
      </c>
      <c r="B195" s="31" t="s">
        <v>291</v>
      </c>
      <c r="C195" s="32" t="s">
        <v>282</v>
      </c>
      <c r="D195" s="33"/>
      <c r="E195" s="29">
        <v>2925000</v>
      </c>
      <c r="F195" s="34">
        <f t="shared" si="12"/>
        <v>234000</v>
      </c>
      <c r="G195" s="37">
        <f t="shared" si="13"/>
        <v>3159000</v>
      </c>
      <c r="H195" s="35">
        <v>3159000</v>
      </c>
      <c r="I195" s="36">
        <f t="shared" si="14"/>
        <v>0</v>
      </c>
      <c r="J195" s="9">
        <v>45898</v>
      </c>
      <c r="K195" s="2" t="s">
        <v>419</v>
      </c>
    </row>
    <row r="196" spans="1:11" ht="15" hidden="1" customHeight="1" x14ac:dyDescent="0.3">
      <c r="A196" s="30" t="s">
        <v>48</v>
      </c>
      <c r="B196" s="31" t="s">
        <v>291</v>
      </c>
      <c r="C196" s="32" t="s">
        <v>283</v>
      </c>
      <c r="D196" s="33"/>
      <c r="E196" s="29">
        <v>2010000</v>
      </c>
      <c r="F196" s="34">
        <f t="shared" si="12"/>
        <v>160800</v>
      </c>
      <c r="G196" s="37">
        <f t="shared" si="13"/>
        <v>2170800</v>
      </c>
      <c r="H196" s="35">
        <v>2170800</v>
      </c>
      <c r="I196" s="36">
        <f t="shared" si="14"/>
        <v>0</v>
      </c>
      <c r="J196" s="9">
        <v>45910</v>
      </c>
      <c r="K196" s="2" t="s">
        <v>419</v>
      </c>
    </row>
    <row r="197" spans="1:11" ht="15" hidden="1" customHeight="1" x14ac:dyDescent="0.3">
      <c r="A197" s="30" t="s">
        <v>26</v>
      </c>
      <c r="B197" s="31" t="s">
        <v>291</v>
      </c>
      <c r="C197" s="32" t="s">
        <v>284</v>
      </c>
      <c r="D197" s="33"/>
      <c r="E197" s="29">
        <v>4770000</v>
      </c>
      <c r="F197" s="34">
        <f t="shared" si="12"/>
        <v>381600</v>
      </c>
      <c r="G197" s="37">
        <f t="shared" si="13"/>
        <v>5151600</v>
      </c>
      <c r="H197" s="35">
        <v>5151600</v>
      </c>
      <c r="I197" s="36">
        <f t="shared" si="14"/>
        <v>0</v>
      </c>
      <c r="J197" s="9">
        <v>45898</v>
      </c>
    </row>
    <row r="198" spans="1:11" ht="15" hidden="1" customHeight="1" x14ac:dyDescent="0.3">
      <c r="A198" s="30" t="s">
        <v>32</v>
      </c>
      <c r="B198" s="31" t="s">
        <v>291</v>
      </c>
      <c r="C198" s="32" t="s">
        <v>285</v>
      </c>
      <c r="D198" s="33"/>
      <c r="E198" s="29">
        <v>7505000</v>
      </c>
      <c r="F198" s="34">
        <f t="shared" si="12"/>
        <v>600400</v>
      </c>
      <c r="G198" s="37">
        <f t="shared" si="13"/>
        <v>8105400</v>
      </c>
      <c r="H198" s="35">
        <v>8105400</v>
      </c>
      <c r="I198" s="36">
        <f t="shared" si="14"/>
        <v>0</v>
      </c>
      <c r="J198" s="9">
        <v>45898</v>
      </c>
      <c r="K198" s="2" t="s">
        <v>419</v>
      </c>
    </row>
    <row r="199" spans="1:11" ht="15" hidden="1" customHeight="1" x14ac:dyDescent="0.3">
      <c r="A199" s="30" t="s">
        <v>26</v>
      </c>
      <c r="B199" s="31" t="s">
        <v>292</v>
      </c>
      <c r="C199" s="32" t="s">
        <v>286</v>
      </c>
      <c r="D199" s="33"/>
      <c r="E199" s="29">
        <v>3390000</v>
      </c>
      <c r="F199" s="34">
        <f t="shared" si="12"/>
        <v>271200</v>
      </c>
      <c r="G199" s="37">
        <f t="shared" si="13"/>
        <v>3661200</v>
      </c>
      <c r="H199" s="35">
        <v>3661200</v>
      </c>
      <c r="I199" s="36">
        <f t="shared" si="14"/>
        <v>0</v>
      </c>
      <c r="J199" s="9">
        <v>45898</v>
      </c>
    </row>
    <row r="200" spans="1:11" ht="15" hidden="1" customHeight="1" x14ac:dyDescent="0.3">
      <c r="A200" s="30" t="s">
        <v>23</v>
      </c>
      <c r="B200" s="31" t="s">
        <v>292</v>
      </c>
      <c r="C200" s="32" t="s">
        <v>287</v>
      </c>
      <c r="D200" s="33"/>
      <c r="E200" s="29">
        <v>2820000</v>
      </c>
      <c r="F200" s="34">
        <f t="shared" si="12"/>
        <v>225600</v>
      </c>
      <c r="G200" s="37">
        <f t="shared" si="13"/>
        <v>3045600</v>
      </c>
      <c r="H200" s="35">
        <v>3045600</v>
      </c>
      <c r="I200" s="36">
        <f t="shared" si="14"/>
        <v>0</v>
      </c>
      <c r="J200" s="9">
        <v>45898</v>
      </c>
      <c r="K200" s="2" t="s">
        <v>419</v>
      </c>
    </row>
    <row r="201" spans="1:11" ht="15" hidden="1" customHeight="1" x14ac:dyDescent="0.3">
      <c r="A201" s="30" t="s">
        <v>25</v>
      </c>
      <c r="B201" s="31" t="s">
        <v>292</v>
      </c>
      <c r="C201" s="32" t="s">
        <v>288</v>
      </c>
      <c r="D201" s="33"/>
      <c r="E201" s="29">
        <v>1920000</v>
      </c>
      <c r="F201" s="34">
        <f t="shared" si="12"/>
        <v>153600</v>
      </c>
      <c r="G201" s="37">
        <f t="shared" si="13"/>
        <v>2073600</v>
      </c>
      <c r="H201" s="35">
        <v>2073600</v>
      </c>
      <c r="I201" s="36">
        <f t="shared" si="14"/>
        <v>0</v>
      </c>
      <c r="J201" s="9">
        <v>45898</v>
      </c>
      <c r="K201" s="2" t="s">
        <v>419</v>
      </c>
    </row>
    <row r="202" spans="1:11" ht="15" hidden="1" customHeight="1" x14ac:dyDescent="0.3">
      <c r="A202" s="30" t="s">
        <v>295</v>
      </c>
      <c r="B202" s="31" t="s">
        <v>292</v>
      </c>
      <c r="C202" s="32" t="s">
        <v>289</v>
      </c>
      <c r="D202" s="33"/>
      <c r="E202" s="29">
        <v>5120000</v>
      </c>
      <c r="F202" s="34">
        <f t="shared" si="12"/>
        <v>409600</v>
      </c>
      <c r="G202" s="37">
        <f t="shared" si="13"/>
        <v>5529600</v>
      </c>
      <c r="H202" s="35">
        <v>5529600</v>
      </c>
      <c r="I202" s="36">
        <f t="shared" si="14"/>
        <v>0</v>
      </c>
      <c r="J202" s="9">
        <v>45898</v>
      </c>
      <c r="K202" s="2" t="s">
        <v>419</v>
      </c>
    </row>
    <row r="203" spans="1:11" ht="15" hidden="1" customHeight="1" x14ac:dyDescent="0.3">
      <c r="A203" s="30" t="s">
        <v>21</v>
      </c>
      <c r="B203" s="31" t="s">
        <v>309</v>
      </c>
      <c r="C203" s="32" t="s">
        <v>297</v>
      </c>
      <c r="D203" s="33"/>
      <c r="E203" s="29">
        <v>6965000</v>
      </c>
      <c r="F203" s="34">
        <f t="shared" si="12"/>
        <v>557200</v>
      </c>
      <c r="G203" s="37">
        <f t="shared" si="13"/>
        <v>7522200</v>
      </c>
      <c r="H203" s="35">
        <v>7522200</v>
      </c>
      <c r="I203" s="36">
        <f t="shared" si="14"/>
        <v>0</v>
      </c>
      <c r="J203" s="9">
        <v>45898</v>
      </c>
      <c r="K203" s="2" t="s">
        <v>419</v>
      </c>
    </row>
    <row r="204" spans="1:11" ht="15" hidden="1" customHeight="1" x14ac:dyDescent="0.3">
      <c r="A204" s="30" t="s">
        <v>32</v>
      </c>
      <c r="B204" s="31" t="s">
        <v>310</v>
      </c>
      <c r="C204" s="32" t="s">
        <v>298</v>
      </c>
      <c r="D204" s="33"/>
      <c r="E204" s="29">
        <v>8055000</v>
      </c>
      <c r="F204" s="34">
        <f t="shared" si="12"/>
        <v>644400</v>
      </c>
      <c r="G204" s="37">
        <f t="shared" si="13"/>
        <v>8699400</v>
      </c>
      <c r="H204" s="35">
        <v>8699400</v>
      </c>
      <c r="I204" s="36">
        <f t="shared" si="14"/>
        <v>0</v>
      </c>
      <c r="J204" s="9">
        <v>45898</v>
      </c>
      <c r="K204" s="2" t="s">
        <v>419</v>
      </c>
    </row>
    <row r="205" spans="1:11" ht="15" hidden="1" customHeight="1" x14ac:dyDescent="0.3">
      <c r="A205" s="30" t="s">
        <v>295</v>
      </c>
      <c r="B205" s="31" t="s">
        <v>311</v>
      </c>
      <c r="C205" s="32" t="s">
        <v>299</v>
      </c>
      <c r="D205" s="33"/>
      <c r="E205" s="29">
        <v>1710000</v>
      </c>
      <c r="F205" s="34">
        <f t="shared" si="12"/>
        <v>136800</v>
      </c>
      <c r="G205" s="37">
        <f t="shared" si="13"/>
        <v>1846800</v>
      </c>
      <c r="H205" s="35">
        <v>1846800</v>
      </c>
      <c r="I205" s="36">
        <f t="shared" si="14"/>
        <v>0</v>
      </c>
      <c r="J205" s="9">
        <v>45898</v>
      </c>
      <c r="K205" s="2" t="s">
        <v>419</v>
      </c>
    </row>
    <row r="206" spans="1:11" ht="15" hidden="1" customHeight="1" x14ac:dyDescent="0.3">
      <c r="A206" s="30" t="s">
        <v>20</v>
      </c>
      <c r="B206" s="31" t="s">
        <v>311</v>
      </c>
      <c r="C206" s="32" t="s">
        <v>300</v>
      </c>
      <c r="D206" s="33"/>
      <c r="E206" s="29">
        <v>5745000</v>
      </c>
      <c r="F206" s="34">
        <f t="shared" si="12"/>
        <v>459600</v>
      </c>
      <c r="G206" s="37">
        <f t="shared" si="13"/>
        <v>6204600</v>
      </c>
      <c r="H206" s="35">
        <v>6204600</v>
      </c>
      <c r="I206" s="36">
        <f t="shared" si="14"/>
        <v>0</v>
      </c>
      <c r="J206" s="9">
        <v>45898</v>
      </c>
      <c r="K206" s="2" t="s">
        <v>419</v>
      </c>
    </row>
    <row r="207" spans="1:11" ht="15" hidden="1" customHeight="1" x14ac:dyDescent="0.3">
      <c r="A207" s="30" t="s">
        <v>21</v>
      </c>
      <c r="B207" s="31" t="s">
        <v>311</v>
      </c>
      <c r="C207" s="32" t="s">
        <v>301</v>
      </c>
      <c r="D207" s="33"/>
      <c r="E207" s="29">
        <v>5925000</v>
      </c>
      <c r="F207" s="34">
        <f t="shared" si="12"/>
        <v>474000</v>
      </c>
      <c r="G207" s="37">
        <f t="shared" si="13"/>
        <v>6399000</v>
      </c>
      <c r="H207" s="35">
        <v>6399000</v>
      </c>
      <c r="I207" s="36">
        <f t="shared" si="14"/>
        <v>0</v>
      </c>
      <c r="J207" s="9">
        <v>45898</v>
      </c>
      <c r="K207" s="2" t="s">
        <v>419</v>
      </c>
    </row>
    <row r="208" spans="1:11" ht="15" hidden="1" customHeight="1" x14ac:dyDescent="0.3">
      <c r="A208" s="30" t="s">
        <v>18</v>
      </c>
      <c r="B208" s="31" t="s">
        <v>311</v>
      </c>
      <c r="C208" s="32" t="s">
        <v>302</v>
      </c>
      <c r="D208" s="33"/>
      <c r="E208" s="29">
        <v>1005000</v>
      </c>
      <c r="F208" s="34">
        <f t="shared" si="12"/>
        <v>80400</v>
      </c>
      <c r="G208" s="37">
        <f t="shared" si="13"/>
        <v>1085400</v>
      </c>
      <c r="H208" s="35">
        <v>1085400</v>
      </c>
      <c r="I208" s="36">
        <f t="shared" si="14"/>
        <v>0</v>
      </c>
      <c r="J208" s="9">
        <v>45898</v>
      </c>
      <c r="K208" s="2" t="s">
        <v>419</v>
      </c>
    </row>
    <row r="209" spans="1:11" ht="15" hidden="1" customHeight="1" x14ac:dyDescent="0.3">
      <c r="A209" s="30" t="s">
        <v>23</v>
      </c>
      <c r="B209" s="31" t="s">
        <v>311</v>
      </c>
      <c r="C209" s="32" t="s">
        <v>303</v>
      </c>
      <c r="D209" s="33"/>
      <c r="E209" s="29">
        <v>3915000</v>
      </c>
      <c r="F209" s="34">
        <f t="shared" si="12"/>
        <v>313200</v>
      </c>
      <c r="G209" s="37">
        <f t="shared" si="13"/>
        <v>4228200</v>
      </c>
      <c r="H209" s="35">
        <v>4228200</v>
      </c>
      <c r="I209" s="36">
        <f t="shared" si="14"/>
        <v>0</v>
      </c>
      <c r="J209" s="9">
        <v>45898</v>
      </c>
      <c r="K209" s="2" t="s">
        <v>419</v>
      </c>
    </row>
    <row r="210" spans="1:11" ht="15" hidden="1" customHeight="1" x14ac:dyDescent="0.3">
      <c r="A210" s="30" t="s">
        <v>25</v>
      </c>
      <c r="B210" s="31" t="s">
        <v>311</v>
      </c>
      <c r="C210" s="32" t="s">
        <v>304</v>
      </c>
      <c r="D210" s="33"/>
      <c r="E210" s="29">
        <v>3035000</v>
      </c>
      <c r="F210" s="34">
        <f t="shared" si="12"/>
        <v>242800</v>
      </c>
      <c r="G210" s="37">
        <f t="shared" si="13"/>
        <v>3277800</v>
      </c>
      <c r="H210" s="35">
        <v>3277800</v>
      </c>
      <c r="I210" s="36">
        <f t="shared" si="14"/>
        <v>0</v>
      </c>
      <c r="J210" s="9">
        <v>45898</v>
      </c>
      <c r="K210" s="2" t="s">
        <v>419</v>
      </c>
    </row>
    <row r="211" spans="1:11" ht="15" hidden="1" customHeight="1" x14ac:dyDescent="0.3">
      <c r="A211" s="30" t="s">
        <v>27</v>
      </c>
      <c r="B211" s="31" t="s">
        <v>311</v>
      </c>
      <c r="C211" s="32" t="s">
        <v>305</v>
      </c>
      <c r="D211" s="33"/>
      <c r="E211" s="29">
        <v>2745000</v>
      </c>
      <c r="F211" s="34">
        <f t="shared" si="12"/>
        <v>219600</v>
      </c>
      <c r="G211" s="37">
        <f t="shared" si="13"/>
        <v>2964600</v>
      </c>
      <c r="H211" s="35">
        <v>2964600</v>
      </c>
      <c r="I211" s="36">
        <f t="shared" si="14"/>
        <v>0</v>
      </c>
      <c r="J211" s="9">
        <v>45898</v>
      </c>
      <c r="K211" s="2" t="s">
        <v>419</v>
      </c>
    </row>
    <row r="212" spans="1:11" ht="15" hidden="1" customHeight="1" x14ac:dyDescent="0.3">
      <c r="A212" s="30" t="s">
        <v>48</v>
      </c>
      <c r="B212" s="31" t="s">
        <v>311</v>
      </c>
      <c r="C212" s="32" t="s">
        <v>306</v>
      </c>
      <c r="D212" s="33"/>
      <c r="E212" s="29">
        <v>5925000</v>
      </c>
      <c r="F212" s="34">
        <f t="shared" si="12"/>
        <v>474000</v>
      </c>
      <c r="G212" s="37">
        <f t="shared" si="13"/>
        <v>6399000</v>
      </c>
      <c r="H212" s="35">
        <v>6399000</v>
      </c>
      <c r="I212" s="36">
        <f t="shared" si="14"/>
        <v>0</v>
      </c>
      <c r="J212" s="9">
        <v>45898</v>
      </c>
      <c r="K212" s="2" t="s">
        <v>419</v>
      </c>
    </row>
    <row r="213" spans="1:11" ht="15" hidden="1" customHeight="1" x14ac:dyDescent="0.3">
      <c r="A213" s="30" t="s">
        <v>26</v>
      </c>
      <c r="B213" s="31" t="s">
        <v>311</v>
      </c>
      <c r="C213" s="32" t="s">
        <v>307</v>
      </c>
      <c r="D213" s="33"/>
      <c r="E213" s="29">
        <v>4290000</v>
      </c>
      <c r="F213" s="34">
        <f t="shared" si="12"/>
        <v>343200</v>
      </c>
      <c r="G213" s="37">
        <f t="shared" si="13"/>
        <v>4633200</v>
      </c>
      <c r="H213" s="35">
        <v>4633200</v>
      </c>
      <c r="I213" s="36">
        <f t="shared" si="14"/>
        <v>0</v>
      </c>
      <c r="J213" s="9">
        <v>45898</v>
      </c>
    </row>
    <row r="214" spans="1:11" ht="15" hidden="1" customHeight="1" x14ac:dyDescent="0.3">
      <c r="A214" s="30" t="s">
        <v>32</v>
      </c>
      <c r="B214" s="31" t="s">
        <v>311</v>
      </c>
      <c r="C214" s="32" t="s">
        <v>308</v>
      </c>
      <c r="D214" s="33"/>
      <c r="E214" s="29">
        <v>3605000</v>
      </c>
      <c r="F214" s="34">
        <f t="shared" ref="F214:F277" si="15">+E214*0.08</f>
        <v>288400</v>
      </c>
      <c r="G214" s="37">
        <f t="shared" ref="G214:G277" si="16">E214+F214</f>
        <v>3893400</v>
      </c>
      <c r="H214" s="35">
        <v>3893400</v>
      </c>
      <c r="I214" s="36">
        <f t="shared" ref="I214:I277" si="17">G214-H214</f>
        <v>0</v>
      </c>
      <c r="J214" s="9">
        <v>45898</v>
      </c>
      <c r="K214" s="2" t="s">
        <v>419</v>
      </c>
    </row>
    <row r="215" spans="1:11" ht="15" hidden="1" customHeight="1" x14ac:dyDescent="0.3">
      <c r="A215" s="30" t="s">
        <v>19</v>
      </c>
      <c r="B215" s="31" t="s">
        <v>328</v>
      </c>
      <c r="C215" s="32" t="s">
        <v>312</v>
      </c>
      <c r="D215" s="33"/>
      <c r="E215" s="29">
        <v>2040000</v>
      </c>
      <c r="F215" s="34">
        <f t="shared" si="15"/>
        <v>163200</v>
      </c>
      <c r="G215" s="37">
        <f t="shared" si="16"/>
        <v>2203200</v>
      </c>
      <c r="H215" s="35">
        <v>2203200</v>
      </c>
      <c r="I215" s="36">
        <f t="shared" si="17"/>
        <v>0</v>
      </c>
      <c r="J215" s="9">
        <v>45910</v>
      </c>
      <c r="K215" s="2" t="s">
        <v>419</v>
      </c>
    </row>
    <row r="216" spans="1:11" ht="15" hidden="1" customHeight="1" x14ac:dyDescent="0.3">
      <c r="A216" s="30" t="s">
        <v>32</v>
      </c>
      <c r="B216" s="31" t="s">
        <v>328</v>
      </c>
      <c r="C216" s="32" t="s">
        <v>313</v>
      </c>
      <c r="D216" s="33"/>
      <c r="E216" s="29">
        <v>14420000</v>
      </c>
      <c r="F216" s="34">
        <f t="shared" si="15"/>
        <v>1153600</v>
      </c>
      <c r="G216" s="37">
        <f t="shared" si="16"/>
        <v>15573600</v>
      </c>
      <c r="H216" s="35">
        <v>15573600</v>
      </c>
      <c r="I216" s="36">
        <f t="shared" si="17"/>
        <v>0</v>
      </c>
      <c r="J216" s="9">
        <v>45910</v>
      </c>
      <c r="K216" s="2" t="s">
        <v>419</v>
      </c>
    </row>
    <row r="217" spans="1:11" ht="15" hidden="1" customHeight="1" x14ac:dyDescent="0.3">
      <c r="A217" s="30" t="s">
        <v>25</v>
      </c>
      <c r="B217" s="31" t="s">
        <v>328</v>
      </c>
      <c r="C217" s="32" t="s">
        <v>314</v>
      </c>
      <c r="D217" s="33"/>
      <c r="E217" s="29">
        <v>2850000</v>
      </c>
      <c r="F217" s="34">
        <f t="shared" si="15"/>
        <v>228000</v>
      </c>
      <c r="G217" s="37">
        <f t="shared" si="16"/>
        <v>3078000</v>
      </c>
      <c r="H217" s="35">
        <v>3078000</v>
      </c>
      <c r="I217" s="36">
        <f t="shared" si="17"/>
        <v>0</v>
      </c>
      <c r="J217" s="9">
        <v>45910</v>
      </c>
      <c r="K217" s="2" t="s">
        <v>419</v>
      </c>
    </row>
    <row r="218" spans="1:11" ht="15" hidden="1" customHeight="1" x14ac:dyDescent="0.3">
      <c r="A218" s="30" t="s">
        <v>23</v>
      </c>
      <c r="B218" s="31" t="s">
        <v>328</v>
      </c>
      <c r="C218" s="32" t="s">
        <v>315</v>
      </c>
      <c r="D218" s="33"/>
      <c r="E218" s="29">
        <v>8595000</v>
      </c>
      <c r="F218" s="34">
        <f t="shared" si="15"/>
        <v>687600</v>
      </c>
      <c r="G218" s="37">
        <f t="shared" si="16"/>
        <v>9282600</v>
      </c>
      <c r="H218" s="35">
        <v>9282600</v>
      </c>
      <c r="I218" s="36">
        <f t="shared" si="17"/>
        <v>0</v>
      </c>
      <c r="J218" s="9">
        <v>45898</v>
      </c>
      <c r="K218" s="2" t="s">
        <v>419</v>
      </c>
    </row>
    <row r="219" spans="1:11" ht="15" hidden="1" customHeight="1" x14ac:dyDescent="0.3">
      <c r="A219" s="30" t="s">
        <v>22</v>
      </c>
      <c r="B219" s="31" t="s">
        <v>329</v>
      </c>
      <c r="C219" s="32" t="s">
        <v>316</v>
      </c>
      <c r="D219" s="33"/>
      <c r="E219" s="29">
        <v>3920000</v>
      </c>
      <c r="F219" s="34">
        <f t="shared" si="15"/>
        <v>313600</v>
      </c>
      <c r="G219" s="37">
        <f t="shared" si="16"/>
        <v>4233600</v>
      </c>
      <c r="H219" s="35">
        <v>4233600</v>
      </c>
      <c r="I219" s="36">
        <f t="shared" si="17"/>
        <v>0</v>
      </c>
      <c r="J219" s="9">
        <v>45910</v>
      </c>
      <c r="K219" s="2" t="s">
        <v>419</v>
      </c>
    </row>
    <row r="220" spans="1:11" ht="15" hidden="1" customHeight="1" x14ac:dyDescent="0.3">
      <c r="A220" s="30" t="s">
        <v>45</v>
      </c>
      <c r="B220" s="31" t="s">
        <v>330</v>
      </c>
      <c r="C220" s="32" t="s">
        <v>317</v>
      </c>
      <c r="D220" s="33"/>
      <c r="E220" s="29">
        <v>7805000</v>
      </c>
      <c r="F220" s="34">
        <f t="shared" si="15"/>
        <v>624400</v>
      </c>
      <c r="G220" s="37">
        <f t="shared" si="16"/>
        <v>8429400</v>
      </c>
      <c r="H220" s="35">
        <v>8429400</v>
      </c>
      <c r="I220" s="36">
        <f t="shared" si="17"/>
        <v>0</v>
      </c>
      <c r="J220" s="9">
        <v>45910</v>
      </c>
      <c r="K220" s="2" t="s">
        <v>419</v>
      </c>
    </row>
    <row r="221" spans="1:11" ht="15" hidden="1" customHeight="1" x14ac:dyDescent="0.3">
      <c r="A221" s="30" t="s">
        <v>22</v>
      </c>
      <c r="B221" s="31" t="s">
        <v>331</v>
      </c>
      <c r="C221" s="32" t="s">
        <v>318</v>
      </c>
      <c r="D221" s="33"/>
      <c r="E221" s="29">
        <v>990000</v>
      </c>
      <c r="F221" s="34">
        <f t="shared" si="15"/>
        <v>79200</v>
      </c>
      <c r="G221" s="37">
        <f t="shared" si="16"/>
        <v>1069200</v>
      </c>
      <c r="H221" s="35">
        <v>1069200</v>
      </c>
      <c r="I221" s="36">
        <f t="shared" si="17"/>
        <v>0</v>
      </c>
      <c r="J221" s="9">
        <v>45910</v>
      </c>
      <c r="K221" s="2" t="s">
        <v>419</v>
      </c>
    </row>
    <row r="222" spans="1:11" ht="15" hidden="1" customHeight="1" x14ac:dyDescent="0.3">
      <c r="A222" s="30" t="s">
        <v>48</v>
      </c>
      <c r="B222" s="31" t="s">
        <v>331</v>
      </c>
      <c r="C222" s="32" t="s">
        <v>319</v>
      </c>
      <c r="D222" s="33"/>
      <c r="E222" s="29">
        <v>4695000</v>
      </c>
      <c r="F222" s="34">
        <f t="shared" si="15"/>
        <v>375600</v>
      </c>
      <c r="G222" s="37">
        <f t="shared" si="16"/>
        <v>5070600</v>
      </c>
      <c r="H222" s="35">
        <v>5070600</v>
      </c>
      <c r="I222" s="36">
        <f t="shared" si="17"/>
        <v>0</v>
      </c>
      <c r="J222" s="9">
        <v>45910</v>
      </c>
      <c r="K222" s="2" t="s">
        <v>419</v>
      </c>
    </row>
    <row r="223" spans="1:11" ht="15" hidden="1" customHeight="1" x14ac:dyDescent="0.3">
      <c r="A223" s="30" t="s">
        <v>26</v>
      </c>
      <c r="B223" s="31" t="s">
        <v>331</v>
      </c>
      <c r="C223" s="32" t="s">
        <v>320</v>
      </c>
      <c r="D223" s="33"/>
      <c r="E223" s="29">
        <v>3960000</v>
      </c>
      <c r="F223" s="34">
        <f t="shared" si="15"/>
        <v>316800</v>
      </c>
      <c r="G223" s="37">
        <f t="shared" si="16"/>
        <v>4276800</v>
      </c>
      <c r="H223" s="35">
        <v>4276800</v>
      </c>
      <c r="I223" s="36">
        <f t="shared" si="17"/>
        <v>0</v>
      </c>
      <c r="J223" s="9">
        <v>45910</v>
      </c>
    </row>
    <row r="224" spans="1:11" ht="15" hidden="1" customHeight="1" x14ac:dyDescent="0.3">
      <c r="A224" s="30" t="s">
        <v>32</v>
      </c>
      <c r="B224" s="31" t="s">
        <v>331</v>
      </c>
      <c r="C224" s="32" t="s">
        <v>321</v>
      </c>
      <c r="D224" s="33"/>
      <c r="E224" s="29">
        <v>13010000</v>
      </c>
      <c r="F224" s="34">
        <f t="shared" si="15"/>
        <v>1040800</v>
      </c>
      <c r="G224" s="37">
        <f t="shared" si="16"/>
        <v>14050800</v>
      </c>
      <c r="H224" s="35">
        <v>14050800</v>
      </c>
      <c r="I224" s="36">
        <f t="shared" si="17"/>
        <v>0</v>
      </c>
      <c r="J224" s="9">
        <v>45910</v>
      </c>
      <c r="K224" s="2" t="s">
        <v>419</v>
      </c>
    </row>
    <row r="225" spans="1:11" ht="15" hidden="1" customHeight="1" x14ac:dyDescent="0.3">
      <c r="A225" s="30" t="s">
        <v>28</v>
      </c>
      <c r="B225" s="31" t="s">
        <v>331</v>
      </c>
      <c r="C225" s="32" t="s">
        <v>322</v>
      </c>
      <c r="D225" s="33"/>
      <c r="E225" s="29">
        <v>1815000</v>
      </c>
      <c r="F225" s="34">
        <f t="shared" si="15"/>
        <v>145200</v>
      </c>
      <c r="G225" s="37">
        <f t="shared" si="16"/>
        <v>1960200</v>
      </c>
      <c r="H225" s="35">
        <v>1960200</v>
      </c>
      <c r="I225" s="36">
        <f t="shared" si="17"/>
        <v>0</v>
      </c>
      <c r="J225" s="9">
        <v>45910</v>
      </c>
      <c r="K225" s="2" t="s">
        <v>419</v>
      </c>
    </row>
    <row r="226" spans="1:11" ht="15" hidden="1" customHeight="1" x14ac:dyDescent="0.3">
      <c r="A226" s="30" t="s">
        <v>19</v>
      </c>
      <c r="B226" s="31" t="s">
        <v>331</v>
      </c>
      <c r="C226" s="32" t="s">
        <v>323</v>
      </c>
      <c r="D226" s="33"/>
      <c r="E226" s="29">
        <v>1850000</v>
      </c>
      <c r="F226" s="34">
        <f t="shared" si="15"/>
        <v>148000</v>
      </c>
      <c r="G226" s="37">
        <f t="shared" si="16"/>
        <v>1998000</v>
      </c>
      <c r="H226" s="35">
        <v>1998000</v>
      </c>
      <c r="I226" s="36">
        <f t="shared" si="17"/>
        <v>0</v>
      </c>
      <c r="J226" s="9">
        <v>45910</v>
      </c>
      <c r="K226" s="2" t="s">
        <v>419</v>
      </c>
    </row>
    <row r="227" spans="1:11" ht="15" hidden="1" customHeight="1" x14ac:dyDescent="0.3">
      <c r="A227" s="30" t="s">
        <v>23</v>
      </c>
      <c r="B227" s="31" t="s">
        <v>331</v>
      </c>
      <c r="C227" s="32" t="s">
        <v>324</v>
      </c>
      <c r="D227" s="33"/>
      <c r="E227" s="29">
        <v>3630000</v>
      </c>
      <c r="F227" s="34">
        <f t="shared" si="15"/>
        <v>290400</v>
      </c>
      <c r="G227" s="37">
        <f t="shared" si="16"/>
        <v>3920400</v>
      </c>
      <c r="H227" s="35">
        <v>3920400</v>
      </c>
      <c r="I227" s="36">
        <f t="shared" si="17"/>
        <v>0</v>
      </c>
      <c r="J227" s="9">
        <v>45910</v>
      </c>
      <c r="K227" s="2" t="s">
        <v>419</v>
      </c>
    </row>
    <row r="228" spans="1:11" ht="15" hidden="1" customHeight="1" x14ac:dyDescent="0.3">
      <c r="A228" s="30" t="s">
        <v>17</v>
      </c>
      <c r="B228" s="31" t="s">
        <v>331</v>
      </c>
      <c r="C228" s="32" t="s">
        <v>325</v>
      </c>
      <c r="D228" s="33"/>
      <c r="E228" s="29">
        <v>13460000</v>
      </c>
      <c r="F228" s="34">
        <f t="shared" si="15"/>
        <v>1076800</v>
      </c>
      <c r="G228" s="37">
        <f t="shared" si="16"/>
        <v>14536800</v>
      </c>
      <c r="H228" s="35">
        <v>14536800</v>
      </c>
      <c r="I228" s="36">
        <f t="shared" si="17"/>
        <v>0</v>
      </c>
      <c r="J228" s="9">
        <v>45910</v>
      </c>
      <c r="K228" s="2" t="s">
        <v>419</v>
      </c>
    </row>
    <row r="229" spans="1:11" ht="15" hidden="1" customHeight="1" x14ac:dyDescent="0.3">
      <c r="A229" s="30" t="s">
        <v>21</v>
      </c>
      <c r="B229" s="31" t="s">
        <v>331</v>
      </c>
      <c r="C229" s="32" t="s">
        <v>326</v>
      </c>
      <c r="D229" s="33"/>
      <c r="E229" s="29">
        <v>5595000</v>
      </c>
      <c r="F229" s="34">
        <f t="shared" si="15"/>
        <v>447600</v>
      </c>
      <c r="G229" s="37">
        <f t="shared" si="16"/>
        <v>6042600</v>
      </c>
      <c r="H229" s="35">
        <v>6042600</v>
      </c>
      <c r="I229" s="36">
        <f t="shared" si="17"/>
        <v>0</v>
      </c>
      <c r="J229" s="9">
        <v>45910</v>
      </c>
      <c r="K229" s="2" t="s">
        <v>419</v>
      </c>
    </row>
    <row r="230" spans="1:11" ht="15" hidden="1" customHeight="1" x14ac:dyDescent="0.3">
      <c r="A230" s="30" t="s">
        <v>18</v>
      </c>
      <c r="B230" s="31" t="s">
        <v>331</v>
      </c>
      <c r="C230" s="32" t="s">
        <v>327</v>
      </c>
      <c r="D230" s="33"/>
      <c r="E230" s="29">
        <v>2010000</v>
      </c>
      <c r="F230" s="34">
        <f t="shared" si="15"/>
        <v>160800</v>
      </c>
      <c r="G230" s="37">
        <f t="shared" si="16"/>
        <v>2170800</v>
      </c>
      <c r="H230" s="35">
        <v>2170800</v>
      </c>
      <c r="I230" s="36">
        <f t="shared" si="17"/>
        <v>0</v>
      </c>
      <c r="J230" s="9">
        <v>45910</v>
      </c>
      <c r="K230" s="2" t="s">
        <v>419</v>
      </c>
    </row>
    <row r="231" spans="1:11" ht="15" hidden="1" customHeight="1" x14ac:dyDescent="0.3">
      <c r="A231" s="30" t="s">
        <v>25</v>
      </c>
      <c r="B231" s="31" t="s">
        <v>361</v>
      </c>
      <c r="C231" s="32" t="s">
        <v>333</v>
      </c>
      <c r="D231" s="33"/>
      <c r="E231" s="29">
        <v>2040000</v>
      </c>
      <c r="F231" s="34">
        <f t="shared" si="15"/>
        <v>163200</v>
      </c>
      <c r="G231" s="37">
        <f t="shared" si="16"/>
        <v>2203200</v>
      </c>
      <c r="H231" s="35">
        <v>2203200</v>
      </c>
      <c r="I231" s="36">
        <f t="shared" si="17"/>
        <v>0</v>
      </c>
      <c r="J231" s="9">
        <v>45910</v>
      </c>
      <c r="K231" s="2" t="s">
        <v>419</v>
      </c>
    </row>
    <row r="232" spans="1:11" ht="15" hidden="1" customHeight="1" x14ac:dyDescent="0.3">
      <c r="A232" s="30" t="s">
        <v>19</v>
      </c>
      <c r="B232" s="31" t="s">
        <v>362</v>
      </c>
      <c r="C232" s="32" t="s">
        <v>334</v>
      </c>
      <c r="D232" s="33"/>
      <c r="E232" s="29">
        <v>960000</v>
      </c>
      <c r="F232" s="34">
        <f t="shared" si="15"/>
        <v>76800</v>
      </c>
      <c r="G232" s="37">
        <f t="shared" si="16"/>
        <v>1036800</v>
      </c>
      <c r="H232" s="35">
        <v>1036800</v>
      </c>
      <c r="I232" s="36">
        <f t="shared" si="17"/>
        <v>0</v>
      </c>
      <c r="J232" s="9">
        <v>45910</v>
      </c>
      <c r="K232" s="2" t="s">
        <v>419</v>
      </c>
    </row>
    <row r="233" spans="1:11" ht="15" hidden="1" customHeight="1" x14ac:dyDescent="0.3">
      <c r="A233" s="30" t="s">
        <v>17</v>
      </c>
      <c r="B233" s="31" t="s">
        <v>362</v>
      </c>
      <c r="C233" s="32" t="s">
        <v>335</v>
      </c>
      <c r="D233" s="33"/>
      <c r="E233" s="29">
        <v>15515000</v>
      </c>
      <c r="F233" s="34">
        <f t="shared" si="15"/>
        <v>1241200</v>
      </c>
      <c r="G233" s="37">
        <f t="shared" si="16"/>
        <v>16756200</v>
      </c>
      <c r="H233" s="35">
        <v>16756200</v>
      </c>
      <c r="I233" s="36">
        <f t="shared" si="17"/>
        <v>0</v>
      </c>
      <c r="J233" s="9">
        <v>45910</v>
      </c>
      <c r="K233" s="2" t="s">
        <v>419</v>
      </c>
    </row>
    <row r="234" spans="1:11" ht="15" hidden="1" customHeight="1" x14ac:dyDescent="0.3">
      <c r="A234" s="30" t="s">
        <v>28</v>
      </c>
      <c r="B234" s="31" t="s">
        <v>363</v>
      </c>
      <c r="C234" s="32" t="s">
        <v>336</v>
      </c>
      <c r="D234" s="33"/>
      <c r="E234" s="29">
        <v>3435000</v>
      </c>
      <c r="F234" s="34">
        <f t="shared" si="15"/>
        <v>274800</v>
      </c>
      <c r="G234" s="37">
        <f t="shared" si="16"/>
        <v>3709800</v>
      </c>
      <c r="H234" s="35">
        <v>3709800</v>
      </c>
      <c r="I234" s="36">
        <f t="shared" si="17"/>
        <v>0</v>
      </c>
      <c r="J234" s="9">
        <v>45910</v>
      </c>
      <c r="K234" s="2" t="s">
        <v>419</v>
      </c>
    </row>
    <row r="235" spans="1:11" ht="15" hidden="1" customHeight="1" x14ac:dyDescent="0.3">
      <c r="A235" s="30" t="s">
        <v>22</v>
      </c>
      <c r="B235" s="31" t="s">
        <v>364</v>
      </c>
      <c r="C235" s="32" t="s">
        <v>337</v>
      </c>
      <c r="D235" s="33"/>
      <c r="E235" s="29">
        <v>3840000</v>
      </c>
      <c r="F235" s="34">
        <f t="shared" si="15"/>
        <v>307200</v>
      </c>
      <c r="G235" s="37">
        <f t="shared" si="16"/>
        <v>4147200</v>
      </c>
      <c r="H235" s="35">
        <v>4147200</v>
      </c>
      <c r="I235" s="36">
        <f t="shared" si="17"/>
        <v>0</v>
      </c>
      <c r="J235" s="9">
        <v>45910</v>
      </c>
      <c r="K235" s="2" t="s">
        <v>419</v>
      </c>
    </row>
    <row r="236" spans="1:11" ht="15" hidden="1" customHeight="1" x14ac:dyDescent="0.3">
      <c r="A236" s="30" t="s">
        <v>48</v>
      </c>
      <c r="B236" s="31" t="s">
        <v>364</v>
      </c>
      <c r="C236" s="32" t="s">
        <v>338</v>
      </c>
      <c r="D236" s="33"/>
      <c r="E236" s="29">
        <v>810000</v>
      </c>
      <c r="F236" s="34">
        <f t="shared" si="15"/>
        <v>64800</v>
      </c>
      <c r="G236" s="37">
        <f t="shared" si="16"/>
        <v>874800</v>
      </c>
      <c r="H236" s="35">
        <v>874800</v>
      </c>
      <c r="I236" s="36">
        <f t="shared" si="17"/>
        <v>0</v>
      </c>
      <c r="J236" s="9">
        <v>45910</v>
      </c>
      <c r="K236" s="2" t="s">
        <v>419</v>
      </c>
    </row>
    <row r="237" spans="1:11" ht="15" hidden="1" customHeight="1" x14ac:dyDescent="0.3">
      <c r="A237" s="30" t="s">
        <v>26</v>
      </c>
      <c r="B237" s="31" t="s">
        <v>364</v>
      </c>
      <c r="C237" s="32" t="s">
        <v>339</v>
      </c>
      <c r="D237" s="33"/>
      <c r="E237" s="29">
        <v>7905000</v>
      </c>
      <c r="F237" s="34">
        <f t="shared" si="15"/>
        <v>632400</v>
      </c>
      <c r="G237" s="37">
        <f t="shared" si="16"/>
        <v>8537400</v>
      </c>
      <c r="H237" s="35">
        <v>8537400</v>
      </c>
      <c r="I237" s="36">
        <f t="shared" si="17"/>
        <v>0</v>
      </c>
      <c r="J237" s="9">
        <v>45910</v>
      </c>
    </row>
    <row r="238" spans="1:11" ht="15" hidden="1" customHeight="1" x14ac:dyDescent="0.3">
      <c r="A238" s="30" t="s">
        <v>32</v>
      </c>
      <c r="B238" s="31" t="s">
        <v>364</v>
      </c>
      <c r="C238" s="32" t="s">
        <v>340</v>
      </c>
      <c r="D238" s="33"/>
      <c r="E238" s="29">
        <v>17720000</v>
      </c>
      <c r="F238" s="34">
        <f t="shared" si="15"/>
        <v>1417600</v>
      </c>
      <c r="G238" s="37">
        <f t="shared" si="16"/>
        <v>19137600</v>
      </c>
      <c r="H238" s="35">
        <v>19137600</v>
      </c>
      <c r="I238" s="36">
        <f t="shared" si="17"/>
        <v>0</v>
      </c>
      <c r="J238" s="9">
        <v>45910</v>
      </c>
      <c r="K238" s="2" t="s">
        <v>419</v>
      </c>
    </row>
    <row r="239" spans="1:11" ht="15" hidden="1" customHeight="1" x14ac:dyDescent="0.3">
      <c r="A239" s="30" t="s">
        <v>20</v>
      </c>
      <c r="B239" s="31" t="s">
        <v>364</v>
      </c>
      <c r="C239" s="32" t="s">
        <v>341</v>
      </c>
      <c r="D239" s="33"/>
      <c r="E239" s="29">
        <v>5840000</v>
      </c>
      <c r="F239" s="34">
        <f t="shared" si="15"/>
        <v>467200</v>
      </c>
      <c r="G239" s="37">
        <f t="shared" si="16"/>
        <v>6307200</v>
      </c>
      <c r="H239" s="35">
        <v>6307200</v>
      </c>
      <c r="I239" s="36">
        <f t="shared" si="17"/>
        <v>0</v>
      </c>
      <c r="J239" s="9">
        <v>45910</v>
      </c>
      <c r="K239" s="2" t="s">
        <v>419</v>
      </c>
    </row>
    <row r="240" spans="1:11" ht="15" hidden="1" customHeight="1" x14ac:dyDescent="0.3">
      <c r="A240" s="30" t="s">
        <v>18</v>
      </c>
      <c r="B240" s="31" t="s">
        <v>364</v>
      </c>
      <c r="C240" s="32" t="s">
        <v>342</v>
      </c>
      <c r="D240" s="33"/>
      <c r="E240" s="29">
        <v>2010000</v>
      </c>
      <c r="F240" s="34">
        <f t="shared" si="15"/>
        <v>160800</v>
      </c>
      <c r="G240" s="37">
        <f t="shared" si="16"/>
        <v>2170800</v>
      </c>
      <c r="H240" s="35">
        <v>2170800</v>
      </c>
      <c r="I240" s="36">
        <f t="shared" si="17"/>
        <v>0</v>
      </c>
      <c r="J240" s="9">
        <v>45910</v>
      </c>
      <c r="K240" s="2" t="s">
        <v>419</v>
      </c>
    </row>
    <row r="241" spans="1:11" ht="15" hidden="1" customHeight="1" x14ac:dyDescent="0.3">
      <c r="A241" s="30" t="s">
        <v>19</v>
      </c>
      <c r="B241" s="31" t="s">
        <v>364</v>
      </c>
      <c r="C241" s="32" t="s">
        <v>343</v>
      </c>
      <c r="D241" s="33"/>
      <c r="E241" s="29">
        <v>2040000</v>
      </c>
      <c r="F241" s="34">
        <f t="shared" si="15"/>
        <v>163200</v>
      </c>
      <c r="G241" s="37">
        <f t="shared" si="16"/>
        <v>2203200</v>
      </c>
      <c r="H241" s="35">
        <v>2203200</v>
      </c>
      <c r="I241" s="36">
        <f t="shared" si="17"/>
        <v>0</v>
      </c>
      <c r="J241" s="9">
        <v>45930</v>
      </c>
      <c r="K241" s="2" t="s">
        <v>419</v>
      </c>
    </row>
    <row r="242" spans="1:11" ht="15" hidden="1" customHeight="1" x14ac:dyDescent="0.3">
      <c r="A242" s="30" t="s">
        <v>23</v>
      </c>
      <c r="B242" s="31" t="s">
        <v>364</v>
      </c>
      <c r="C242" s="32" t="s">
        <v>344</v>
      </c>
      <c r="D242" s="33"/>
      <c r="E242" s="29">
        <v>10585000</v>
      </c>
      <c r="F242" s="34">
        <f t="shared" si="15"/>
        <v>846800</v>
      </c>
      <c r="G242" s="37">
        <f t="shared" si="16"/>
        <v>11431800</v>
      </c>
      <c r="H242" s="35">
        <v>11431800</v>
      </c>
      <c r="I242" s="36">
        <f t="shared" si="17"/>
        <v>0</v>
      </c>
      <c r="J242" s="9">
        <v>45910</v>
      </c>
      <c r="K242" s="2" t="s">
        <v>419</v>
      </c>
    </row>
    <row r="243" spans="1:11" ht="15" hidden="1" customHeight="1" x14ac:dyDescent="0.3">
      <c r="A243" s="30" t="s">
        <v>25</v>
      </c>
      <c r="B243" s="31" t="s">
        <v>364</v>
      </c>
      <c r="C243" s="32" t="s">
        <v>345</v>
      </c>
      <c r="D243" s="33"/>
      <c r="E243" s="29">
        <v>1005000</v>
      </c>
      <c r="F243" s="34">
        <f t="shared" si="15"/>
        <v>80400</v>
      </c>
      <c r="G243" s="37">
        <f t="shared" si="16"/>
        <v>1085400</v>
      </c>
      <c r="H243" s="35">
        <v>1085400</v>
      </c>
      <c r="I243" s="36">
        <f t="shared" si="17"/>
        <v>0</v>
      </c>
      <c r="J243" s="9">
        <v>45910</v>
      </c>
      <c r="K243" s="2" t="s">
        <v>419</v>
      </c>
    </row>
    <row r="244" spans="1:11" ht="15" hidden="1" customHeight="1" x14ac:dyDescent="0.3">
      <c r="A244" s="30" t="s">
        <v>27</v>
      </c>
      <c r="B244" s="31" t="s">
        <v>364</v>
      </c>
      <c r="C244" s="32" t="s">
        <v>346</v>
      </c>
      <c r="D244" s="33"/>
      <c r="E244" s="29">
        <v>6695000</v>
      </c>
      <c r="F244" s="34">
        <f t="shared" si="15"/>
        <v>535600</v>
      </c>
      <c r="G244" s="37">
        <f t="shared" si="16"/>
        <v>7230600</v>
      </c>
      <c r="H244" s="35">
        <v>7230600</v>
      </c>
      <c r="I244" s="36">
        <f t="shared" si="17"/>
        <v>0</v>
      </c>
      <c r="J244" s="9">
        <v>45910</v>
      </c>
      <c r="K244" s="2" t="s">
        <v>419</v>
      </c>
    </row>
    <row r="245" spans="1:11" ht="15" hidden="1" customHeight="1" x14ac:dyDescent="0.3">
      <c r="A245" s="30" t="s">
        <v>21</v>
      </c>
      <c r="B245" s="31" t="s">
        <v>364</v>
      </c>
      <c r="C245" s="32" t="s">
        <v>347</v>
      </c>
      <c r="D245" s="33"/>
      <c r="E245" s="29">
        <v>12650000</v>
      </c>
      <c r="F245" s="34">
        <f t="shared" si="15"/>
        <v>1012000</v>
      </c>
      <c r="G245" s="37">
        <f t="shared" si="16"/>
        <v>13662000</v>
      </c>
      <c r="H245" s="35">
        <v>13662000</v>
      </c>
      <c r="I245" s="36">
        <f t="shared" si="17"/>
        <v>0</v>
      </c>
      <c r="J245" s="9">
        <v>45910</v>
      </c>
      <c r="K245" s="2" t="s">
        <v>419</v>
      </c>
    </row>
    <row r="246" spans="1:11" ht="15" hidden="1" customHeight="1" x14ac:dyDescent="0.3">
      <c r="A246" s="30" t="s">
        <v>294</v>
      </c>
      <c r="B246" s="31" t="s">
        <v>364</v>
      </c>
      <c r="C246" s="33" t="s">
        <v>348</v>
      </c>
      <c r="D246" s="33"/>
      <c r="E246" s="29">
        <v>-636486</v>
      </c>
      <c r="F246" s="34">
        <f t="shared" si="15"/>
        <v>-50918.880000000005</v>
      </c>
      <c r="G246" s="37">
        <f t="shared" si="16"/>
        <v>-687404.88</v>
      </c>
      <c r="H246" s="35">
        <v>-687404.88</v>
      </c>
      <c r="I246" s="36">
        <f t="shared" si="17"/>
        <v>0</v>
      </c>
      <c r="J246" s="9">
        <v>45848</v>
      </c>
      <c r="K246" s="2" t="s">
        <v>419</v>
      </c>
    </row>
    <row r="247" spans="1:11" ht="15" hidden="1" customHeight="1" x14ac:dyDescent="0.3">
      <c r="A247" s="30" t="s">
        <v>294</v>
      </c>
      <c r="B247" s="31" t="s">
        <v>364</v>
      </c>
      <c r="C247" s="33" t="s">
        <v>349</v>
      </c>
      <c r="D247" s="33"/>
      <c r="E247" s="29">
        <v>-368500</v>
      </c>
      <c r="F247" s="34">
        <f t="shared" si="15"/>
        <v>-29480</v>
      </c>
      <c r="G247" s="37">
        <f t="shared" si="16"/>
        <v>-397980</v>
      </c>
      <c r="H247" s="35">
        <v>-397980</v>
      </c>
      <c r="I247" s="36">
        <f t="shared" si="17"/>
        <v>0</v>
      </c>
      <c r="J247" s="9">
        <v>45848</v>
      </c>
      <c r="K247" s="2" t="s">
        <v>419</v>
      </c>
    </row>
    <row r="248" spans="1:11" ht="15" hidden="1" customHeight="1" x14ac:dyDescent="0.3">
      <c r="A248" s="30" t="s">
        <v>28</v>
      </c>
      <c r="B248" s="31" t="s">
        <v>365</v>
      </c>
      <c r="C248" s="32" t="s">
        <v>350</v>
      </c>
      <c r="D248" s="33"/>
      <c r="E248" s="29">
        <v>4830000</v>
      </c>
      <c r="F248" s="34">
        <f t="shared" si="15"/>
        <v>386400</v>
      </c>
      <c r="G248" s="37">
        <f t="shared" si="16"/>
        <v>5216400</v>
      </c>
      <c r="H248" s="35">
        <v>5216400</v>
      </c>
      <c r="I248" s="36">
        <f t="shared" si="17"/>
        <v>0</v>
      </c>
      <c r="J248" s="9">
        <v>45910</v>
      </c>
      <c r="K248" s="2" t="s">
        <v>419</v>
      </c>
    </row>
    <row r="249" spans="1:11" ht="15" hidden="1" customHeight="1" x14ac:dyDescent="0.3">
      <c r="A249" s="30" t="s">
        <v>19</v>
      </c>
      <c r="B249" s="31" t="s">
        <v>366</v>
      </c>
      <c r="C249" s="32" t="s">
        <v>351</v>
      </c>
      <c r="D249" s="33"/>
      <c r="E249" s="29">
        <v>2010000</v>
      </c>
      <c r="F249" s="34">
        <f t="shared" si="15"/>
        <v>160800</v>
      </c>
      <c r="G249" s="37">
        <f t="shared" si="16"/>
        <v>2170800</v>
      </c>
      <c r="H249" s="35">
        <v>2170800</v>
      </c>
      <c r="I249" s="36">
        <f t="shared" si="17"/>
        <v>0</v>
      </c>
      <c r="J249" s="9">
        <v>45930</v>
      </c>
    </row>
    <row r="250" spans="1:11" ht="15" hidden="1" customHeight="1" x14ac:dyDescent="0.3">
      <c r="A250" s="30" t="s">
        <v>21</v>
      </c>
      <c r="B250" s="31" t="s">
        <v>366</v>
      </c>
      <c r="C250" s="32" t="s">
        <v>352</v>
      </c>
      <c r="D250" s="33"/>
      <c r="E250" s="29">
        <v>14140000</v>
      </c>
      <c r="F250" s="34">
        <f t="shared" si="15"/>
        <v>1131200</v>
      </c>
      <c r="G250" s="37">
        <f t="shared" si="16"/>
        <v>15271200</v>
      </c>
      <c r="H250" s="35">
        <v>15271200</v>
      </c>
      <c r="I250" s="36">
        <f t="shared" si="17"/>
        <v>0</v>
      </c>
      <c r="J250" s="9">
        <v>45910</v>
      </c>
      <c r="K250" s="2" t="s">
        <v>419</v>
      </c>
    </row>
    <row r="251" spans="1:11" ht="15" hidden="1" customHeight="1" x14ac:dyDescent="0.3">
      <c r="A251" s="30" t="s">
        <v>28</v>
      </c>
      <c r="B251" s="31" t="s">
        <v>366</v>
      </c>
      <c r="C251" s="32" t="s">
        <v>353</v>
      </c>
      <c r="D251" s="33"/>
      <c r="E251" s="29">
        <v>2040000</v>
      </c>
      <c r="F251" s="34">
        <f t="shared" si="15"/>
        <v>163200</v>
      </c>
      <c r="G251" s="37">
        <f t="shared" si="16"/>
        <v>2203200</v>
      </c>
      <c r="H251" s="35">
        <v>2203200</v>
      </c>
      <c r="I251" s="36">
        <f t="shared" si="17"/>
        <v>0</v>
      </c>
      <c r="J251" s="9">
        <v>45910</v>
      </c>
      <c r="K251" s="2" t="s">
        <v>419</v>
      </c>
    </row>
    <row r="252" spans="1:11" ht="15" hidden="1" customHeight="1" x14ac:dyDescent="0.3">
      <c r="A252" s="30" t="s">
        <v>23</v>
      </c>
      <c r="B252" s="31" t="s">
        <v>367</v>
      </c>
      <c r="C252" s="32" t="s">
        <v>354</v>
      </c>
      <c r="D252" s="33"/>
      <c r="E252" s="29">
        <v>11220000</v>
      </c>
      <c r="F252" s="34">
        <f t="shared" si="15"/>
        <v>897600</v>
      </c>
      <c r="G252" s="37">
        <f t="shared" si="16"/>
        <v>12117600</v>
      </c>
      <c r="H252" s="35">
        <v>12117600</v>
      </c>
      <c r="I252" s="36">
        <f t="shared" si="17"/>
        <v>0</v>
      </c>
      <c r="J252" s="9">
        <v>45971</v>
      </c>
    </row>
    <row r="253" spans="1:11" ht="15" hidden="1" customHeight="1" x14ac:dyDescent="0.3">
      <c r="A253" s="30" t="s">
        <v>45</v>
      </c>
      <c r="B253" s="31" t="s">
        <v>367</v>
      </c>
      <c r="C253" s="32" t="s">
        <v>355</v>
      </c>
      <c r="D253" s="33"/>
      <c r="E253" s="29">
        <v>8655000</v>
      </c>
      <c r="F253" s="34">
        <f t="shared" si="15"/>
        <v>692400</v>
      </c>
      <c r="G253" s="37">
        <f t="shared" si="16"/>
        <v>9347400</v>
      </c>
      <c r="H253" s="35">
        <v>9347400</v>
      </c>
      <c r="I253" s="36">
        <f t="shared" si="17"/>
        <v>0</v>
      </c>
      <c r="J253" s="9">
        <v>45930</v>
      </c>
      <c r="K253" s="2" t="s">
        <v>464</v>
      </c>
    </row>
    <row r="254" spans="1:11" ht="15" hidden="1" customHeight="1" x14ac:dyDescent="0.3">
      <c r="A254" s="30" t="s">
        <v>48</v>
      </c>
      <c r="B254" s="31" t="s">
        <v>367</v>
      </c>
      <c r="C254" s="32" t="s">
        <v>356</v>
      </c>
      <c r="D254" s="33"/>
      <c r="E254" s="29">
        <v>5010000</v>
      </c>
      <c r="F254" s="34">
        <f t="shared" si="15"/>
        <v>400800</v>
      </c>
      <c r="G254" s="37">
        <f t="shared" si="16"/>
        <v>5410800</v>
      </c>
      <c r="H254" s="35">
        <v>5410800</v>
      </c>
      <c r="I254" s="36">
        <f t="shared" si="17"/>
        <v>0</v>
      </c>
      <c r="J254" s="9">
        <v>45930</v>
      </c>
      <c r="K254" s="2" t="s">
        <v>464</v>
      </c>
    </row>
    <row r="255" spans="1:11" ht="15" hidden="1" customHeight="1" x14ac:dyDescent="0.3">
      <c r="A255" s="30" t="s">
        <v>26</v>
      </c>
      <c r="B255" s="31" t="s">
        <v>367</v>
      </c>
      <c r="C255" s="32" t="s">
        <v>357</v>
      </c>
      <c r="D255" s="33"/>
      <c r="E255" s="29">
        <v>2730000</v>
      </c>
      <c r="F255" s="34">
        <f t="shared" si="15"/>
        <v>218400</v>
      </c>
      <c r="G255" s="37">
        <f t="shared" si="16"/>
        <v>2948400</v>
      </c>
      <c r="H255" s="35">
        <v>2948400</v>
      </c>
      <c r="I255" s="36">
        <f t="shared" si="17"/>
        <v>0</v>
      </c>
      <c r="J255" s="9">
        <v>45910</v>
      </c>
    </row>
    <row r="256" spans="1:11" ht="15" hidden="1" customHeight="1" x14ac:dyDescent="0.3">
      <c r="A256" s="30" t="s">
        <v>32</v>
      </c>
      <c r="B256" s="31" t="s">
        <v>367</v>
      </c>
      <c r="C256" s="32" t="s">
        <v>358</v>
      </c>
      <c r="D256" s="33"/>
      <c r="E256" s="29">
        <v>15710000</v>
      </c>
      <c r="F256" s="34">
        <f t="shared" si="15"/>
        <v>1256800</v>
      </c>
      <c r="G256" s="37">
        <f t="shared" si="16"/>
        <v>16966800</v>
      </c>
      <c r="H256" s="35">
        <v>16966800</v>
      </c>
      <c r="I256" s="36">
        <f t="shared" si="17"/>
        <v>0</v>
      </c>
      <c r="J256" s="9">
        <v>45910</v>
      </c>
      <c r="K256" s="2" t="s">
        <v>419</v>
      </c>
    </row>
    <row r="257" spans="1:11" ht="15" hidden="1" customHeight="1" x14ac:dyDescent="0.3">
      <c r="A257" s="30" t="s">
        <v>21</v>
      </c>
      <c r="B257" s="31" t="s">
        <v>367</v>
      </c>
      <c r="C257" s="32" t="s">
        <v>359</v>
      </c>
      <c r="D257" s="33"/>
      <c r="E257" s="29">
        <v>9350000</v>
      </c>
      <c r="F257" s="34">
        <f t="shared" si="15"/>
        <v>748000</v>
      </c>
      <c r="G257" s="37">
        <f t="shared" si="16"/>
        <v>10098000</v>
      </c>
      <c r="H257" s="35">
        <v>10098000</v>
      </c>
      <c r="I257" s="36">
        <f t="shared" si="17"/>
        <v>0</v>
      </c>
      <c r="J257" s="9">
        <v>45930</v>
      </c>
    </row>
    <row r="258" spans="1:11" ht="15" hidden="1" customHeight="1" x14ac:dyDescent="0.3">
      <c r="A258" s="30" t="s">
        <v>27</v>
      </c>
      <c r="B258" s="31" t="s">
        <v>367</v>
      </c>
      <c r="C258" s="32" t="s">
        <v>360</v>
      </c>
      <c r="D258" s="33"/>
      <c r="E258" s="29">
        <v>1560000</v>
      </c>
      <c r="F258" s="34">
        <f t="shared" si="15"/>
        <v>124800</v>
      </c>
      <c r="G258" s="37">
        <f t="shared" si="16"/>
        <v>1684800</v>
      </c>
      <c r="H258" s="35">
        <v>1684800</v>
      </c>
      <c r="I258" s="36">
        <f t="shared" si="17"/>
        <v>0</v>
      </c>
      <c r="J258" s="9">
        <v>45930</v>
      </c>
    </row>
    <row r="259" spans="1:11" ht="15" hidden="1" customHeight="1" x14ac:dyDescent="0.3">
      <c r="A259" s="30" t="s">
        <v>18</v>
      </c>
      <c r="B259" s="31" t="s">
        <v>406</v>
      </c>
      <c r="C259" s="32" t="s">
        <v>368</v>
      </c>
      <c r="D259" s="33"/>
      <c r="E259" s="29">
        <v>990000</v>
      </c>
      <c r="F259" s="34">
        <f t="shared" si="15"/>
        <v>79200</v>
      </c>
      <c r="G259" s="37">
        <f t="shared" si="16"/>
        <v>1069200</v>
      </c>
      <c r="H259" s="35">
        <v>1069200</v>
      </c>
      <c r="I259" s="36">
        <f t="shared" si="17"/>
        <v>0</v>
      </c>
      <c r="J259" s="9">
        <v>45930</v>
      </c>
    </row>
    <row r="260" spans="1:11" ht="15" hidden="1" customHeight="1" x14ac:dyDescent="0.3">
      <c r="A260" s="30" t="s">
        <v>17</v>
      </c>
      <c r="B260" s="31" t="s">
        <v>406</v>
      </c>
      <c r="C260" s="32" t="s">
        <v>369</v>
      </c>
      <c r="D260" s="33"/>
      <c r="E260" s="29">
        <v>32355000</v>
      </c>
      <c r="F260" s="34">
        <f t="shared" si="15"/>
        <v>2588400</v>
      </c>
      <c r="G260" s="37">
        <f t="shared" si="16"/>
        <v>34943400</v>
      </c>
      <c r="H260" s="35">
        <v>34943400</v>
      </c>
      <c r="I260" s="36">
        <f t="shared" si="17"/>
        <v>0</v>
      </c>
      <c r="J260" s="9">
        <v>45930</v>
      </c>
    </row>
    <row r="261" spans="1:11" ht="15" hidden="1" customHeight="1" x14ac:dyDescent="0.3">
      <c r="A261" s="30" t="s">
        <v>48</v>
      </c>
      <c r="B261" s="31" t="s">
        <v>407</v>
      </c>
      <c r="C261" s="32" t="s">
        <v>370</v>
      </c>
      <c r="D261" s="33"/>
      <c r="E261" s="29">
        <v>2775000</v>
      </c>
      <c r="F261" s="34">
        <f t="shared" si="15"/>
        <v>222000</v>
      </c>
      <c r="G261" s="37">
        <f t="shared" si="16"/>
        <v>2997000</v>
      </c>
      <c r="H261" s="35">
        <v>2997000</v>
      </c>
      <c r="I261" s="36">
        <f t="shared" si="17"/>
        <v>0</v>
      </c>
      <c r="J261" s="9">
        <v>45930</v>
      </c>
      <c r="K261" s="2" t="s">
        <v>464</v>
      </c>
    </row>
    <row r="262" spans="1:11" ht="15" hidden="1" customHeight="1" x14ac:dyDescent="0.3">
      <c r="A262" s="30" t="s">
        <v>23</v>
      </c>
      <c r="B262" s="31">
        <v>45888</v>
      </c>
      <c r="C262" s="32" t="s">
        <v>371</v>
      </c>
      <c r="D262" s="32" t="s">
        <v>418</v>
      </c>
      <c r="E262" s="29">
        <v>15105000</v>
      </c>
      <c r="F262" s="34">
        <f t="shared" si="15"/>
        <v>1208400</v>
      </c>
      <c r="G262" s="37">
        <f t="shared" si="16"/>
        <v>16313400</v>
      </c>
      <c r="H262" s="35">
        <v>16313400</v>
      </c>
      <c r="I262" s="36">
        <f t="shared" si="17"/>
        <v>0</v>
      </c>
      <c r="J262" s="9">
        <v>45960</v>
      </c>
    </row>
    <row r="263" spans="1:11" ht="15" hidden="1" customHeight="1" x14ac:dyDescent="0.3">
      <c r="A263" s="30" t="s">
        <v>20</v>
      </c>
      <c r="B263" s="31" t="s">
        <v>407</v>
      </c>
      <c r="C263" s="32" t="s">
        <v>372</v>
      </c>
      <c r="D263" s="33"/>
      <c r="E263" s="29">
        <v>3480000</v>
      </c>
      <c r="F263" s="34">
        <f t="shared" si="15"/>
        <v>278400</v>
      </c>
      <c r="G263" s="37">
        <f t="shared" si="16"/>
        <v>3758400</v>
      </c>
      <c r="H263" s="35">
        <v>3758400</v>
      </c>
      <c r="I263" s="36">
        <f t="shared" si="17"/>
        <v>0</v>
      </c>
      <c r="J263" s="9">
        <v>45930</v>
      </c>
    </row>
    <row r="264" spans="1:11" ht="15" hidden="1" customHeight="1" x14ac:dyDescent="0.3">
      <c r="A264" s="30" t="s">
        <v>18</v>
      </c>
      <c r="B264" s="31" t="s">
        <v>407</v>
      </c>
      <c r="C264" s="32" t="s">
        <v>373</v>
      </c>
      <c r="D264" s="33"/>
      <c r="E264" s="29">
        <v>1965000</v>
      </c>
      <c r="F264" s="34">
        <f t="shared" si="15"/>
        <v>157200</v>
      </c>
      <c r="G264" s="37">
        <f t="shared" si="16"/>
        <v>2122200</v>
      </c>
      <c r="H264" s="35">
        <v>2122200</v>
      </c>
      <c r="I264" s="36">
        <f t="shared" si="17"/>
        <v>0</v>
      </c>
      <c r="J264" s="9">
        <v>45930</v>
      </c>
    </row>
    <row r="265" spans="1:11" ht="15" hidden="1" customHeight="1" x14ac:dyDescent="0.3">
      <c r="A265" s="30" t="s">
        <v>19</v>
      </c>
      <c r="B265" s="31" t="s">
        <v>407</v>
      </c>
      <c r="C265" s="32" t="s">
        <v>374</v>
      </c>
      <c r="D265" s="33"/>
      <c r="E265" s="29">
        <v>6405000</v>
      </c>
      <c r="F265" s="34">
        <f t="shared" si="15"/>
        <v>512400</v>
      </c>
      <c r="G265" s="37">
        <f t="shared" si="16"/>
        <v>6917400</v>
      </c>
      <c r="H265" s="35">
        <v>6917400</v>
      </c>
      <c r="I265" s="36">
        <f t="shared" si="17"/>
        <v>0</v>
      </c>
      <c r="J265" s="9">
        <v>45930</v>
      </c>
    </row>
    <row r="266" spans="1:11" ht="15" hidden="1" customHeight="1" x14ac:dyDescent="0.3">
      <c r="A266" s="30" t="s">
        <v>26</v>
      </c>
      <c r="B266" s="31">
        <v>45887</v>
      </c>
      <c r="C266" s="32" t="s">
        <v>375</v>
      </c>
      <c r="D266" s="32" t="s">
        <v>417</v>
      </c>
      <c r="E266" s="29">
        <v>810000</v>
      </c>
      <c r="F266" s="34">
        <f t="shared" si="15"/>
        <v>64800</v>
      </c>
      <c r="G266" s="37">
        <f t="shared" si="16"/>
        <v>874800</v>
      </c>
      <c r="H266" s="35">
        <v>874800</v>
      </c>
      <c r="I266" s="36">
        <f t="shared" si="17"/>
        <v>0</v>
      </c>
      <c r="J266" s="9">
        <v>45940</v>
      </c>
    </row>
    <row r="267" spans="1:11" ht="15" hidden="1" customHeight="1" x14ac:dyDescent="0.3">
      <c r="A267" s="30" t="s">
        <v>32</v>
      </c>
      <c r="B267" s="31" t="s">
        <v>407</v>
      </c>
      <c r="C267" s="32" t="s">
        <v>376</v>
      </c>
      <c r="D267" s="33"/>
      <c r="E267" s="29">
        <v>9165000</v>
      </c>
      <c r="F267" s="34">
        <f t="shared" si="15"/>
        <v>733200</v>
      </c>
      <c r="G267" s="37">
        <f t="shared" si="16"/>
        <v>9898200</v>
      </c>
      <c r="H267" s="35">
        <v>9898200</v>
      </c>
      <c r="I267" s="36">
        <f t="shared" si="17"/>
        <v>0</v>
      </c>
      <c r="J267" s="9">
        <v>45930</v>
      </c>
      <c r="K267" s="2" t="s">
        <v>464</v>
      </c>
    </row>
    <row r="268" spans="1:11" ht="15" hidden="1" customHeight="1" x14ac:dyDescent="0.3">
      <c r="A268" s="30" t="s">
        <v>441</v>
      </c>
      <c r="B268" s="31" t="s">
        <v>408</v>
      </c>
      <c r="C268" s="33" t="s">
        <v>377</v>
      </c>
      <c r="D268" s="33"/>
      <c r="E268" s="29">
        <v>-1300253</v>
      </c>
      <c r="F268" s="34">
        <f t="shared" si="15"/>
        <v>-104020.24</v>
      </c>
      <c r="G268" s="37">
        <f t="shared" si="16"/>
        <v>-1404273.24</v>
      </c>
      <c r="H268" s="35">
        <v>-1404273.24</v>
      </c>
      <c r="I268" s="36">
        <f t="shared" si="17"/>
        <v>0</v>
      </c>
      <c r="J268" s="9">
        <v>45868</v>
      </c>
      <c r="K268" s="2" t="s">
        <v>419</v>
      </c>
    </row>
    <row r="269" spans="1:11" ht="15" hidden="1" customHeight="1" x14ac:dyDescent="0.3">
      <c r="A269" s="30" t="s">
        <v>17</v>
      </c>
      <c r="B269" s="31" t="s">
        <v>409</v>
      </c>
      <c r="C269" s="32" t="s">
        <v>378</v>
      </c>
      <c r="D269" s="33"/>
      <c r="E269" s="29">
        <v>1920000</v>
      </c>
      <c r="F269" s="34">
        <f t="shared" si="15"/>
        <v>153600</v>
      </c>
      <c r="G269" s="37">
        <f t="shared" si="16"/>
        <v>2073600</v>
      </c>
      <c r="H269" s="35">
        <v>2073600</v>
      </c>
      <c r="I269" s="36">
        <f t="shared" si="17"/>
        <v>0</v>
      </c>
      <c r="J269" s="9">
        <v>45930</v>
      </c>
    </row>
    <row r="270" spans="1:11" ht="15" hidden="1" customHeight="1" x14ac:dyDescent="0.3">
      <c r="A270" s="30" t="s">
        <v>17</v>
      </c>
      <c r="B270" s="31" t="s">
        <v>410</v>
      </c>
      <c r="C270" s="32" t="s">
        <v>379</v>
      </c>
      <c r="D270" s="33"/>
      <c r="E270" s="29">
        <v>7280000</v>
      </c>
      <c r="F270" s="34">
        <f t="shared" si="15"/>
        <v>582400</v>
      </c>
      <c r="G270" s="37">
        <f t="shared" si="16"/>
        <v>7862400</v>
      </c>
      <c r="H270" s="35">
        <v>7862400</v>
      </c>
      <c r="I270" s="36">
        <f t="shared" si="17"/>
        <v>0</v>
      </c>
      <c r="J270" s="9">
        <v>45940</v>
      </c>
    </row>
    <row r="271" spans="1:11" ht="15" hidden="1" customHeight="1" x14ac:dyDescent="0.3">
      <c r="A271" s="30" t="s">
        <v>442</v>
      </c>
      <c r="B271" s="31" t="s">
        <v>411</v>
      </c>
      <c r="C271" s="33" t="s">
        <v>380</v>
      </c>
      <c r="D271" s="33"/>
      <c r="E271" s="29">
        <v>-100476</v>
      </c>
      <c r="F271" s="34">
        <f t="shared" si="15"/>
        <v>-8038.08</v>
      </c>
      <c r="G271" s="37">
        <f t="shared" si="16"/>
        <v>-108514.08</v>
      </c>
      <c r="H271" s="35">
        <v>-108514.08</v>
      </c>
      <c r="I271" s="36">
        <f t="shared" si="17"/>
        <v>0</v>
      </c>
      <c r="J271" s="9">
        <v>45868</v>
      </c>
      <c r="K271" s="2" t="s">
        <v>419</v>
      </c>
    </row>
    <row r="272" spans="1:11" ht="15" hidden="1" customHeight="1" x14ac:dyDescent="0.3">
      <c r="A272" s="30" t="s">
        <v>442</v>
      </c>
      <c r="B272" s="31" t="s">
        <v>411</v>
      </c>
      <c r="C272" s="33" t="s">
        <v>381</v>
      </c>
      <c r="D272" s="33"/>
      <c r="E272" s="29">
        <v>-1768000</v>
      </c>
      <c r="F272" s="34">
        <f t="shared" si="15"/>
        <v>-141440</v>
      </c>
      <c r="G272" s="37">
        <f t="shared" si="16"/>
        <v>-1909440</v>
      </c>
      <c r="H272" s="35">
        <v>-1909440</v>
      </c>
      <c r="I272" s="36">
        <f t="shared" si="17"/>
        <v>0</v>
      </c>
      <c r="J272" s="9">
        <v>45868</v>
      </c>
      <c r="K272" s="2" t="s">
        <v>419</v>
      </c>
    </row>
    <row r="273" spans="1:11" ht="15" hidden="1" customHeight="1" x14ac:dyDescent="0.3">
      <c r="A273" s="30" t="s">
        <v>442</v>
      </c>
      <c r="B273" s="31" t="s">
        <v>411</v>
      </c>
      <c r="C273" s="33" t="s">
        <v>382</v>
      </c>
      <c r="D273" s="33"/>
      <c r="E273" s="29">
        <v>-544500</v>
      </c>
      <c r="F273" s="34">
        <f t="shared" si="15"/>
        <v>-43560</v>
      </c>
      <c r="G273" s="37">
        <f t="shared" si="16"/>
        <v>-588060</v>
      </c>
      <c r="H273" s="35">
        <v>-588060</v>
      </c>
      <c r="I273" s="36">
        <f t="shared" si="17"/>
        <v>0</v>
      </c>
      <c r="J273" s="9">
        <v>45868</v>
      </c>
      <c r="K273" s="2" t="s">
        <v>419</v>
      </c>
    </row>
    <row r="274" spans="1:11" ht="15" hidden="1" customHeight="1" x14ac:dyDescent="0.3">
      <c r="A274" s="30" t="s">
        <v>295</v>
      </c>
      <c r="B274" s="31" t="s">
        <v>412</v>
      </c>
      <c r="C274" s="32" t="s">
        <v>383</v>
      </c>
      <c r="D274" s="33"/>
      <c r="E274" s="29">
        <v>4055000</v>
      </c>
      <c r="F274" s="34">
        <f t="shared" si="15"/>
        <v>324400</v>
      </c>
      <c r="G274" s="37">
        <f t="shared" si="16"/>
        <v>4379400</v>
      </c>
      <c r="H274" s="35">
        <v>4379400</v>
      </c>
      <c r="I274" s="36">
        <f t="shared" si="17"/>
        <v>0</v>
      </c>
      <c r="J274" s="9">
        <v>45940</v>
      </c>
    </row>
    <row r="275" spans="1:11" ht="15" hidden="1" customHeight="1" x14ac:dyDescent="0.3">
      <c r="A275" s="30" t="s">
        <v>21</v>
      </c>
      <c r="B275" s="31" t="s">
        <v>412</v>
      </c>
      <c r="C275" s="32" t="s">
        <v>384</v>
      </c>
      <c r="D275" s="33"/>
      <c r="E275" s="29">
        <v>6465000</v>
      </c>
      <c r="F275" s="34">
        <f t="shared" si="15"/>
        <v>517200</v>
      </c>
      <c r="G275" s="37">
        <f t="shared" si="16"/>
        <v>6982200</v>
      </c>
      <c r="H275" s="35">
        <v>6982200</v>
      </c>
      <c r="I275" s="36">
        <f t="shared" si="17"/>
        <v>0</v>
      </c>
      <c r="J275" s="9">
        <v>45940</v>
      </c>
    </row>
    <row r="276" spans="1:11" ht="15" hidden="1" customHeight="1" x14ac:dyDescent="0.3">
      <c r="A276" s="30" t="s">
        <v>18</v>
      </c>
      <c r="B276" s="31" t="s">
        <v>412</v>
      </c>
      <c r="C276" s="32" t="s">
        <v>385</v>
      </c>
      <c r="D276" s="33"/>
      <c r="E276" s="29">
        <v>3840000</v>
      </c>
      <c r="F276" s="34">
        <f t="shared" si="15"/>
        <v>307200</v>
      </c>
      <c r="G276" s="37">
        <f t="shared" si="16"/>
        <v>4147200</v>
      </c>
      <c r="H276" s="35">
        <v>4147200</v>
      </c>
      <c r="I276" s="36">
        <f t="shared" si="17"/>
        <v>0</v>
      </c>
      <c r="J276" s="9">
        <v>45940</v>
      </c>
    </row>
    <row r="277" spans="1:11" ht="15" hidden="1" customHeight="1" x14ac:dyDescent="0.3">
      <c r="A277" s="30" t="s">
        <v>23</v>
      </c>
      <c r="B277" s="31" t="s">
        <v>412</v>
      </c>
      <c r="C277" s="32" t="s">
        <v>386</v>
      </c>
      <c r="D277" s="33"/>
      <c r="E277" s="29">
        <v>16415000</v>
      </c>
      <c r="F277" s="34">
        <f t="shared" si="15"/>
        <v>1313200</v>
      </c>
      <c r="G277" s="37">
        <f t="shared" si="16"/>
        <v>17728200</v>
      </c>
      <c r="H277" s="35">
        <v>17728200</v>
      </c>
      <c r="I277" s="36">
        <f t="shared" si="17"/>
        <v>0</v>
      </c>
      <c r="J277" s="9">
        <v>45940</v>
      </c>
    </row>
    <row r="278" spans="1:11" ht="15" hidden="1" customHeight="1" x14ac:dyDescent="0.3">
      <c r="A278" s="30" t="s">
        <v>27</v>
      </c>
      <c r="B278" s="31" t="s">
        <v>412</v>
      </c>
      <c r="C278" s="32" t="s">
        <v>387</v>
      </c>
      <c r="D278" s="33"/>
      <c r="E278" s="29">
        <v>7695000</v>
      </c>
      <c r="F278" s="34">
        <f t="shared" ref="F278:F328" si="18">+E278*0.08</f>
        <v>615600</v>
      </c>
      <c r="G278" s="37">
        <f t="shared" ref="G278:G328" si="19">E278+F278</f>
        <v>8310600</v>
      </c>
      <c r="H278" s="35">
        <v>8310600</v>
      </c>
      <c r="I278" s="36">
        <f t="shared" ref="I278:I341" si="20">G278-H278</f>
        <v>0</v>
      </c>
      <c r="J278" s="9">
        <v>45940</v>
      </c>
    </row>
    <row r="279" spans="1:11" ht="15" hidden="1" customHeight="1" x14ac:dyDescent="0.3">
      <c r="A279" s="30" t="s">
        <v>48</v>
      </c>
      <c r="B279" s="31" t="s">
        <v>412</v>
      </c>
      <c r="C279" s="32" t="s">
        <v>388</v>
      </c>
      <c r="D279" s="33"/>
      <c r="E279" s="29">
        <v>3885000</v>
      </c>
      <c r="F279" s="34">
        <f t="shared" si="18"/>
        <v>310800</v>
      </c>
      <c r="G279" s="37">
        <f t="shared" si="19"/>
        <v>4195800</v>
      </c>
      <c r="H279" s="35">
        <v>4195800</v>
      </c>
      <c r="I279" s="36">
        <f t="shared" si="20"/>
        <v>0</v>
      </c>
      <c r="J279" s="9">
        <v>45940</v>
      </c>
      <c r="K279" s="2" t="s">
        <v>464</v>
      </c>
    </row>
    <row r="280" spans="1:11" ht="15" hidden="1" customHeight="1" x14ac:dyDescent="0.3">
      <c r="A280" s="30" t="s">
        <v>26</v>
      </c>
      <c r="B280" s="31" t="s">
        <v>412</v>
      </c>
      <c r="C280" s="32" t="s">
        <v>389</v>
      </c>
      <c r="D280" s="33"/>
      <c r="E280" s="29">
        <v>6720000</v>
      </c>
      <c r="F280" s="34">
        <f t="shared" si="18"/>
        <v>537600</v>
      </c>
      <c r="G280" s="37">
        <f t="shared" si="19"/>
        <v>7257600</v>
      </c>
      <c r="H280" s="35">
        <v>7257600</v>
      </c>
      <c r="I280" s="36">
        <f t="shared" si="20"/>
        <v>0</v>
      </c>
      <c r="J280" s="9">
        <v>45930</v>
      </c>
    </row>
    <row r="281" spans="1:11" ht="15" hidden="1" customHeight="1" x14ac:dyDescent="0.3">
      <c r="A281" s="30" t="s">
        <v>32</v>
      </c>
      <c r="B281" s="31" t="s">
        <v>412</v>
      </c>
      <c r="C281" s="32" t="s">
        <v>390</v>
      </c>
      <c r="D281" s="33"/>
      <c r="E281" s="29">
        <v>9405000</v>
      </c>
      <c r="F281" s="34">
        <f t="shared" si="18"/>
        <v>752400</v>
      </c>
      <c r="G281" s="37">
        <f t="shared" si="19"/>
        <v>10157400</v>
      </c>
      <c r="H281" s="35">
        <v>10157400</v>
      </c>
      <c r="I281" s="36">
        <f t="shared" si="20"/>
        <v>0</v>
      </c>
      <c r="J281" s="9">
        <v>45940</v>
      </c>
      <c r="K281" s="2" t="s">
        <v>464</v>
      </c>
    </row>
    <row r="282" spans="1:11" ht="15" hidden="1" customHeight="1" x14ac:dyDescent="0.3">
      <c r="A282" s="30" t="s">
        <v>443</v>
      </c>
      <c r="B282" s="31" t="s">
        <v>413</v>
      </c>
      <c r="C282" s="33" t="s">
        <v>391</v>
      </c>
      <c r="D282" s="33"/>
      <c r="E282" s="29">
        <v>-807500</v>
      </c>
      <c r="F282" s="34">
        <f t="shared" si="18"/>
        <v>-64600</v>
      </c>
      <c r="G282" s="37">
        <f t="shared" si="19"/>
        <v>-872100</v>
      </c>
      <c r="H282" s="35">
        <v>-872100</v>
      </c>
      <c r="I282" s="36">
        <f t="shared" si="20"/>
        <v>0</v>
      </c>
      <c r="J282" s="9">
        <v>45880</v>
      </c>
    </row>
    <row r="283" spans="1:11" ht="15" hidden="1" customHeight="1" x14ac:dyDescent="0.3">
      <c r="A283" s="30" t="s">
        <v>443</v>
      </c>
      <c r="B283" s="31" t="s">
        <v>413</v>
      </c>
      <c r="C283" s="33" t="s">
        <v>392</v>
      </c>
      <c r="D283" s="33"/>
      <c r="E283" s="29">
        <v>-692538</v>
      </c>
      <c r="F283" s="34">
        <f t="shared" si="18"/>
        <v>-55403.040000000001</v>
      </c>
      <c r="G283" s="37">
        <f t="shared" si="19"/>
        <v>-747941.04</v>
      </c>
      <c r="H283" s="35">
        <v>-747941.04</v>
      </c>
      <c r="I283" s="36">
        <f t="shared" si="20"/>
        <v>0</v>
      </c>
      <c r="J283" s="9">
        <v>45880</v>
      </c>
    </row>
    <row r="284" spans="1:11" ht="15" hidden="1" customHeight="1" x14ac:dyDescent="0.3">
      <c r="A284" s="30" t="s">
        <v>443</v>
      </c>
      <c r="B284" s="31" t="s">
        <v>413</v>
      </c>
      <c r="C284" s="33" t="s">
        <v>393</v>
      </c>
      <c r="D284" s="33"/>
      <c r="E284" s="29">
        <v>-768000</v>
      </c>
      <c r="F284" s="34">
        <f t="shared" si="18"/>
        <v>-61440</v>
      </c>
      <c r="G284" s="37">
        <f t="shared" si="19"/>
        <v>-829440</v>
      </c>
      <c r="H284" s="35">
        <v>-829440</v>
      </c>
      <c r="I284" s="36">
        <f t="shared" si="20"/>
        <v>0</v>
      </c>
      <c r="J284" s="9">
        <v>45880</v>
      </c>
    </row>
    <row r="285" spans="1:11" ht="15" hidden="1" customHeight="1" x14ac:dyDescent="0.3">
      <c r="A285" s="30" t="s">
        <v>45</v>
      </c>
      <c r="B285" s="31" t="s">
        <v>414</v>
      </c>
      <c r="C285" s="32" t="s">
        <v>394</v>
      </c>
      <c r="D285" s="33"/>
      <c r="E285" s="29">
        <v>4815000</v>
      </c>
      <c r="F285" s="34">
        <f t="shared" si="18"/>
        <v>385200</v>
      </c>
      <c r="G285" s="37">
        <f t="shared" si="19"/>
        <v>5200200</v>
      </c>
      <c r="H285" s="35">
        <v>5200200</v>
      </c>
      <c r="I285" s="36">
        <f t="shared" si="20"/>
        <v>0</v>
      </c>
      <c r="J285" s="9">
        <v>45940</v>
      </c>
      <c r="K285" s="2" t="s">
        <v>464</v>
      </c>
    </row>
    <row r="286" spans="1:11" ht="15" hidden="1" customHeight="1" x14ac:dyDescent="0.3">
      <c r="A286" s="30" t="s">
        <v>25</v>
      </c>
      <c r="B286" s="31" t="s">
        <v>414</v>
      </c>
      <c r="C286" s="32" t="s">
        <v>395</v>
      </c>
      <c r="D286" s="33"/>
      <c r="E286" s="29">
        <v>3855000</v>
      </c>
      <c r="F286" s="34">
        <f t="shared" si="18"/>
        <v>308400</v>
      </c>
      <c r="G286" s="37">
        <f t="shared" si="19"/>
        <v>4163400</v>
      </c>
      <c r="H286" s="35">
        <v>4163400</v>
      </c>
      <c r="I286" s="36">
        <f t="shared" si="20"/>
        <v>0</v>
      </c>
      <c r="J286" s="9">
        <v>45940</v>
      </c>
    </row>
    <row r="287" spans="1:11" ht="15" hidden="1" customHeight="1" x14ac:dyDescent="0.3">
      <c r="A287" s="30" t="s">
        <v>21</v>
      </c>
      <c r="B287" s="31" t="s">
        <v>415</v>
      </c>
      <c r="C287" s="32" t="s">
        <v>396</v>
      </c>
      <c r="D287" s="33"/>
      <c r="E287" s="29">
        <v>1980000</v>
      </c>
      <c r="F287" s="34">
        <f t="shared" si="18"/>
        <v>158400</v>
      </c>
      <c r="G287" s="37">
        <f t="shared" si="19"/>
        <v>2138400</v>
      </c>
      <c r="H287" s="35">
        <v>2138400</v>
      </c>
      <c r="I287" s="36">
        <f t="shared" si="20"/>
        <v>0</v>
      </c>
      <c r="J287" s="9">
        <v>45940</v>
      </c>
    </row>
    <row r="288" spans="1:11" ht="15" hidden="1" customHeight="1" x14ac:dyDescent="0.3">
      <c r="A288" s="30" t="s">
        <v>463</v>
      </c>
      <c r="B288" s="31" t="s">
        <v>416</v>
      </c>
      <c r="C288" s="32" t="s">
        <v>397</v>
      </c>
      <c r="D288" s="33"/>
      <c r="E288" s="29">
        <v>3000000</v>
      </c>
      <c r="F288" s="34">
        <f t="shared" si="18"/>
        <v>240000</v>
      </c>
      <c r="G288" s="37">
        <f t="shared" si="19"/>
        <v>3240000</v>
      </c>
      <c r="H288" s="35">
        <v>3240000</v>
      </c>
      <c r="I288" s="36">
        <f t="shared" si="20"/>
        <v>0</v>
      </c>
      <c r="J288" s="9">
        <v>45940</v>
      </c>
    </row>
    <row r="289" spans="1:11" ht="15" hidden="1" customHeight="1" x14ac:dyDescent="0.3">
      <c r="A289" s="30" t="s">
        <v>21</v>
      </c>
      <c r="B289" s="31" t="s">
        <v>416</v>
      </c>
      <c r="C289" s="32" t="s">
        <v>398</v>
      </c>
      <c r="D289" s="33"/>
      <c r="E289" s="29">
        <v>3965000</v>
      </c>
      <c r="F289" s="34">
        <f t="shared" si="18"/>
        <v>317200</v>
      </c>
      <c r="G289" s="37">
        <f t="shared" si="19"/>
        <v>4282200</v>
      </c>
      <c r="H289" s="35">
        <v>4282200</v>
      </c>
      <c r="I289" s="36">
        <f t="shared" si="20"/>
        <v>0</v>
      </c>
      <c r="J289" s="9">
        <v>45940</v>
      </c>
    </row>
    <row r="290" spans="1:11" ht="15" hidden="1" customHeight="1" x14ac:dyDescent="0.3">
      <c r="A290" s="30" t="s">
        <v>23</v>
      </c>
      <c r="B290" s="31" t="s">
        <v>416</v>
      </c>
      <c r="C290" s="32" t="s">
        <v>399</v>
      </c>
      <c r="D290" s="33"/>
      <c r="E290" s="29">
        <v>9675000</v>
      </c>
      <c r="F290" s="34">
        <f t="shared" si="18"/>
        <v>774000</v>
      </c>
      <c r="G290" s="37">
        <f t="shared" si="19"/>
        <v>10449000</v>
      </c>
      <c r="H290" s="35">
        <v>10449000</v>
      </c>
      <c r="I290" s="36">
        <f t="shared" si="20"/>
        <v>0</v>
      </c>
      <c r="J290" s="9">
        <v>45960</v>
      </c>
    </row>
    <row r="291" spans="1:11" ht="15" hidden="1" customHeight="1" x14ac:dyDescent="0.3">
      <c r="A291" s="30" t="s">
        <v>28</v>
      </c>
      <c r="B291" s="31" t="s">
        <v>416</v>
      </c>
      <c r="C291" s="32" t="s">
        <v>400</v>
      </c>
      <c r="D291" s="33"/>
      <c r="E291" s="29">
        <v>6735000</v>
      </c>
      <c r="F291" s="34">
        <f t="shared" si="18"/>
        <v>538800</v>
      </c>
      <c r="G291" s="37">
        <f t="shared" si="19"/>
        <v>7273800</v>
      </c>
      <c r="H291" s="35">
        <v>7273800</v>
      </c>
      <c r="I291" s="36">
        <f t="shared" si="20"/>
        <v>0</v>
      </c>
      <c r="J291" s="9">
        <v>45940</v>
      </c>
    </row>
    <row r="292" spans="1:11" ht="15" hidden="1" customHeight="1" x14ac:dyDescent="0.3">
      <c r="A292" s="30" t="s">
        <v>27</v>
      </c>
      <c r="B292" s="31" t="s">
        <v>416</v>
      </c>
      <c r="C292" s="32" t="s">
        <v>401</v>
      </c>
      <c r="D292" s="33"/>
      <c r="E292" s="29">
        <v>8655000</v>
      </c>
      <c r="F292" s="34">
        <f t="shared" si="18"/>
        <v>692400</v>
      </c>
      <c r="G292" s="37">
        <f t="shared" si="19"/>
        <v>9347400</v>
      </c>
      <c r="H292" s="35">
        <v>9347400</v>
      </c>
      <c r="I292" s="36">
        <f t="shared" si="20"/>
        <v>0</v>
      </c>
      <c r="J292" s="9">
        <v>45940</v>
      </c>
    </row>
    <row r="293" spans="1:11" ht="15" hidden="1" customHeight="1" x14ac:dyDescent="0.3">
      <c r="A293" s="30" t="s">
        <v>48</v>
      </c>
      <c r="B293" s="31" t="s">
        <v>416</v>
      </c>
      <c r="C293" s="32" t="s">
        <v>402</v>
      </c>
      <c r="D293" s="33"/>
      <c r="E293" s="29">
        <v>7545000</v>
      </c>
      <c r="F293" s="34">
        <f t="shared" si="18"/>
        <v>603600</v>
      </c>
      <c r="G293" s="37">
        <f t="shared" si="19"/>
        <v>8148600</v>
      </c>
      <c r="H293" s="35">
        <v>8148600</v>
      </c>
      <c r="I293" s="36">
        <f t="shared" si="20"/>
        <v>0</v>
      </c>
      <c r="J293" s="9">
        <v>45940</v>
      </c>
      <c r="K293" s="2" t="s">
        <v>464</v>
      </c>
    </row>
    <row r="294" spans="1:11" ht="15" hidden="1" customHeight="1" x14ac:dyDescent="0.3">
      <c r="A294" s="30" t="s">
        <v>48</v>
      </c>
      <c r="B294" s="31" t="s">
        <v>416</v>
      </c>
      <c r="C294" s="32" t="s">
        <v>403</v>
      </c>
      <c r="D294" s="33"/>
      <c r="E294" s="29">
        <v>990000</v>
      </c>
      <c r="F294" s="34">
        <f t="shared" si="18"/>
        <v>79200</v>
      </c>
      <c r="G294" s="37">
        <f t="shared" si="19"/>
        <v>1069200</v>
      </c>
      <c r="H294" s="35">
        <v>1069200</v>
      </c>
      <c r="I294" s="36">
        <f t="shared" si="20"/>
        <v>0</v>
      </c>
      <c r="J294" s="9">
        <v>45940</v>
      </c>
      <c r="K294" s="2" t="s">
        <v>464</v>
      </c>
    </row>
    <row r="295" spans="1:11" ht="15" hidden="1" customHeight="1" x14ac:dyDescent="0.3">
      <c r="A295" s="30" t="s">
        <v>26</v>
      </c>
      <c r="B295" s="31">
        <v>45918</v>
      </c>
      <c r="C295" s="32" t="s">
        <v>404</v>
      </c>
      <c r="D295" s="32" t="s">
        <v>465</v>
      </c>
      <c r="E295" s="29">
        <v>2810500</v>
      </c>
      <c r="F295" s="34">
        <f t="shared" si="18"/>
        <v>224840</v>
      </c>
      <c r="G295" s="37">
        <f t="shared" si="19"/>
        <v>3035340</v>
      </c>
      <c r="H295" s="35">
        <v>3035340</v>
      </c>
      <c r="I295" s="36">
        <f t="shared" si="20"/>
        <v>0</v>
      </c>
      <c r="J295" s="9">
        <v>45971</v>
      </c>
    </row>
    <row r="296" spans="1:11" ht="15" hidden="1" customHeight="1" x14ac:dyDescent="0.3">
      <c r="A296" s="30" t="s">
        <v>32</v>
      </c>
      <c r="B296" s="31" t="s">
        <v>416</v>
      </c>
      <c r="C296" s="32" t="s">
        <v>405</v>
      </c>
      <c r="D296" s="33"/>
      <c r="E296" s="29">
        <v>14495000</v>
      </c>
      <c r="F296" s="34">
        <f t="shared" si="18"/>
        <v>1159600</v>
      </c>
      <c r="G296" s="37">
        <f t="shared" si="19"/>
        <v>15654600</v>
      </c>
      <c r="H296" s="35">
        <v>15654600</v>
      </c>
      <c r="I296" s="36">
        <f t="shared" si="20"/>
        <v>0</v>
      </c>
      <c r="J296" s="9">
        <v>45940</v>
      </c>
      <c r="K296" s="2" t="s">
        <v>464</v>
      </c>
    </row>
    <row r="297" spans="1:11" ht="15" hidden="1" customHeight="1" x14ac:dyDescent="0.3">
      <c r="A297" s="30" t="s">
        <v>444</v>
      </c>
      <c r="B297" s="31" t="s">
        <v>437</v>
      </c>
      <c r="C297" s="33" t="s">
        <v>420</v>
      </c>
      <c r="D297" s="33"/>
      <c r="E297" s="29">
        <v>-334780</v>
      </c>
      <c r="F297" s="34">
        <f t="shared" si="18"/>
        <v>-26782.400000000001</v>
      </c>
      <c r="G297" s="37">
        <f t="shared" si="19"/>
        <v>-361562.4</v>
      </c>
      <c r="H297" s="35">
        <v>-361562.4</v>
      </c>
      <c r="I297" s="36">
        <f t="shared" si="20"/>
        <v>0</v>
      </c>
      <c r="J297" s="9">
        <v>45868</v>
      </c>
    </row>
    <row r="298" spans="1:11" ht="15" hidden="1" customHeight="1" x14ac:dyDescent="0.3">
      <c r="A298" s="30" t="s">
        <v>444</v>
      </c>
      <c r="B298" s="31" t="s">
        <v>437</v>
      </c>
      <c r="C298" s="33" t="s">
        <v>421</v>
      </c>
      <c r="D298" s="33"/>
      <c r="E298" s="29">
        <v>-98730</v>
      </c>
      <c r="F298" s="34">
        <f t="shared" si="18"/>
        <v>-7898.4000000000005</v>
      </c>
      <c r="G298" s="37">
        <f t="shared" si="19"/>
        <v>-106628.4</v>
      </c>
      <c r="H298" s="35">
        <v>-106628.4</v>
      </c>
      <c r="I298" s="36">
        <f t="shared" si="20"/>
        <v>0</v>
      </c>
      <c r="J298" s="9">
        <v>45868</v>
      </c>
    </row>
    <row r="299" spans="1:11" ht="15" hidden="1" customHeight="1" x14ac:dyDescent="0.3">
      <c r="A299" s="30" t="s">
        <v>444</v>
      </c>
      <c r="B299" s="31" t="s">
        <v>437</v>
      </c>
      <c r="C299" s="33" t="s">
        <v>422</v>
      </c>
      <c r="D299" s="33"/>
      <c r="E299" s="29">
        <v>-167500</v>
      </c>
      <c r="F299" s="34">
        <f t="shared" si="18"/>
        <v>-13400</v>
      </c>
      <c r="G299" s="37">
        <f t="shared" si="19"/>
        <v>-180900</v>
      </c>
      <c r="H299" s="35">
        <v>-180900</v>
      </c>
      <c r="I299" s="36">
        <f t="shared" si="20"/>
        <v>0</v>
      </c>
      <c r="J299" s="9">
        <v>45868</v>
      </c>
    </row>
    <row r="300" spans="1:11" ht="15" hidden="1" customHeight="1" x14ac:dyDescent="0.3">
      <c r="A300" s="30" t="s">
        <v>17</v>
      </c>
      <c r="B300" s="31" t="s">
        <v>437</v>
      </c>
      <c r="C300" s="32" t="s">
        <v>423</v>
      </c>
      <c r="D300" s="33"/>
      <c r="E300" s="29">
        <v>1980000</v>
      </c>
      <c r="F300" s="34">
        <f t="shared" si="18"/>
        <v>158400</v>
      </c>
      <c r="G300" s="37">
        <f t="shared" si="19"/>
        <v>2138400</v>
      </c>
      <c r="H300" s="35">
        <v>2138400</v>
      </c>
      <c r="I300" s="36">
        <f t="shared" si="20"/>
        <v>0</v>
      </c>
      <c r="J300" s="9">
        <v>45940</v>
      </c>
    </row>
    <row r="301" spans="1:11" ht="15" hidden="1" customHeight="1" x14ac:dyDescent="0.3">
      <c r="A301" s="30" t="s">
        <v>21</v>
      </c>
      <c r="B301" s="31" t="s">
        <v>438</v>
      </c>
      <c r="C301" s="32" t="s">
        <v>424</v>
      </c>
      <c r="D301" s="33"/>
      <c r="E301" s="29">
        <v>14315000</v>
      </c>
      <c r="F301" s="34">
        <f t="shared" si="18"/>
        <v>1145200</v>
      </c>
      <c r="G301" s="37">
        <f t="shared" si="19"/>
        <v>15460200</v>
      </c>
      <c r="H301" s="35">
        <v>15460200</v>
      </c>
      <c r="I301" s="36">
        <f t="shared" si="20"/>
        <v>0</v>
      </c>
      <c r="J301" s="9">
        <v>45960</v>
      </c>
    </row>
    <row r="302" spans="1:11" ht="15" hidden="1" customHeight="1" x14ac:dyDescent="0.3">
      <c r="A302" s="30" t="s">
        <v>22</v>
      </c>
      <c r="B302" s="31" t="s">
        <v>438</v>
      </c>
      <c r="C302" s="32" t="s">
        <v>425</v>
      </c>
      <c r="D302" s="33"/>
      <c r="E302" s="29">
        <v>4895000</v>
      </c>
      <c r="F302" s="34">
        <f t="shared" si="18"/>
        <v>391600</v>
      </c>
      <c r="G302" s="37">
        <f t="shared" si="19"/>
        <v>5286600</v>
      </c>
      <c r="H302" s="35">
        <v>5286600</v>
      </c>
      <c r="I302" s="36">
        <f t="shared" si="20"/>
        <v>0</v>
      </c>
      <c r="J302" s="9">
        <v>45940</v>
      </c>
    </row>
    <row r="303" spans="1:11" ht="15" hidden="1" customHeight="1" x14ac:dyDescent="0.3">
      <c r="A303" s="30" t="s">
        <v>19</v>
      </c>
      <c r="B303" s="31" t="s">
        <v>438</v>
      </c>
      <c r="C303" s="32" t="s">
        <v>426</v>
      </c>
      <c r="D303" s="33"/>
      <c r="E303" s="29">
        <v>1005000</v>
      </c>
      <c r="F303" s="34">
        <f t="shared" si="18"/>
        <v>80400</v>
      </c>
      <c r="G303" s="37">
        <f t="shared" si="19"/>
        <v>1085400</v>
      </c>
      <c r="H303" s="35">
        <v>1085400</v>
      </c>
      <c r="I303" s="36">
        <f t="shared" si="20"/>
        <v>0</v>
      </c>
      <c r="J303" s="9">
        <v>45960</v>
      </c>
    </row>
    <row r="304" spans="1:11" ht="15" hidden="1" customHeight="1" x14ac:dyDescent="0.3">
      <c r="A304" s="30" t="s">
        <v>25</v>
      </c>
      <c r="B304" s="31" t="s">
        <v>438</v>
      </c>
      <c r="C304" s="32" t="s">
        <v>427</v>
      </c>
      <c r="D304" s="33"/>
      <c r="E304" s="29">
        <v>2925000</v>
      </c>
      <c r="F304" s="34">
        <f t="shared" si="18"/>
        <v>234000</v>
      </c>
      <c r="G304" s="37">
        <f t="shared" si="19"/>
        <v>3159000</v>
      </c>
      <c r="H304" s="35">
        <v>3159000</v>
      </c>
      <c r="I304" s="36">
        <f t="shared" si="20"/>
        <v>0</v>
      </c>
      <c r="J304" s="9">
        <v>45960</v>
      </c>
    </row>
    <row r="305" spans="1:11" ht="15" hidden="1" customHeight="1" x14ac:dyDescent="0.3">
      <c r="A305" s="30" t="s">
        <v>23</v>
      </c>
      <c r="B305" s="31" t="s">
        <v>438</v>
      </c>
      <c r="C305" s="32" t="s">
        <v>428</v>
      </c>
      <c r="D305" s="33"/>
      <c r="E305" s="29">
        <v>22885000</v>
      </c>
      <c r="F305" s="34">
        <f t="shared" si="18"/>
        <v>1830800</v>
      </c>
      <c r="G305" s="37">
        <f t="shared" si="19"/>
        <v>24715800</v>
      </c>
      <c r="H305" s="35">
        <v>24715800</v>
      </c>
      <c r="I305" s="36">
        <f t="shared" si="20"/>
        <v>0</v>
      </c>
      <c r="J305" s="9">
        <v>45940</v>
      </c>
    </row>
    <row r="306" spans="1:11" ht="15" hidden="1" customHeight="1" x14ac:dyDescent="0.3">
      <c r="A306" s="30" t="s">
        <v>48</v>
      </c>
      <c r="B306" s="31" t="s">
        <v>438</v>
      </c>
      <c r="C306" s="32" t="s">
        <v>429</v>
      </c>
      <c r="D306" s="33"/>
      <c r="E306" s="29">
        <v>4590000</v>
      </c>
      <c r="F306" s="34">
        <f t="shared" si="18"/>
        <v>367200</v>
      </c>
      <c r="G306" s="37">
        <f t="shared" si="19"/>
        <v>4957200</v>
      </c>
      <c r="H306" s="35">
        <v>4957200</v>
      </c>
      <c r="I306" s="36">
        <f t="shared" si="20"/>
        <v>0</v>
      </c>
      <c r="J306" s="9">
        <v>45940</v>
      </c>
      <c r="K306" s="2" t="s">
        <v>464</v>
      </c>
    </row>
    <row r="307" spans="1:11" ht="15" hidden="1" customHeight="1" x14ac:dyDescent="0.3">
      <c r="A307" s="30" t="s">
        <v>26</v>
      </c>
      <c r="B307" s="31" t="s">
        <v>438</v>
      </c>
      <c r="C307" s="32" t="s">
        <v>430</v>
      </c>
      <c r="D307" s="33"/>
      <c r="E307" s="29">
        <v>8490000</v>
      </c>
      <c r="F307" s="34">
        <f t="shared" si="18"/>
        <v>679200</v>
      </c>
      <c r="G307" s="37">
        <f t="shared" si="19"/>
        <v>9169200</v>
      </c>
      <c r="H307" s="35">
        <v>9169200</v>
      </c>
      <c r="I307" s="36">
        <f t="shared" si="20"/>
        <v>0</v>
      </c>
      <c r="J307" s="9">
        <v>45940</v>
      </c>
    </row>
    <row r="308" spans="1:11" ht="15" hidden="1" customHeight="1" x14ac:dyDescent="0.3">
      <c r="A308" s="30" t="s">
        <v>32</v>
      </c>
      <c r="B308" s="31" t="s">
        <v>438</v>
      </c>
      <c r="C308" s="32" t="s">
        <v>431</v>
      </c>
      <c r="D308" s="33"/>
      <c r="E308" s="29">
        <v>22775000</v>
      </c>
      <c r="F308" s="34">
        <f t="shared" si="18"/>
        <v>1822000</v>
      </c>
      <c r="G308" s="37">
        <f t="shared" si="19"/>
        <v>24597000</v>
      </c>
      <c r="H308" s="35">
        <v>24597000</v>
      </c>
      <c r="I308" s="36">
        <f t="shared" si="20"/>
        <v>0</v>
      </c>
      <c r="J308" s="9">
        <v>45940</v>
      </c>
      <c r="K308" s="2" t="s">
        <v>464</v>
      </c>
    </row>
    <row r="309" spans="1:11" ht="15" hidden="1" customHeight="1" x14ac:dyDescent="0.3">
      <c r="A309" s="30" t="s">
        <v>18</v>
      </c>
      <c r="B309" s="31" t="s">
        <v>438</v>
      </c>
      <c r="C309" s="32" t="s">
        <v>432</v>
      </c>
      <c r="D309" s="33"/>
      <c r="E309" s="29">
        <v>1815000</v>
      </c>
      <c r="F309" s="34">
        <f t="shared" si="18"/>
        <v>145200</v>
      </c>
      <c r="G309" s="37">
        <f t="shared" si="19"/>
        <v>1960200</v>
      </c>
      <c r="H309" s="35">
        <v>1960200</v>
      </c>
      <c r="I309" s="36">
        <f t="shared" si="20"/>
        <v>0</v>
      </c>
      <c r="J309" s="9">
        <v>45940</v>
      </c>
    </row>
    <row r="310" spans="1:11" ht="15" hidden="1" customHeight="1" x14ac:dyDescent="0.3">
      <c r="A310" s="30" t="s">
        <v>445</v>
      </c>
      <c r="B310" s="31" t="s">
        <v>439</v>
      </c>
      <c r="C310" s="33" t="s">
        <v>433</v>
      </c>
      <c r="D310" s="33"/>
      <c r="E310" s="29">
        <v>-2079000</v>
      </c>
      <c r="F310" s="34">
        <f t="shared" si="18"/>
        <v>-166320</v>
      </c>
      <c r="G310" s="37">
        <f t="shared" si="19"/>
        <v>-2245320</v>
      </c>
      <c r="H310" s="35">
        <v>-2245320</v>
      </c>
      <c r="I310" s="36">
        <f t="shared" si="20"/>
        <v>0</v>
      </c>
      <c r="J310" s="9">
        <v>45868</v>
      </c>
    </row>
    <row r="311" spans="1:11" ht="15" hidden="1" customHeight="1" x14ac:dyDescent="0.3">
      <c r="A311" s="30" t="s">
        <v>17</v>
      </c>
      <c r="B311" s="31" t="s">
        <v>439</v>
      </c>
      <c r="C311" s="32" t="s">
        <v>434</v>
      </c>
      <c r="D311" s="33"/>
      <c r="E311" s="29">
        <v>20100000</v>
      </c>
      <c r="F311" s="34">
        <f t="shared" si="18"/>
        <v>1608000</v>
      </c>
      <c r="G311" s="37">
        <f t="shared" si="19"/>
        <v>21708000</v>
      </c>
      <c r="H311" s="35">
        <v>21708000</v>
      </c>
      <c r="I311" s="36">
        <f t="shared" si="20"/>
        <v>0</v>
      </c>
      <c r="J311" s="9">
        <v>45940</v>
      </c>
    </row>
    <row r="312" spans="1:11" ht="15" hidden="1" customHeight="1" x14ac:dyDescent="0.3">
      <c r="A312" s="30" t="s">
        <v>32</v>
      </c>
      <c r="B312" s="31" t="s">
        <v>440</v>
      </c>
      <c r="C312" s="32" t="s">
        <v>435</v>
      </c>
      <c r="D312" s="33"/>
      <c r="E312" s="29">
        <v>20165000</v>
      </c>
      <c r="F312" s="34">
        <f t="shared" si="18"/>
        <v>1613200</v>
      </c>
      <c r="G312" s="37">
        <f t="shared" si="19"/>
        <v>21778200</v>
      </c>
      <c r="H312" s="35">
        <v>21778200</v>
      </c>
      <c r="I312" s="36">
        <f t="shared" si="20"/>
        <v>0</v>
      </c>
      <c r="J312" s="9">
        <v>45940</v>
      </c>
      <c r="K312" s="2" t="s">
        <v>464</v>
      </c>
    </row>
    <row r="313" spans="1:11" ht="15" hidden="1" customHeight="1" x14ac:dyDescent="0.3">
      <c r="A313" s="30" t="s">
        <v>21</v>
      </c>
      <c r="B313" s="31" t="s">
        <v>440</v>
      </c>
      <c r="C313" s="32" t="s">
        <v>436</v>
      </c>
      <c r="D313" s="33"/>
      <c r="E313" s="29">
        <v>7715000</v>
      </c>
      <c r="F313" s="34">
        <f t="shared" si="18"/>
        <v>617200</v>
      </c>
      <c r="G313" s="37">
        <f t="shared" si="19"/>
        <v>8332200</v>
      </c>
      <c r="H313" s="35">
        <v>8332200</v>
      </c>
      <c r="I313" s="36">
        <f t="shared" si="20"/>
        <v>0</v>
      </c>
      <c r="J313" s="9">
        <v>45960</v>
      </c>
    </row>
    <row r="314" spans="1:11" ht="15" hidden="1" customHeight="1" x14ac:dyDescent="0.3">
      <c r="A314" s="30" t="s">
        <v>17</v>
      </c>
      <c r="B314" s="31" t="s">
        <v>460</v>
      </c>
      <c r="C314" s="32" t="s">
        <v>446</v>
      </c>
      <c r="D314" s="33"/>
      <c r="E314" s="29">
        <v>8915000</v>
      </c>
      <c r="F314" s="34">
        <f t="shared" si="18"/>
        <v>713200</v>
      </c>
      <c r="G314" s="37">
        <f t="shared" si="19"/>
        <v>9628200</v>
      </c>
      <c r="H314" s="35">
        <v>9628200</v>
      </c>
      <c r="I314" s="36">
        <f t="shared" si="20"/>
        <v>0</v>
      </c>
      <c r="J314" s="9">
        <v>45960</v>
      </c>
    </row>
    <row r="315" spans="1:11" ht="15" hidden="1" customHeight="1" x14ac:dyDescent="0.3">
      <c r="A315" s="30" t="s">
        <v>22</v>
      </c>
      <c r="B315" s="31" t="s">
        <v>460</v>
      </c>
      <c r="C315" s="32" t="s">
        <v>447</v>
      </c>
      <c r="D315" s="33"/>
      <c r="E315" s="29">
        <v>6345000</v>
      </c>
      <c r="F315" s="34">
        <f t="shared" si="18"/>
        <v>507600</v>
      </c>
      <c r="G315" s="37">
        <f t="shared" si="19"/>
        <v>6852600</v>
      </c>
      <c r="H315" s="35">
        <v>6852600</v>
      </c>
      <c r="I315" s="36">
        <f t="shared" si="20"/>
        <v>0</v>
      </c>
      <c r="J315" s="9">
        <v>45940</v>
      </c>
    </row>
    <row r="316" spans="1:11" ht="15" hidden="1" customHeight="1" x14ac:dyDescent="0.3">
      <c r="A316" s="30" t="s">
        <v>27</v>
      </c>
      <c r="B316" s="31" t="s">
        <v>460</v>
      </c>
      <c r="C316" s="32" t="s">
        <v>448</v>
      </c>
      <c r="D316" s="33"/>
      <c r="E316" s="29">
        <v>7655000</v>
      </c>
      <c r="F316" s="34">
        <f t="shared" si="18"/>
        <v>612400</v>
      </c>
      <c r="G316" s="37">
        <f t="shared" si="19"/>
        <v>8267400</v>
      </c>
      <c r="H316" s="35">
        <v>8267400</v>
      </c>
      <c r="I316" s="36">
        <f t="shared" si="20"/>
        <v>0</v>
      </c>
      <c r="J316" s="9">
        <v>45960</v>
      </c>
    </row>
    <row r="317" spans="1:11" ht="15" hidden="1" customHeight="1" x14ac:dyDescent="0.3">
      <c r="A317" s="30" t="s">
        <v>23</v>
      </c>
      <c r="B317" s="31" t="s">
        <v>460</v>
      </c>
      <c r="C317" s="32" t="s">
        <v>449</v>
      </c>
      <c r="D317" s="33"/>
      <c r="E317" s="29">
        <v>6635000</v>
      </c>
      <c r="F317" s="34">
        <f t="shared" si="18"/>
        <v>530800</v>
      </c>
      <c r="G317" s="37">
        <f t="shared" si="19"/>
        <v>7165800</v>
      </c>
      <c r="H317" s="35">
        <v>7165800</v>
      </c>
      <c r="I317" s="36">
        <f t="shared" si="20"/>
        <v>0</v>
      </c>
      <c r="J317" s="9">
        <v>45960</v>
      </c>
    </row>
    <row r="318" spans="1:11" ht="15" hidden="1" customHeight="1" x14ac:dyDescent="0.3">
      <c r="A318" s="30" t="s">
        <v>25</v>
      </c>
      <c r="B318" s="31" t="s">
        <v>460</v>
      </c>
      <c r="C318" s="32" t="s">
        <v>450</v>
      </c>
      <c r="D318" s="33"/>
      <c r="E318" s="29">
        <v>2850000</v>
      </c>
      <c r="F318" s="34">
        <f t="shared" si="18"/>
        <v>228000</v>
      </c>
      <c r="G318" s="37">
        <f t="shared" si="19"/>
        <v>3078000</v>
      </c>
      <c r="H318" s="35">
        <v>3078000</v>
      </c>
      <c r="I318" s="36">
        <f t="shared" si="20"/>
        <v>0</v>
      </c>
      <c r="J318" s="9">
        <v>45960</v>
      </c>
    </row>
    <row r="319" spans="1:11" ht="15" hidden="1" customHeight="1" x14ac:dyDescent="0.3">
      <c r="A319" s="30" t="s">
        <v>26</v>
      </c>
      <c r="B319" s="31" t="s">
        <v>460</v>
      </c>
      <c r="C319" s="32" t="s">
        <v>451</v>
      </c>
      <c r="D319" s="33"/>
      <c r="E319" s="29">
        <v>2855000</v>
      </c>
      <c r="F319" s="34">
        <f t="shared" si="18"/>
        <v>228400</v>
      </c>
      <c r="G319" s="37">
        <f t="shared" si="19"/>
        <v>3083400</v>
      </c>
      <c r="H319" s="35">
        <v>3083400</v>
      </c>
      <c r="I319" s="36">
        <f t="shared" si="20"/>
        <v>0</v>
      </c>
      <c r="J319" s="9">
        <v>45960</v>
      </c>
    </row>
    <row r="320" spans="1:11" ht="15" hidden="1" customHeight="1" x14ac:dyDescent="0.3">
      <c r="A320" s="30" t="s">
        <v>21</v>
      </c>
      <c r="B320" s="31" t="s">
        <v>461</v>
      </c>
      <c r="C320" s="32" t="s">
        <v>452</v>
      </c>
      <c r="D320" s="33"/>
      <c r="E320" s="29">
        <v>11930000</v>
      </c>
      <c r="F320" s="34">
        <f t="shared" si="18"/>
        <v>954400</v>
      </c>
      <c r="G320" s="37">
        <f t="shared" si="19"/>
        <v>12884400</v>
      </c>
      <c r="H320" s="35">
        <v>12884400</v>
      </c>
      <c r="I320" s="36">
        <f t="shared" si="20"/>
        <v>0</v>
      </c>
      <c r="J320" s="9">
        <v>45960</v>
      </c>
    </row>
    <row r="321" spans="1:11" ht="15" hidden="1" customHeight="1" x14ac:dyDescent="0.3">
      <c r="A321" s="30" t="s">
        <v>19</v>
      </c>
      <c r="B321" s="31">
        <v>45906</v>
      </c>
      <c r="C321" s="32" t="s">
        <v>453</v>
      </c>
      <c r="D321" s="33"/>
      <c r="E321" s="29">
        <v>1005000</v>
      </c>
      <c r="F321" s="34">
        <f t="shared" si="18"/>
        <v>80400</v>
      </c>
      <c r="G321" s="37">
        <f t="shared" si="19"/>
        <v>1085400</v>
      </c>
      <c r="H321" s="35">
        <v>1085400</v>
      </c>
      <c r="I321" s="36">
        <f t="shared" si="20"/>
        <v>0</v>
      </c>
      <c r="J321" s="9">
        <v>45971</v>
      </c>
    </row>
    <row r="322" spans="1:11" ht="15" hidden="1" customHeight="1" x14ac:dyDescent="0.3">
      <c r="A322" s="30" t="s">
        <v>18</v>
      </c>
      <c r="B322" s="31" t="s">
        <v>462</v>
      </c>
      <c r="C322" s="32" t="s">
        <v>454</v>
      </c>
      <c r="D322" s="33"/>
      <c r="E322" s="29">
        <v>3045000</v>
      </c>
      <c r="F322" s="34">
        <f t="shared" si="18"/>
        <v>243600</v>
      </c>
      <c r="G322" s="37">
        <f t="shared" si="19"/>
        <v>3288600</v>
      </c>
      <c r="H322" s="35">
        <v>3288600</v>
      </c>
      <c r="I322" s="36">
        <f t="shared" si="20"/>
        <v>0</v>
      </c>
      <c r="J322" s="9">
        <v>45960</v>
      </c>
    </row>
    <row r="323" spans="1:11" ht="15" hidden="1" customHeight="1" x14ac:dyDescent="0.3">
      <c r="A323" s="30" t="s">
        <v>23</v>
      </c>
      <c r="B323" s="31" t="s">
        <v>462</v>
      </c>
      <c r="C323" s="32" t="s">
        <v>455</v>
      </c>
      <c r="D323" s="33"/>
      <c r="E323" s="29">
        <v>3005000</v>
      </c>
      <c r="F323" s="34">
        <f t="shared" si="18"/>
        <v>240400</v>
      </c>
      <c r="G323" s="37">
        <f t="shared" si="19"/>
        <v>3245400</v>
      </c>
      <c r="H323" s="35">
        <v>3245400</v>
      </c>
      <c r="I323" s="36">
        <f t="shared" si="20"/>
        <v>0</v>
      </c>
      <c r="J323" s="9">
        <v>45960</v>
      </c>
    </row>
    <row r="324" spans="1:11" ht="15" hidden="1" customHeight="1" x14ac:dyDescent="0.3">
      <c r="A324" s="30" t="s">
        <v>26</v>
      </c>
      <c r="B324" s="31" t="s">
        <v>462</v>
      </c>
      <c r="C324" s="32" t="s">
        <v>456</v>
      </c>
      <c r="D324" s="33"/>
      <c r="E324" s="29">
        <v>1620000</v>
      </c>
      <c r="F324" s="34">
        <f t="shared" si="18"/>
        <v>129600</v>
      </c>
      <c r="G324" s="37">
        <f t="shared" si="19"/>
        <v>1749600</v>
      </c>
      <c r="H324" s="35">
        <v>1749600</v>
      </c>
      <c r="I324" s="36">
        <f t="shared" si="20"/>
        <v>0</v>
      </c>
      <c r="J324" s="9">
        <v>45940</v>
      </c>
    </row>
    <row r="325" spans="1:11" ht="15" hidden="1" customHeight="1" x14ac:dyDescent="0.3">
      <c r="A325" s="30" t="s">
        <v>32</v>
      </c>
      <c r="B325" s="31" t="s">
        <v>462</v>
      </c>
      <c r="C325" s="32" t="s">
        <v>457</v>
      </c>
      <c r="D325" s="33"/>
      <c r="E325" s="29">
        <v>3720000</v>
      </c>
      <c r="F325" s="34">
        <f t="shared" si="18"/>
        <v>297600</v>
      </c>
      <c r="G325" s="37">
        <f t="shared" si="19"/>
        <v>4017600</v>
      </c>
      <c r="H325" s="35">
        <v>4017600</v>
      </c>
      <c r="I325" s="36">
        <f t="shared" si="20"/>
        <v>0</v>
      </c>
      <c r="J325" s="9">
        <v>45960</v>
      </c>
      <c r="K325" s="2" t="s">
        <v>548</v>
      </c>
    </row>
    <row r="326" spans="1:11" ht="15" hidden="1" customHeight="1" x14ac:dyDescent="0.3">
      <c r="A326" s="30" t="s">
        <v>48</v>
      </c>
      <c r="B326" s="31" t="s">
        <v>462</v>
      </c>
      <c r="C326" s="32" t="s">
        <v>458</v>
      </c>
      <c r="D326" s="33"/>
      <c r="E326" s="29">
        <v>9165000</v>
      </c>
      <c r="F326" s="34">
        <f t="shared" si="18"/>
        <v>733200</v>
      </c>
      <c r="G326" s="37">
        <f t="shared" si="19"/>
        <v>9898200</v>
      </c>
      <c r="H326" s="35">
        <v>9898200</v>
      </c>
      <c r="I326" s="36">
        <f t="shared" si="20"/>
        <v>0</v>
      </c>
      <c r="J326" s="9">
        <v>45971</v>
      </c>
      <c r="K326" s="2" t="s">
        <v>549</v>
      </c>
    </row>
    <row r="327" spans="1:11" ht="15" hidden="1" customHeight="1" x14ac:dyDescent="0.3">
      <c r="A327" s="30" t="s">
        <v>21</v>
      </c>
      <c r="B327" s="31" t="s">
        <v>462</v>
      </c>
      <c r="C327" s="32" t="s">
        <v>459</v>
      </c>
      <c r="D327" s="33"/>
      <c r="E327" s="29">
        <v>5610000</v>
      </c>
      <c r="F327" s="34">
        <f t="shared" si="18"/>
        <v>448800</v>
      </c>
      <c r="G327" s="37">
        <f t="shared" si="19"/>
        <v>6058800</v>
      </c>
      <c r="H327" s="35">
        <v>6058800</v>
      </c>
      <c r="I327" s="36">
        <f t="shared" si="20"/>
        <v>0</v>
      </c>
      <c r="J327" s="9">
        <v>45960</v>
      </c>
    </row>
    <row r="328" spans="1:11" ht="15" hidden="1" customHeight="1" x14ac:dyDescent="0.3">
      <c r="A328" s="30" t="s">
        <v>32</v>
      </c>
      <c r="B328" s="31" t="s">
        <v>482</v>
      </c>
      <c r="C328" s="32" t="s">
        <v>466</v>
      </c>
      <c r="D328" s="33"/>
      <c r="E328" s="29">
        <v>2925000</v>
      </c>
      <c r="F328" s="34">
        <f t="shared" si="18"/>
        <v>234000</v>
      </c>
      <c r="G328" s="37">
        <f t="shared" si="19"/>
        <v>3159000</v>
      </c>
      <c r="H328" s="35">
        <v>3159000</v>
      </c>
      <c r="I328" s="36">
        <f t="shared" si="20"/>
        <v>0</v>
      </c>
      <c r="J328" s="62">
        <v>45971</v>
      </c>
      <c r="K328" s="2" t="s">
        <v>548</v>
      </c>
    </row>
    <row r="329" spans="1:11" ht="15" hidden="1" customHeight="1" x14ac:dyDescent="0.3">
      <c r="A329" s="30" t="s">
        <v>19</v>
      </c>
      <c r="B329" s="31" t="s">
        <v>482</v>
      </c>
      <c r="C329" s="32" t="s">
        <v>467</v>
      </c>
      <c r="D329" s="33"/>
      <c r="E329" s="29">
        <v>2880000</v>
      </c>
      <c r="F329" s="34">
        <f t="shared" ref="F329:F394" si="21">+E329*0.08</f>
        <v>230400</v>
      </c>
      <c r="G329" s="37">
        <f t="shared" ref="G329:G394" si="22">E329+F329</f>
        <v>3110400</v>
      </c>
      <c r="H329" s="35">
        <v>3110400</v>
      </c>
      <c r="I329" s="36">
        <f t="shared" si="20"/>
        <v>0</v>
      </c>
      <c r="J329" s="9">
        <v>45971</v>
      </c>
    </row>
    <row r="330" spans="1:11" ht="15" hidden="1" customHeight="1" x14ac:dyDescent="0.3">
      <c r="A330" s="30" t="s">
        <v>25</v>
      </c>
      <c r="B330" s="31" t="s">
        <v>482</v>
      </c>
      <c r="C330" s="32" t="s">
        <v>468</v>
      </c>
      <c r="D330" s="33"/>
      <c r="E330" s="29">
        <v>2045000</v>
      </c>
      <c r="F330" s="34">
        <f t="shared" si="21"/>
        <v>163600</v>
      </c>
      <c r="G330" s="37">
        <f t="shared" si="22"/>
        <v>2208600</v>
      </c>
      <c r="H330" s="35">
        <v>2208600</v>
      </c>
      <c r="I330" s="36">
        <f t="shared" si="20"/>
        <v>0</v>
      </c>
      <c r="J330" s="9">
        <v>45971</v>
      </c>
    </row>
    <row r="331" spans="1:11" ht="15" hidden="1" customHeight="1" x14ac:dyDescent="0.3">
      <c r="A331" s="30" t="s">
        <v>28</v>
      </c>
      <c r="B331" s="31" t="s">
        <v>483</v>
      </c>
      <c r="C331" s="32" t="s">
        <v>469</v>
      </c>
      <c r="D331" s="33"/>
      <c r="E331" s="29">
        <v>3735000</v>
      </c>
      <c r="F331" s="34">
        <f t="shared" si="21"/>
        <v>298800</v>
      </c>
      <c r="G331" s="37">
        <f t="shared" si="22"/>
        <v>4033800</v>
      </c>
      <c r="H331" s="35">
        <v>4033800</v>
      </c>
      <c r="I331" s="36">
        <f t="shared" si="20"/>
        <v>0</v>
      </c>
      <c r="J331" s="9">
        <v>45971</v>
      </c>
    </row>
    <row r="332" spans="1:11" ht="15" hidden="1" customHeight="1" x14ac:dyDescent="0.3">
      <c r="A332" s="30" t="s">
        <v>18</v>
      </c>
      <c r="B332" s="31" t="s">
        <v>483</v>
      </c>
      <c r="C332" s="32" t="s">
        <v>470</v>
      </c>
      <c r="D332" s="33"/>
      <c r="E332" s="29">
        <v>990000</v>
      </c>
      <c r="F332" s="34">
        <f t="shared" si="21"/>
        <v>79200</v>
      </c>
      <c r="G332" s="37">
        <f t="shared" si="22"/>
        <v>1069200</v>
      </c>
      <c r="H332" s="35">
        <v>1069200</v>
      </c>
      <c r="I332" s="36">
        <f t="shared" si="20"/>
        <v>0</v>
      </c>
      <c r="J332" s="9">
        <v>45971</v>
      </c>
    </row>
    <row r="333" spans="1:11" ht="15" hidden="1" customHeight="1" x14ac:dyDescent="0.3">
      <c r="A333" s="30" t="s">
        <v>21</v>
      </c>
      <c r="B333" s="31" t="s">
        <v>483</v>
      </c>
      <c r="C333" s="32" t="s">
        <v>471</v>
      </c>
      <c r="D333" s="33"/>
      <c r="E333" s="29">
        <v>4740000</v>
      </c>
      <c r="F333" s="34">
        <f t="shared" si="21"/>
        <v>379200</v>
      </c>
      <c r="G333" s="37">
        <f t="shared" si="22"/>
        <v>5119200</v>
      </c>
      <c r="H333" s="35">
        <v>5119200</v>
      </c>
      <c r="I333" s="36">
        <f t="shared" si="20"/>
        <v>0</v>
      </c>
      <c r="J333" s="9">
        <v>45971</v>
      </c>
    </row>
    <row r="334" spans="1:11" ht="15" hidden="1" customHeight="1" x14ac:dyDescent="0.3">
      <c r="A334" s="30" t="s">
        <v>23</v>
      </c>
      <c r="B334" s="31" t="s">
        <v>483</v>
      </c>
      <c r="C334" s="32" t="s">
        <v>472</v>
      </c>
      <c r="D334" s="33"/>
      <c r="E334" s="29">
        <v>5970000</v>
      </c>
      <c r="F334" s="34">
        <f t="shared" si="21"/>
        <v>477600</v>
      </c>
      <c r="G334" s="37">
        <f>E334+F334</f>
        <v>6447600</v>
      </c>
      <c r="H334" s="35">
        <v>6447600</v>
      </c>
      <c r="I334" s="36">
        <f>G334-H334</f>
        <v>0</v>
      </c>
      <c r="J334" s="9">
        <v>45971</v>
      </c>
    </row>
    <row r="335" spans="1:11" ht="15" hidden="1" customHeight="1" x14ac:dyDescent="0.3">
      <c r="A335" s="30" t="s">
        <v>294</v>
      </c>
      <c r="B335" s="31" t="s">
        <v>483</v>
      </c>
      <c r="C335" s="32" t="s">
        <v>473</v>
      </c>
      <c r="D335" s="33"/>
      <c r="E335" s="29">
        <v>8690000</v>
      </c>
      <c r="F335" s="34">
        <f t="shared" si="21"/>
        <v>695200</v>
      </c>
      <c r="G335" s="37">
        <f t="shared" si="22"/>
        <v>9385200</v>
      </c>
      <c r="H335" s="35">
        <v>9385200</v>
      </c>
      <c r="I335" s="36">
        <f t="shared" si="20"/>
        <v>0</v>
      </c>
      <c r="J335" s="9">
        <v>45971</v>
      </c>
      <c r="K335" s="2" t="s">
        <v>548</v>
      </c>
    </row>
    <row r="336" spans="1:11" ht="15" hidden="1" customHeight="1" x14ac:dyDescent="0.3">
      <c r="A336" s="30" t="s">
        <v>20</v>
      </c>
      <c r="B336" s="31" t="s">
        <v>484</v>
      </c>
      <c r="C336" s="32" t="s">
        <v>474</v>
      </c>
      <c r="D336" s="33"/>
      <c r="E336" s="29">
        <v>5000000</v>
      </c>
      <c r="F336" s="34">
        <f t="shared" si="21"/>
        <v>400000</v>
      </c>
      <c r="G336" s="37">
        <f t="shared" si="22"/>
        <v>5400000</v>
      </c>
      <c r="H336" s="35">
        <v>5400000</v>
      </c>
      <c r="I336" s="36">
        <f t="shared" si="20"/>
        <v>0</v>
      </c>
      <c r="J336" s="9">
        <v>45971</v>
      </c>
    </row>
    <row r="337" spans="1:11" ht="15" hidden="1" customHeight="1" x14ac:dyDescent="0.3">
      <c r="A337" s="30" t="s">
        <v>21</v>
      </c>
      <c r="B337" s="31" t="s">
        <v>484</v>
      </c>
      <c r="C337" s="32" t="s">
        <v>475</v>
      </c>
      <c r="D337" s="33"/>
      <c r="E337" s="29">
        <v>7635000</v>
      </c>
      <c r="F337" s="34">
        <f t="shared" si="21"/>
        <v>610800</v>
      </c>
      <c r="G337" s="37">
        <f t="shared" si="22"/>
        <v>8245800</v>
      </c>
      <c r="H337" s="35">
        <v>8245800</v>
      </c>
      <c r="I337" s="36">
        <f t="shared" si="20"/>
        <v>0</v>
      </c>
      <c r="J337" s="9">
        <v>45971</v>
      </c>
    </row>
    <row r="338" spans="1:11" ht="15" hidden="1" customHeight="1" x14ac:dyDescent="0.3">
      <c r="A338" s="30" t="s">
        <v>23</v>
      </c>
      <c r="B338" s="31" t="s">
        <v>484</v>
      </c>
      <c r="C338" s="32" t="s">
        <v>476</v>
      </c>
      <c r="D338" s="33"/>
      <c r="E338" s="29">
        <v>18455000</v>
      </c>
      <c r="F338" s="34">
        <f t="shared" si="21"/>
        <v>1476400</v>
      </c>
      <c r="G338" s="37">
        <f t="shared" si="22"/>
        <v>19931400</v>
      </c>
      <c r="H338" s="35">
        <v>19931400</v>
      </c>
      <c r="I338" s="36">
        <f t="shared" si="20"/>
        <v>0</v>
      </c>
      <c r="J338" s="9">
        <v>45971</v>
      </c>
    </row>
    <row r="339" spans="1:11" ht="15" hidden="1" customHeight="1" x14ac:dyDescent="0.3">
      <c r="A339" s="30" t="s">
        <v>27</v>
      </c>
      <c r="B339" s="31" t="s">
        <v>484</v>
      </c>
      <c r="C339" s="32" t="s">
        <v>477</v>
      </c>
      <c r="D339" s="33"/>
      <c r="E339" s="29">
        <v>2010000</v>
      </c>
      <c r="F339" s="34">
        <f t="shared" si="21"/>
        <v>160800</v>
      </c>
      <c r="G339" s="37">
        <f t="shared" si="22"/>
        <v>2170800</v>
      </c>
      <c r="H339" s="35">
        <v>2170800</v>
      </c>
      <c r="I339" s="36">
        <f t="shared" si="20"/>
        <v>0</v>
      </c>
      <c r="J339" s="9">
        <v>45971</v>
      </c>
    </row>
    <row r="340" spans="1:11" ht="15" hidden="1" customHeight="1" x14ac:dyDescent="0.3">
      <c r="A340" s="30" t="s">
        <v>32</v>
      </c>
      <c r="B340" s="31" t="s">
        <v>484</v>
      </c>
      <c r="C340" s="32" t="s">
        <v>478</v>
      </c>
      <c r="D340" s="33"/>
      <c r="E340" s="29">
        <v>3890000</v>
      </c>
      <c r="F340" s="34">
        <f t="shared" si="21"/>
        <v>311200</v>
      </c>
      <c r="G340" s="37">
        <f t="shared" si="22"/>
        <v>4201200</v>
      </c>
      <c r="H340" s="35">
        <v>4201200</v>
      </c>
      <c r="I340" s="36">
        <f t="shared" si="20"/>
        <v>0</v>
      </c>
      <c r="J340" s="9">
        <v>45971</v>
      </c>
      <c r="K340" s="2" t="s">
        <v>548</v>
      </c>
    </row>
    <row r="341" spans="1:11" ht="15" hidden="1" customHeight="1" x14ac:dyDescent="0.3">
      <c r="A341" s="30" t="s">
        <v>25</v>
      </c>
      <c r="B341" s="31" t="s">
        <v>485</v>
      </c>
      <c r="C341" s="32" t="s">
        <v>479</v>
      </c>
      <c r="D341" s="33"/>
      <c r="E341" s="29">
        <v>3840000</v>
      </c>
      <c r="F341" s="34">
        <f t="shared" si="21"/>
        <v>307200</v>
      </c>
      <c r="G341" s="37">
        <f t="shared" si="22"/>
        <v>4147200</v>
      </c>
      <c r="H341" s="35">
        <v>4147200</v>
      </c>
      <c r="I341" s="36">
        <f t="shared" si="20"/>
        <v>0</v>
      </c>
      <c r="J341" s="9">
        <v>45971</v>
      </c>
    </row>
    <row r="342" spans="1:11" ht="15" hidden="1" customHeight="1" x14ac:dyDescent="0.3">
      <c r="A342" s="30" t="s">
        <v>20</v>
      </c>
      <c r="B342" s="31" t="s">
        <v>485</v>
      </c>
      <c r="C342" s="32" t="s">
        <v>480</v>
      </c>
      <c r="D342" s="33"/>
      <c r="E342" s="29">
        <v>2955000</v>
      </c>
      <c r="F342" s="34">
        <f t="shared" si="21"/>
        <v>236400</v>
      </c>
      <c r="G342" s="37">
        <f t="shared" si="22"/>
        <v>3191400</v>
      </c>
      <c r="H342" s="35">
        <v>3191400</v>
      </c>
      <c r="I342" s="36">
        <f t="shared" ref="I342:I428" si="23">G342-H342</f>
        <v>0</v>
      </c>
      <c r="J342" s="9">
        <v>45971</v>
      </c>
    </row>
    <row r="343" spans="1:11" ht="15" hidden="1" customHeight="1" x14ac:dyDescent="0.3">
      <c r="A343" s="30" t="s">
        <v>294</v>
      </c>
      <c r="B343" s="31" t="s">
        <v>547</v>
      </c>
      <c r="C343" s="32" t="s">
        <v>545</v>
      </c>
      <c r="D343" s="33"/>
      <c r="E343" s="29">
        <v>-335000</v>
      </c>
      <c r="F343" s="34">
        <f t="shared" si="21"/>
        <v>-26800</v>
      </c>
      <c r="G343" s="37">
        <f t="shared" si="22"/>
        <v>-361800</v>
      </c>
      <c r="H343" s="35">
        <v>-361800</v>
      </c>
      <c r="I343" s="36">
        <f t="shared" si="23"/>
        <v>0</v>
      </c>
      <c r="J343" s="9">
        <v>45898</v>
      </c>
    </row>
    <row r="344" spans="1:11" ht="15" hidden="1" customHeight="1" x14ac:dyDescent="0.3">
      <c r="A344" s="30" t="s">
        <v>294</v>
      </c>
      <c r="B344" s="31" t="s">
        <v>547</v>
      </c>
      <c r="C344" s="32" t="s">
        <v>546</v>
      </c>
      <c r="D344" s="33"/>
      <c r="E344" s="29">
        <v>-376500</v>
      </c>
      <c r="F344" s="34">
        <f t="shared" si="21"/>
        <v>-30120</v>
      </c>
      <c r="G344" s="37">
        <f t="shared" si="22"/>
        <v>-406620</v>
      </c>
      <c r="H344" s="35">
        <v>-406620</v>
      </c>
      <c r="I344" s="36">
        <f t="shared" si="23"/>
        <v>0</v>
      </c>
      <c r="J344" s="9">
        <v>45898</v>
      </c>
    </row>
    <row r="345" spans="1:11" ht="15" hidden="1" customHeight="1" x14ac:dyDescent="0.3">
      <c r="A345" s="30" t="s">
        <v>17</v>
      </c>
      <c r="B345" s="31" t="s">
        <v>486</v>
      </c>
      <c r="C345" s="32" t="s">
        <v>481</v>
      </c>
      <c r="D345" s="33"/>
      <c r="E345" s="29">
        <v>3735000</v>
      </c>
      <c r="F345" s="34">
        <f t="shared" si="21"/>
        <v>298800</v>
      </c>
      <c r="G345" s="37">
        <f t="shared" si="22"/>
        <v>4033800</v>
      </c>
      <c r="H345" s="35">
        <v>4033800</v>
      </c>
      <c r="I345" s="36">
        <f t="shared" si="23"/>
        <v>0</v>
      </c>
      <c r="J345" s="9">
        <v>45971</v>
      </c>
    </row>
    <row r="346" spans="1:11" ht="15" hidden="1" customHeight="1" x14ac:dyDescent="0.3">
      <c r="A346" s="30" t="s">
        <v>21</v>
      </c>
      <c r="B346" s="31" t="s">
        <v>507</v>
      </c>
      <c r="C346" s="32" t="s">
        <v>487</v>
      </c>
      <c r="D346" s="33"/>
      <c r="E346" s="29">
        <v>3920000</v>
      </c>
      <c r="F346" s="34">
        <f t="shared" si="21"/>
        <v>313600</v>
      </c>
      <c r="G346" s="37">
        <f t="shared" si="22"/>
        <v>4233600</v>
      </c>
      <c r="H346" s="35">
        <v>4233600</v>
      </c>
      <c r="I346" s="36">
        <f t="shared" si="23"/>
        <v>0</v>
      </c>
      <c r="J346" s="9">
        <v>45971</v>
      </c>
    </row>
    <row r="347" spans="1:11" ht="15" hidden="1" customHeight="1" x14ac:dyDescent="0.3">
      <c r="A347" s="30" t="s">
        <v>23</v>
      </c>
      <c r="B347" s="31" t="s">
        <v>507</v>
      </c>
      <c r="C347" s="32" t="s">
        <v>488</v>
      </c>
      <c r="D347" s="33"/>
      <c r="E347" s="29">
        <v>9520000</v>
      </c>
      <c r="F347" s="34">
        <f t="shared" si="21"/>
        <v>761600</v>
      </c>
      <c r="G347" s="37">
        <f t="shared" si="22"/>
        <v>10281600</v>
      </c>
      <c r="H347" s="35">
        <v>10281600</v>
      </c>
      <c r="I347" s="36">
        <f t="shared" si="23"/>
        <v>0</v>
      </c>
      <c r="J347" s="9">
        <v>45971</v>
      </c>
    </row>
    <row r="348" spans="1:11" ht="15" hidden="1" customHeight="1" x14ac:dyDescent="0.3">
      <c r="A348" s="30" t="s">
        <v>25</v>
      </c>
      <c r="B348" s="31" t="s">
        <v>507</v>
      </c>
      <c r="C348" s="32" t="s">
        <v>489</v>
      </c>
      <c r="D348" s="33"/>
      <c r="E348" s="29">
        <v>2790000</v>
      </c>
      <c r="F348" s="34">
        <f t="shared" si="21"/>
        <v>223200</v>
      </c>
      <c r="G348" s="37">
        <f t="shared" si="22"/>
        <v>3013200</v>
      </c>
      <c r="H348" s="35">
        <v>3013200</v>
      </c>
      <c r="I348" s="36">
        <f t="shared" si="23"/>
        <v>0</v>
      </c>
      <c r="J348" s="9">
        <v>45971</v>
      </c>
    </row>
    <row r="349" spans="1:11" ht="15" hidden="1" customHeight="1" x14ac:dyDescent="0.3">
      <c r="A349" s="30" t="s">
        <v>27</v>
      </c>
      <c r="B349" s="31" t="s">
        <v>507</v>
      </c>
      <c r="C349" s="32" t="s">
        <v>490</v>
      </c>
      <c r="D349" s="33"/>
      <c r="E349" s="29">
        <v>3435000</v>
      </c>
      <c r="F349" s="34">
        <f t="shared" si="21"/>
        <v>274800</v>
      </c>
      <c r="G349" s="37">
        <f t="shared" si="22"/>
        <v>3709800</v>
      </c>
      <c r="H349" s="35">
        <v>3709800</v>
      </c>
      <c r="I349" s="36">
        <f t="shared" si="23"/>
        <v>0</v>
      </c>
      <c r="J349" s="9">
        <v>45971</v>
      </c>
    </row>
    <row r="350" spans="1:11" ht="15" hidden="1" customHeight="1" x14ac:dyDescent="0.3">
      <c r="A350" s="30" t="s">
        <v>48</v>
      </c>
      <c r="B350" s="31" t="s">
        <v>507</v>
      </c>
      <c r="C350" s="32" t="s">
        <v>491</v>
      </c>
      <c r="D350" s="33"/>
      <c r="E350" s="29">
        <v>3780000</v>
      </c>
      <c r="F350" s="34">
        <f t="shared" si="21"/>
        <v>302400</v>
      </c>
      <c r="G350" s="37">
        <f t="shared" si="22"/>
        <v>4082400</v>
      </c>
      <c r="H350" s="35">
        <v>4082400</v>
      </c>
      <c r="I350" s="36">
        <f t="shared" si="23"/>
        <v>0</v>
      </c>
      <c r="J350" s="9">
        <v>45971</v>
      </c>
      <c r="K350" s="2" t="s">
        <v>549</v>
      </c>
    </row>
    <row r="351" spans="1:11" ht="15" hidden="1" customHeight="1" x14ac:dyDescent="0.3">
      <c r="A351" s="30" t="s">
        <v>26</v>
      </c>
      <c r="B351" s="31" t="s">
        <v>507</v>
      </c>
      <c r="C351" s="32" t="s">
        <v>492</v>
      </c>
      <c r="D351" s="33"/>
      <c r="E351" s="29">
        <v>4965000</v>
      </c>
      <c r="F351" s="34">
        <f t="shared" si="21"/>
        <v>397200</v>
      </c>
      <c r="G351" s="37">
        <f t="shared" si="22"/>
        <v>5362200</v>
      </c>
      <c r="H351" s="35">
        <v>5362200</v>
      </c>
      <c r="I351" s="36">
        <f t="shared" si="23"/>
        <v>0</v>
      </c>
      <c r="J351" s="9">
        <v>45971</v>
      </c>
    </row>
    <row r="352" spans="1:11" ht="15" hidden="1" customHeight="1" x14ac:dyDescent="0.3">
      <c r="A352" s="30" t="s">
        <v>32</v>
      </c>
      <c r="B352" s="31">
        <v>45952</v>
      </c>
      <c r="C352" s="33" t="s">
        <v>493</v>
      </c>
      <c r="D352" s="33" t="s">
        <v>559</v>
      </c>
      <c r="E352" s="29">
        <v>0</v>
      </c>
      <c r="F352" s="34">
        <f t="shared" si="21"/>
        <v>0</v>
      </c>
      <c r="G352" s="37">
        <f t="shared" si="22"/>
        <v>0</v>
      </c>
      <c r="H352" s="35"/>
      <c r="I352" s="36">
        <f t="shared" si="23"/>
        <v>0</v>
      </c>
      <c r="J352" s="9" t="s">
        <v>560</v>
      </c>
    </row>
    <row r="353" spans="1:11" ht="15" hidden="1" customHeight="1" x14ac:dyDescent="0.3">
      <c r="A353" s="30" t="s">
        <v>295</v>
      </c>
      <c r="B353" s="31" t="s">
        <v>508</v>
      </c>
      <c r="C353" s="32" t="s">
        <v>494</v>
      </c>
      <c r="D353" s="33"/>
      <c r="E353" s="29">
        <v>2880000</v>
      </c>
      <c r="F353" s="34">
        <f t="shared" si="21"/>
        <v>230400</v>
      </c>
      <c r="G353" s="37">
        <f t="shared" si="22"/>
        <v>3110400</v>
      </c>
      <c r="H353" s="35">
        <v>3110400</v>
      </c>
      <c r="I353" s="36">
        <f t="shared" si="23"/>
        <v>0</v>
      </c>
      <c r="J353" s="9">
        <v>45971</v>
      </c>
    </row>
    <row r="354" spans="1:11" ht="15" hidden="1" customHeight="1" x14ac:dyDescent="0.3">
      <c r="A354" s="30" t="s">
        <v>28</v>
      </c>
      <c r="B354" s="31" t="s">
        <v>508</v>
      </c>
      <c r="C354" s="32" t="s">
        <v>495</v>
      </c>
      <c r="D354" s="33"/>
      <c r="E354" s="29">
        <v>2760000</v>
      </c>
      <c r="F354" s="34">
        <f t="shared" si="21"/>
        <v>220800</v>
      </c>
      <c r="G354" s="37">
        <f t="shared" si="22"/>
        <v>2980800</v>
      </c>
      <c r="H354" s="35">
        <v>2980800</v>
      </c>
      <c r="I354" s="36">
        <f t="shared" si="23"/>
        <v>0</v>
      </c>
      <c r="J354" s="9">
        <v>45989</v>
      </c>
    </row>
    <row r="355" spans="1:11" ht="15" hidden="1" customHeight="1" x14ac:dyDescent="0.3">
      <c r="A355" s="30" t="s">
        <v>294</v>
      </c>
      <c r="B355" s="31" t="s">
        <v>508</v>
      </c>
      <c r="C355" s="32" t="s">
        <v>496</v>
      </c>
      <c r="D355" s="33"/>
      <c r="E355" s="29">
        <v>4005000</v>
      </c>
      <c r="F355" s="34">
        <f t="shared" si="21"/>
        <v>320400</v>
      </c>
      <c r="G355" s="37">
        <f t="shared" si="22"/>
        <v>4325400</v>
      </c>
      <c r="H355" s="35">
        <v>4325400</v>
      </c>
      <c r="I355" s="36">
        <f t="shared" si="23"/>
        <v>0</v>
      </c>
      <c r="J355" s="9">
        <v>45971</v>
      </c>
      <c r="K355" s="2" t="s">
        <v>549</v>
      </c>
    </row>
    <row r="356" spans="1:11" ht="15" hidden="1" customHeight="1" x14ac:dyDescent="0.3">
      <c r="A356" s="30" t="s">
        <v>25</v>
      </c>
      <c r="B356" s="31" t="s">
        <v>508</v>
      </c>
      <c r="C356" s="32" t="s">
        <v>497</v>
      </c>
      <c r="D356" s="33"/>
      <c r="E356" s="29">
        <v>1980000</v>
      </c>
      <c r="F356" s="34">
        <f t="shared" si="21"/>
        <v>158400</v>
      </c>
      <c r="G356" s="37">
        <f t="shared" si="22"/>
        <v>2138400</v>
      </c>
      <c r="H356" s="35">
        <v>2138400</v>
      </c>
      <c r="I356" s="36">
        <f t="shared" si="23"/>
        <v>0</v>
      </c>
      <c r="J356" s="9">
        <v>45989</v>
      </c>
    </row>
    <row r="357" spans="1:11" ht="15" hidden="1" customHeight="1" x14ac:dyDescent="0.3">
      <c r="A357" s="30" t="s">
        <v>294</v>
      </c>
      <c r="B357" s="31" t="s">
        <v>509</v>
      </c>
      <c r="C357" s="32" t="s">
        <v>498</v>
      </c>
      <c r="D357" s="33"/>
      <c r="E357" s="29">
        <v>2820000</v>
      </c>
      <c r="F357" s="34">
        <f t="shared" si="21"/>
        <v>225600</v>
      </c>
      <c r="G357" s="37">
        <f t="shared" si="22"/>
        <v>3045600</v>
      </c>
      <c r="H357" s="35">
        <v>3045600</v>
      </c>
      <c r="I357" s="36">
        <f t="shared" si="23"/>
        <v>0</v>
      </c>
      <c r="J357" s="9">
        <v>45971</v>
      </c>
      <c r="K357" s="2" t="s">
        <v>549</v>
      </c>
    </row>
    <row r="358" spans="1:11" ht="15" hidden="1" customHeight="1" x14ac:dyDescent="0.3">
      <c r="A358" s="30" t="s">
        <v>21</v>
      </c>
      <c r="B358" s="31" t="s">
        <v>510</v>
      </c>
      <c r="C358" s="32" t="s">
        <v>499</v>
      </c>
      <c r="D358" s="33"/>
      <c r="E358" s="29">
        <v>6780000</v>
      </c>
      <c r="F358" s="34">
        <f t="shared" si="21"/>
        <v>542400</v>
      </c>
      <c r="G358" s="37">
        <f t="shared" si="22"/>
        <v>7322400</v>
      </c>
      <c r="H358" s="35">
        <v>7322400</v>
      </c>
      <c r="I358" s="36">
        <f t="shared" si="23"/>
        <v>0</v>
      </c>
      <c r="J358" s="9">
        <v>45989</v>
      </c>
    </row>
    <row r="359" spans="1:11" ht="15" hidden="1" customHeight="1" x14ac:dyDescent="0.3">
      <c r="A359" s="30" t="s">
        <v>17</v>
      </c>
      <c r="B359" s="31" t="s">
        <v>510</v>
      </c>
      <c r="C359" s="32" t="s">
        <v>500</v>
      </c>
      <c r="D359" s="33"/>
      <c r="E359" s="29">
        <v>10795000</v>
      </c>
      <c r="F359" s="34">
        <f t="shared" si="21"/>
        <v>863600</v>
      </c>
      <c r="G359" s="37">
        <f t="shared" si="22"/>
        <v>11658600</v>
      </c>
      <c r="H359" s="35">
        <v>11658600</v>
      </c>
      <c r="I359" s="36">
        <f t="shared" si="23"/>
        <v>0</v>
      </c>
      <c r="J359" s="9">
        <v>45989</v>
      </c>
    </row>
    <row r="360" spans="1:11" ht="15" hidden="1" customHeight="1" x14ac:dyDescent="0.3">
      <c r="A360" s="30" t="s">
        <v>19</v>
      </c>
      <c r="B360" s="31" t="s">
        <v>510</v>
      </c>
      <c r="C360" s="32" t="s">
        <v>501</v>
      </c>
      <c r="D360" s="33"/>
      <c r="E360" s="29">
        <v>2040000</v>
      </c>
      <c r="F360" s="34">
        <f t="shared" si="21"/>
        <v>163200</v>
      </c>
      <c r="G360" s="37">
        <f t="shared" si="22"/>
        <v>2203200</v>
      </c>
      <c r="H360" s="35">
        <v>2203200</v>
      </c>
      <c r="I360" s="36">
        <f t="shared" si="23"/>
        <v>0</v>
      </c>
      <c r="J360" s="9">
        <v>45989</v>
      </c>
    </row>
    <row r="361" spans="1:11" ht="15" hidden="1" customHeight="1" x14ac:dyDescent="0.3">
      <c r="A361" s="30" t="s">
        <v>23</v>
      </c>
      <c r="B361" s="31" t="s">
        <v>510</v>
      </c>
      <c r="C361" s="32" t="s">
        <v>502</v>
      </c>
      <c r="D361" s="33"/>
      <c r="E361" s="29">
        <v>3735000</v>
      </c>
      <c r="F361" s="34">
        <f t="shared" si="21"/>
        <v>298800</v>
      </c>
      <c r="G361" s="37">
        <f t="shared" si="22"/>
        <v>4033800</v>
      </c>
      <c r="H361" s="35">
        <v>4033800</v>
      </c>
      <c r="I361" s="36">
        <f t="shared" si="23"/>
        <v>0</v>
      </c>
      <c r="J361" s="9">
        <v>45989</v>
      </c>
    </row>
    <row r="362" spans="1:11" ht="15" hidden="1" customHeight="1" x14ac:dyDescent="0.3">
      <c r="A362" s="30" t="s">
        <v>25</v>
      </c>
      <c r="B362" s="31" t="s">
        <v>510</v>
      </c>
      <c r="C362" s="33" t="s">
        <v>503</v>
      </c>
      <c r="D362" s="33"/>
      <c r="E362" s="29">
        <v>2010000</v>
      </c>
      <c r="F362" s="34">
        <f t="shared" si="21"/>
        <v>160800</v>
      </c>
      <c r="G362" s="37">
        <f t="shared" si="22"/>
        <v>2170800</v>
      </c>
      <c r="H362" s="35">
        <v>2170800</v>
      </c>
      <c r="I362" s="36">
        <f t="shared" si="23"/>
        <v>0</v>
      </c>
      <c r="J362" s="9">
        <v>45989</v>
      </c>
    </row>
    <row r="363" spans="1:11" ht="15" hidden="1" customHeight="1" x14ac:dyDescent="0.3">
      <c r="A363" s="30" t="s">
        <v>48</v>
      </c>
      <c r="B363" s="31" t="s">
        <v>510</v>
      </c>
      <c r="C363" s="32" t="s">
        <v>504</v>
      </c>
      <c r="D363" s="33"/>
      <c r="E363" s="29">
        <v>5730000</v>
      </c>
      <c r="F363" s="34">
        <f t="shared" si="21"/>
        <v>458400</v>
      </c>
      <c r="G363" s="37">
        <f t="shared" si="22"/>
        <v>6188400</v>
      </c>
      <c r="H363" s="35">
        <v>6188400</v>
      </c>
      <c r="I363" s="36">
        <f t="shared" si="23"/>
        <v>0</v>
      </c>
      <c r="J363" s="9">
        <v>45989</v>
      </c>
    </row>
    <row r="364" spans="1:11" ht="15" hidden="1" customHeight="1" x14ac:dyDescent="0.3">
      <c r="A364" s="30" t="s">
        <v>26</v>
      </c>
      <c r="B364" s="31">
        <v>45939</v>
      </c>
      <c r="C364" s="32" t="s">
        <v>505</v>
      </c>
      <c r="D364" s="33" t="s">
        <v>511</v>
      </c>
      <c r="E364" s="29">
        <v>4334000</v>
      </c>
      <c r="F364" s="34">
        <f t="shared" si="21"/>
        <v>346720</v>
      </c>
      <c r="G364" s="37">
        <f t="shared" si="22"/>
        <v>4680720</v>
      </c>
      <c r="H364" s="35">
        <v>4680720</v>
      </c>
      <c r="I364" s="36">
        <f t="shared" si="23"/>
        <v>0</v>
      </c>
      <c r="J364" s="9">
        <v>45989</v>
      </c>
    </row>
    <row r="365" spans="1:11" ht="15" hidden="1" customHeight="1" x14ac:dyDescent="0.3">
      <c r="A365" s="30" t="s">
        <v>32</v>
      </c>
      <c r="B365" s="31" t="s">
        <v>510</v>
      </c>
      <c r="C365" s="32" t="s">
        <v>506</v>
      </c>
      <c r="D365" s="33"/>
      <c r="E365" s="29">
        <v>20435000</v>
      </c>
      <c r="F365" s="34">
        <f t="shared" si="21"/>
        <v>1634800</v>
      </c>
      <c r="G365" s="37">
        <f t="shared" si="22"/>
        <v>22069800</v>
      </c>
      <c r="H365" s="35">
        <v>22069800</v>
      </c>
      <c r="I365" s="36">
        <f t="shared" si="23"/>
        <v>0</v>
      </c>
      <c r="J365" s="9">
        <v>45989</v>
      </c>
    </row>
    <row r="366" spans="1:11" ht="15" hidden="1" customHeight="1" x14ac:dyDescent="0.3">
      <c r="A366" s="30" t="s">
        <v>32</v>
      </c>
      <c r="B366" s="31" t="s">
        <v>538</v>
      </c>
      <c r="C366" s="32" t="s">
        <v>512</v>
      </c>
      <c r="D366" s="33"/>
      <c r="E366" s="29">
        <v>33005000</v>
      </c>
      <c r="F366" s="34">
        <f t="shared" si="21"/>
        <v>2640400</v>
      </c>
      <c r="G366" s="37">
        <f t="shared" si="22"/>
        <v>35645400</v>
      </c>
      <c r="H366" s="35">
        <v>35645400</v>
      </c>
      <c r="I366" s="36">
        <f t="shared" si="23"/>
        <v>0</v>
      </c>
      <c r="J366" s="9">
        <v>45989</v>
      </c>
    </row>
    <row r="367" spans="1:11" ht="15" hidden="1" customHeight="1" x14ac:dyDescent="0.3">
      <c r="A367" s="30" t="s">
        <v>48</v>
      </c>
      <c r="B367" s="31" t="s">
        <v>539</v>
      </c>
      <c r="C367" s="32" t="s">
        <v>513</v>
      </c>
      <c r="D367" s="33"/>
      <c r="E367" s="29">
        <v>990000</v>
      </c>
      <c r="F367" s="34">
        <f t="shared" si="21"/>
        <v>79200</v>
      </c>
      <c r="G367" s="37">
        <f t="shared" si="22"/>
        <v>1069200</v>
      </c>
      <c r="H367" s="35">
        <v>1069200</v>
      </c>
      <c r="I367" s="36">
        <f t="shared" si="23"/>
        <v>0</v>
      </c>
      <c r="J367" s="9">
        <v>45989</v>
      </c>
    </row>
    <row r="368" spans="1:11" ht="15" hidden="1" customHeight="1" x14ac:dyDescent="0.3">
      <c r="A368" s="30" t="s">
        <v>23</v>
      </c>
      <c r="B368" s="31" t="s">
        <v>539</v>
      </c>
      <c r="C368" s="32" t="s">
        <v>514</v>
      </c>
      <c r="D368" s="33"/>
      <c r="E368" s="29">
        <v>16220000</v>
      </c>
      <c r="F368" s="34">
        <f t="shared" si="21"/>
        <v>1297600</v>
      </c>
      <c r="G368" s="37">
        <f t="shared" si="22"/>
        <v>17517600</v>
      </c>
      <c r="H368" s="35">
        <v>17517600</v>
      </c>
      <c r="I368" s="36">
        <f t="shared" si="23"/>
        <v>0</v>
      </c>
      <c r="J368" s="9">
        <v>45989</v>
      </c>
    </row>
    <row r="369" spans="1:10" ht="15" hidden="1" customHeight="1" x14ac:dyDescent="0.3">
      <c r="A369" s="30" t="s">
        <v>295</v>
      </c>
      <c r="B369" s="31" t="s">
        <v>540</v>
      </c>
      <c r="C369" s="33" t="s">
        <v>515</v>
      </c>
      <c r="D369" s="33"/>
      <c r="E369" s="29">
        <v>1755000</v>
      </c>
      <c r="F369" s="34">
        <f t="shared" si="21"/>
        <v>140400</v>
      </c>
      <c r="G369" s="37">
        <f t="shared" si="22"/>
        <v>1895400</v>
      </c>
      <c r="H369" s="35">
        <v>1895400</v>
      </c>
      <c r="I369" s="36">
        <f t="shared" si="23"/>
        <v>0</v>
      </c>
      <c r="J369" s="9">
        <v>45989</v>
      </c>
    </row>
    <row r="370" spans="1:10" ht="15" hidden="1" customHeight="1" x14ac:dyDescent="0.3">
      <c r="A370" s="30" t="s">
        <v>19</v>
      </c>
      <c r="B370" s="31" t="s">
        <v>541</v>
      </c>
      <c r="C370" s="33" t="s">
        <v>516</v>
      </c>
      <c r="D370" s="33"/>
      <c r="E370" s="29">
        <v>1560000</v>
      </c>
      <c r="F370" s="34">
        <f t="shared" si="21"/>
        <v>124800</v>
      </c>
      <c r="G370" s="37">
        <f t="shared" si="22"/>
        <v>1684800</v>
      </c>
      <c r="H370" s="35">
        <v>1684800</v>
      </c>
      <c r="I370" s="36">
        <f t="shared" si="23"/>
        <v>0</v>
      </c>
      <c r="J370" s="9">
        <v>45989</v>
      </c>
    </row>
    <row r="371" spans="1:10" ht="15" hidden="1" customHeight="1" x14ac:dyDescent="0.3">
      <c r="A371" s="30" t="s">
        <v>21</v>
      </c>
      <c r="B371" s="31" t="s">
        <v>542</v>
      </c>
      <c r="C371" s="32" t="s">
        <v>517</v>
      </c>
      <c r="D371" s="33"/>
      <c r="E371" s="29">
        <v>5895000</v>
      </c>
      <c r="F371" s="34">
        <f t="shared" si="21"/>
        <v>471600</v>
      </c>
      <c r="G371" s="37">
        <f t="shared" si="22"/>
        <v>6366600</v>
      </c>
      <c r="H371" s="35">
        <v>6366600</v>
      </c>
      <c r="I371" s="36">
        <f t="shared" si="23"/>
        <v>0</v>
      </c>
      <c r="J371" s="9">
        <v>45989</v>
      </c>
    </row>
    <row r="372" spans="1:10" ht="15" hidden="1" customHeight="1" x14ac:dyDescent="0.3">
      <c r="A372" s="30" t="s">
        <v>26</v>
      </c>
      <c r="B372" s="31" t="s">
        <v>542</v>
      </c>
      <c r="C372" s="32" t="s">
        <v>518</v>
      </c>
      <c r="D372" s="33"/>
      <c r="E372" s="29">
        <v>5295000</v>
      </c>
      <c r="F372" s="34">
        <f t="shared" si="21"/>
        <v>423600</v>
      </c>
      <c r="G372" s="37">
        <f t="shared" si="22"/>
        <v>5718600</v>
      </c>
      <c r="H372" s="35">
        <v>5718600</v>
      </c>
      <c r="I372" s="36">
        <f t="shared" si="23"/>
        <v>0</v>
      </c>
      <c r="J372" s="9">
        <v>45989</v>
      </c>
    </row>
    <row r="373" spans="1:10" ht="15" hidden="1" customHeight="1" x14ac:dyDescent="0.3">
      <c r="A373" s="30" t="s">
        <v>32</v>
      </c>
      <c r="B373" s="31" t="s">
        <v>542</v>
      </c>
      <c r="C373" s="32" t="s">
        <v>519</v>
      </c>
      <c r="D373" s="33"/>
      <c r="E373" s="29">
        <v>7860000</v>
      </c>
      <c r="F373" s="34">
        <f t="shared" si="21"/>
        <v>628800</v>
      </c>
      <c r="G373" s="37">
        <f t="shared" si="22"/>
        <v>8488800</v>
      </c>
      <c r="H373" s="35">
        <v>8488800</v>
      </c>
      <c r="I373" s="36">
        <f t="shared" si="23"/>
        <v>0</v>
      </c>
      <c r="J373" s="9">
        <v>45989</v>
      </c>
    </row>
    <row r="374" spans="1:10" ht="15" hidden="1" customHeight="1" x14ac:dyDescent="0.3">
      <c r="A374" s="30" t="s">
        <v>48</v>
      </c>
      <c r="B374" s="31" t="s">
        <v>542</v>
      </c>
      <c r="C374" s="32" t="s">
        <v>520</v>
      </c>
      <c r="D374" s="33"/>
      <c r="E374" s="29">
        <v>7125000</v>
      </c>
      <c r="F374" s="34">
        <f t="shared" si="21"/>
        <v>570000</v>
      </c>
      <c r="G374" s="37">
        <f t="shared" si="22"/>
        <v>7695000</v>
      </c>
      <c r="H374" s="35">
        <v>7695000</v>
      </c>
      <c r="I374" s="36">
        <f t="shared" si="23"/>
        <v>0</v>
      </c>
      <c r="J374" s="9">
        <v>45989</v>
      </c>
    </row>
    <row r="375" spans="1:10" ht="15" hidden="1" customHeight="1" x14ac:dyDescent="0.3">
      <c r="A375" s="30" t="s">
        <v>294</v>
      </c>
      <c r="B375" s="31" t="s">
        <v>542</v>
      </c>
      <c r="C375" s="33" t="s">
        <v>521</v>
      </c>
      <c r="D375" s="33"/>
      <c r="E375" s="29">
        <v>5000000</v>
      </c>
      <c r="F375" s="34">
        <f t="shared" si="21"/>
        <v>400000</v>
      </c>
      <c r="G375" s="37">
        <f t="shared" si="22"/>
        <v>5400000</v>
      </c>
      <c r="H375" s="35">
        <v>5400000</v>
      </c>
      <c r="I375" s="36">
        <f t="shared" si="23"/>
        <v>0</v>
      </c>
      <c r="J375" s="9">
        <v>45989</v>
      </c>
    </row>
    <row r="376" spans="1:10" ht="15" hidden="1" customHeight="1" x14ac:dyDescent="0.3">
      <c r="A376" s="30" t="s">
        <v>25</v>
      </c>
      <c r="B376" s="31" t="s">
        <v>542</v>
      </c>
      <c r="C376" s="33" t="s">
        <v>522</v>
      </c>
      <c r="D376" s="33"/>
      <c r="E376" s="29">
        <v>4770000</v>
      </c>
      <c r="F376" s="34">
        <f t="shared" si="21"/>
        <v>381600</v>
      </c>
      <c r="G376" s="37">
        <f t="shared" si="22"/>
        <v>5151600</v>
      </c>
      <c r="H376" s="35">
        <v>5151600</v>
      </c>
      <c r="I376" s="36">
        <f t="shared" si="23"/>
        <v>0</v>
      </c>
      <c r="J376" s="9">
        <v>45989</v>
      </c>
    </row>
    <row r="377" spans="1:10" ht="15" hidden="1" customHeight="1" x14ac:dyDescent="0.3">
      <c r="A377" s="30" t="s">
        <v>23</v>
      </c>
      <c r="B377" s="31" t="s">
        <v>542</v>
      </c>
      <c r="C377" s="32" t="s">
        <v>523</v>
      </c>
      <c r="D377" s="33"/>
      <c r="E377" s="29">
        <v>19315000</v>
      </c>
      <c r="F377" s="34">
        <f t="shared" si="21"/>
        <v>1545200</v>
      </c>
      <c r="G377" s="37">
        <f t="shared" si="22"/>
        <v>20860200</v>
      </c>
      <c r="H377" s="35">
        <v>20860200</v>
      </c>
      <c r="I377" s="36">
        <f t="shared" si="23"/>
        <v>0</v>
      </c>
      <c r="J377" s="9">
        <v>45989</v>
      </c>
    </row>
    <row r="378" spans="1:10" ht="15" hidden="1" customHeight="1" x14ac:dyDescent="0.3">
      <c r="A378" s="30" t="s">
        <v>18</v>
      </c>
      <c r="B378" s="31" t="s">
        <v>542</v>
      </c>
      <c r="C378" s="32" t="s">
        <v>524</v>
      </c>
      <c r="D378" s="33"/>
      <c r="E378" s="29">
        <v>5775000</v>
      </c>
      <c r="F378" s="34">
        <f t="shared" si="21"/>
        <v>462000</v>
      </c>
      <c r="G378" s="37">
        <f t="shared" si="22"/>
        <v>6237000</v>
      </c>
      <c r="H378" s="35">
        <v>6237000</v>
      </c>
      <c r="I378" s="36">
        <f t="shared" si="23"/>
        <v>0</v>
      </c>
      <c r="J378" s="9">
        <v>45989</v>
      </c>
    </row>
    <row r="379" spans="1:10" ht="15" hidden="1" customHeight="1" x14ac:dyDescent="0.3">
      <c r="A379" s="30" t="s">
        <v>17</v>
      </c>
      <c r="B379" s="31" t="s">
        <v>542</v>
      </c>
      <c r="C379" s="33" t="s">
        <v>525</v>
      </c>
      <c r="D379" s="33"/>
      <c r="E379" s="29">
        <v>11330000</v>
      </c>
      <c r="F379" s="34">
        <f t="shared" si="21"/>
        <v>906400</v>
      </c>
      <c r="G379" s="37">
        <f t="shared" si="22"/>
        <v>12236400</v>
      </c>
      <c r="H379" s="35">
        <v>12236400</v>
      </c>
      <c r="I379" s="36">
        <f t="shared" si="23"/>
        <v>0</v>
      </c>
      <c r="J379" s="9">
        <v>45989</v>
      </c>
    </row>
    <row r="380" spans="1:10" ht="15" hidden="1" customHeight="1" x14ac:dyDescent="0.3">
      <c r="A380" s="30" t="s">
        <v>28</v>
      </c>
      <c r="B380" s="31" t="s">
        <v>543</v>
      </c>
      <c r="C380" s="33" t="s">
        <v>526</v>
      </c>
      <c r="D380" s="33"/>
      <c r="E380" s="29">
        <v>5925000</v>
      </c>
      <c r="F380" s="34">
        <f t="shared" si="21"/>
        <v>474000</v>
      </c>
      <c r="G380" s="37">
        <f t="shared" si="22"/>
        <v>6399000</v>
      </c>
      <c r="H380" s="35">
        <v>6399000</v>
      </c>
      <c r="I380" s="36">
        <f t="shared" si="23"/>
        <v>0</v>
      </c>
      <c r="J380" s="9">
        <v>45989</v>
      </c>
    </row>
    <row r="381" spans="1:10" ht="15" hidden="1" customHeight="1" x14ac:dyDescent="0.3">
      <c r="A381" s="30" t="s">
        <v>294</v>
      </c>
      <c r="B381" s="31" t="s">
        <v>544</v>
      </c>
      <c r="C381" s="32" t="s">
        <v>527</v>
      </c>
      <c r="D381" s="33"/>
      <c r="E381" s="29">
        <v>5000000</v>
      </c>
      <c r="F381" s="34">
        <f t="shared" si="21"/>
        <v>400000</v>
      </c>
      <c r="G381" s="37">
        <f t="shared" si="22"/>
        <v>5400000</v>
      </c>
      <c r="H381" s="35">
        <v>5400000</v>
      </c>
      <c r="I381" s="36">
        <f t="shared" si="23"/>
        <v>0</v>
      </c>
      <c r="J381" s="9">
        <v>46001</v>
      </c>
    </row>
    <row r="382" spans="1:10" ht="15" hidden="1" customHeight="1" x14ac:dyDescent="0.3">
      <c r="A382" s="30" t="s">
        <v>18</v>
      </c>
      <c r="B382" s="31" t="s">
        <v>544</v>
      </c>
      <c r="C382" s="32" t="s">
        <v>528</v>
      </c>
      <c r="D382" s="33"/>
      <c r="E382" s="29">
        <v>1560000</v>
      </c>
      <c r="F382" s="34">
        <f t="shared" si="21"/>
        <v>124800</v>
      </c>
      <c r="G382" s="37">
        <f t="shared" si="22"/>
        <v>1684800</v>
      </c>
      <c r="H382" s="35">
        <v>1684800</v>
      </c>
      <c r="I382" s="36">
        <f t="shared" si="23"/>
        <v>0</v>
      </c>
      <c r="J382" s="9">
        <v>46001</v>
      </c>
    </row>
    <row r="383" spans="1:10" ht="15" hidden="1" customHeight="1" x14ac:dyDescent="0.3">
      <c r="A383" s="30" t="s">
        <v>23</v>
      </c>
      <c r="B383" s="31" t="s">
        <v>544</v>
      </c>
      <c r="C383" s="32" t="s">
        <v>529</v>
      </c>
      <c r="D383" s="33"/>
      <c r="E383" s="29">
        <v>23395000</v>
      </c>
      <c r="F383" s="34">
        <f t="shared" si="21"/>
        <v>1871600</v>
      </c>
      <c r="G383" s="37">
        <f t="shared" si="22"/>
        <v>25266600</v>
      </c>
      <c r="H383" s="35">
        <v>25266600</v>
      </c>
      <c r="I383" s="36">
        <f t="shared" si="23"/>
        <v>0</v>
      </c>
      <c r="J383" s="9">
        <v>46001</v>
      </c>
    </row>
    <row r="384" spans="1:10" ht="15" hidden="1" customHeight="1" x14ac:dyDescent="0.3">
      <c r="A384" s="30" t="s">
        <v>32</v>
      </c>
      <c r="B384" s="31" t="s">
        <v>544</v>
      </c>
      <c r="C384" s="32" t="s">
        <v>530</v>
      </c>
      <c r="D384" s="33"/>
      <c r="E384" s="29">
        <v>8560000</v>
      </c>
      <c r="F384" s="34">
        <f t="shared" si="21"/>
        <v>684800</v>
      </c>
      <c r="G384" s="37">
        <f t="shared" si="22"/>
        <v>9244800</v>
      </c>
      <c r="H384" s="35">
        <v>9244800</v>
      </c>
      <c r="I384" s="36">
        <f t="shared" si="23"/>
        <v>0</v>
      </c>
      <c r="J384" s="9">
        <v>46001</v>
      </c>
    </row>
    <row r="385" spans="1:10" ht="15" hidden="1" customHeight="1" x14ac:dyDescent="0.3">
      <c r="A385" s="30" t="s">
        <v>28</v>
      </c>
      <c r="B385" s="31" t="s">
        <v>544</v>
      </c>
      <c r="C385" s="32" t="s">
        <v>531</v>
      </c>
      <c r="D385" s="33"/>
      <c r="E385" s="29">
        <v>3885000</v>
      </c>
      <c r="F385" s="34">
        <f t="shared" si="21"/>
        <v>310800</v>
      </c>
      <c r="G385" s="37">
        <f t="shared" si="22"/>
        <v>4195800</v>
      </c>
      <c r="H385" s="35">
        <v>4195800</v>
      </c>
      <c r="I385" s="36">
        <f t="shared" si="23"/>
        <v>0</v>
      </c>
      <c r="J385" s="9">
        <v>46001</v>
      </c>
    </row>
    <row r="386" spans="1:10" ht="15" hidden="1" customHeight="1" x14ac:dyDescent="0.3">
      <c r="A386" s="30" t="s">
        <v>25</v>
      </c>
      <c r="B386" s="31" t="s">
        <v>544</v>
      </c>
      <c r="C386" s="32" t="s">
        <v>532</v>
      </c>
      <c r="D386" s="33"/>
      <c r="E386" s="29">
        <v>2670000</v>
      </c>
      <c r="F386" s="34">
        <f t="shared" si="21"/>
        <v>213600</v>
      </c>
      <c r="G386" s="37">
        <f t="shared" si="22"/>
        <v>2883600</v>
      </c>
      <c r="H386" s="35">
        <v>2883600</v>
      </c>
      <c r="I386" s="36">
        <f t="shared" si="23"/>
        <v>0</v>
      </c>
      <c r="J386" s="9">
        <v>46001</v>
      </c>
    </row>
    <row r="387" spans="1:10" ht="15" hidden="1" customHeight="1" x14ac:dyDescent="0.3">
      <c r="A387" s="30" t="s">
        <v>20</v>
      </c>
      <c r="B387" s="31" t="s">
        <v>544</v>
      </c>
      <c r="C387" s="32" t="s">
        <v>533</v>
      </c>
      <c r="D387" s="33"/>
      <c r="E387" s="29">
        <v>8925000</v>
      </c>
      <c r="F387" s="34">
        <f t="shared" si="21"/>
        <v>714000</v>
      </c>
      <c r="G387" s="37">
        <f t="shared" si="22"/>
        <v>9639000</v>
      </c>
      <c r="H387" s="35">
        <v>9639000</v>
      </c>
      <c r="I387" s="36">
        <f t="shared" si="23"/>
        <v>0</v>
      </c>
      <c r="J387" s="9">
        <v>46001</v>
      </c>
    </row>
    <row r="388" spans="1:10" ht="15" hidden="1" customHeight="1" x14ac:dyDescent="0.3">
      <c r="A388" s="30" t="s">
        <v>27</v>
      </c>
      <c r="B388" s="31" t="s">
        <v>544</v>
      </c>
      <c r="C388" s="32" t="s">
        <v>534</v>
      </c>
      <c r="D388" s="33"/>
      <c r="E388" s="29">
        <v>3005000</v>
      </c>
      <c r="F388" s="34">
        <f t="shared" si="21"/>
        <v>240400</v>
      </c>
      <c r="G388" s="37">
        <f t="shared" si="22"/>
        <v>3245400</v>
      </c>
      <c r="H388" s="35">
        <v>3245400</v>
      </c>
      <c r="I388" s="36">
        <f t="shared" si="23"/>
        <v>0</v>
      </c>
      <c r="J388" s="9">
        <v>46001</v>
      </c>
    </row>
    <row r="389" spans="1:10" ht="15" hidden="1" customHeight="1" x14ac:dyDescent="0.3">
      <c r="A389" s="30" t="s">
        <v>22</v>
      </c>
      <c r="B389" s="31" t="s">
        <v>544</v>
      </c>
      <c r="C389" s="32" t="s">
        <v>535</v>
      </c>
      <c r="D389" s="33"/>
      <c r="E389" s="29">
        <v>2000000</v>
      </c>
      <c r="F389" s="34">
        <f t="shared" si="21"/>
        <v>160000</v>
      </c>
      <c r="G389" s="37">
        <f t="shared" si="22"/>
        <v>2160000</v>
      </c>
      <c r="H389" s="35">
        <v>2160000</v>
      </c>
      <c r="I389" s="36">
        <f t="shared" si="23"/>
        <v>0</v>
      </c>
      <c r="J389" s="9">
        <v>46001</v>
      </c>
    </row>
    <row r="390" spans="1:10" ht="15" hidden="1" customHeight="1" x14ac:dyDescent="0.3">
      <c r="A390" s="30" t="s">
        <v>48</v>
      </c>
      <c r="B390" s="31" t="s">
        <v>544</v>
      </c>
      <c r="C390" s="32" t="s">
        <v>536</v>
      </c>
      <c r="D390" s="33"/>
      <c r="E390" s="29">
        <v>7935000</v>
      </c>
      <c r="F390" s="34">
        <f t="shared" si="21"/>
        <v>634800</v>
      </c>
      <c r="G390" s="37">
        <f t="shared" si="22"/>
        <v>8569800</v>
      </c>
      <c r="H390" s="35">
        <v>8569800</v>
      </c>
      <c r="I390" s="36">
        <f t="shared" si="23"/>
        <v>0</v>
      </c>
      <c r="J390" s="9">
        <v>46001</v>
      </c>
    </row>
    <row r="391" spans="1:10" ht="15" hidden="1" customHeight="1" x14ac:dyDescent="0.3">
      <c r="A391" s="30" t="s">
        <v>21</v>
      </c>
      <c r="B391" s="31" t="s">
        <v>544</v>
      </c>
      <c r="C391" s="32" t="s">
        <v>537</v>
      </c>
      <c r="D391" s="33"/>
      <c r="E391" s="29">
        <v>9555000</v>
      </c>
      <c r="F391" s="34">
        <f t="shared" si="21"/>
        <v>764400</v>
      </c>
      <c r="G391" s="37">
        <f t="shared" si="22"/>
        <v>10319400</v>
      </c>
      <c r="H391" s="35">
        <v>10319400</v>
      </c>
      <c r="I391" s="36">
        <f t="shared" si="23"/>
        <v>0</v>
      </c>
      <c r="J391" s="9">
        <v>46001</v>
      </c>
    </row>
    <row r="392" spans="1:10" ht="15" hidden="1" customHeight="1" x14ac:dyDescent="0.3">
      <c r="A392" s="30" t="s">
        <v>21</v>
      </c>
      <c r="B392" s="31" t="s">
        <v>582</v>
      </c>
      <c r="C392" s="32" t="s">
        <v>561</v>
      </c>
      <c r="D392" s="33"/>
      <c r="E392" s="29">
        <v>6725000</v>
      </c>
      <c r="F392" s="34">
        <f t="shared" si="21"/>
        <v>538000</v>
      </c>
      <c r="G392" s="37">
        <f t="shared" si="22"/>
        <v>7263000</v>
      </c>
      <c r="H392" s="35">
        <v>7263000</v>
      </c>
      <c r="I392" s="36">
        <f t="shared" si="23"/>
        <v>0</v>
      </c>
      <c r="J392" s="9">
        <v>46001</v>
      </c>
    </row>
    <row r="393" spans="1:10" ht="15" hidden="1" customHeight="1" x14ac:dyDescent="0.3">
      <c r="A393" s="30" t="s">
        <v>27</v>
      </c>
      <c r="B393" s="31" t="s">
        <v>583</v>
      </c>
      <c r="C393" s="32" t="s">
        <v>562</v>
      </c>
      <c r="D393" s="33"/>
      <c r="E393" s="29">
        <v>3045000</v>
      </c>
      <c r="F393" s="34">
        <f t="shared" si="21"/>
        <v>243600</v>
      </c>
      <c r="G393" s="37">
        <f t="shared" si="22"/>
        <v>3288600</v>
      </c>
      <c r="H393" s="35">
        <v>3288600</v>
      </c>
      <c r="I393" s="36">
        <f t="shared" si="23"/>
        <v>0</v>
      </c>
      <c r="J393" s="9">
        <v>46001</v>
      </c>
    </row>
    <row r="394" spans="1:10" ht="15" hidden="1" customHeight="1" x14ac:dyDescent="0.3">
      <c r="A394" s="30" t="s">
        <v>17</v>
      </c>
      <c r="B394" s="31" t="s">
        <v>583</v>
      </c>
      <c r="C394" s="32" t="s">
        <v>563</v>
      </c>
      <c r="D394" s="33"/>
      <c r="E394" s="29">
        <v>7200000</v>
      </c>
      <c r="F394" s="34">
        <f t="shared" si="21"/>
        <v>576000</v>
      </c>
      <c r="G394" s="37">
        <f t="shared" si="22"/>
        <v>7776000</v>
      </c>
      <c r="H394" s="35">
        <v>7776000</v>
      </c>
      <c r="I394" s="36">
        <f t="shared" si="23"/>
        <v>0</v>
      </c>
      <c r="J394" s="9">
        <v>46001</v>
      </c>
    </row>
    <row r="395" spans="1:10" ht="15" hidden="1" customHeight="1" x14ac:dyDescent="0.3">
      <c r="A395" s="30" t="s">
        <v>18</v>
      </c>
      <c r="B395" s="31" t="s">
        <v>583</v>
      </c>
      <c r="C395" s="32" t="s">
        <v>564</v>
      </c>
      <c r="D395" s="33"/>
      <c r="E395" s="29">
        <v>1560000</v>
      </c>
      <c r="F395" s="34">
        <f t="shared" ref="F395:F442" si="24">+E395*0.08</f>
        <v>124800</v>
      </c>
      <c r="G395" s="37">
        <f t="shared" ref="G395:G442" si="25">E395+F395</f>
        <v>1684800</v>
      </c>
      <c r="H395" s="35">
        <v>1684800</v>
      </c>
      <c r="I395" s="36">
        <f t="shared" si="23"/>
        <v>0</v>
      </c>
      <c r="J395" s="9">
        <v>46001</v>
      </c>
    </row>
    <row r="396" spans="1:10" ht="15" hidden="1" customHeight="1" x14ac:dyDescent="0.3">
      <c r="A396" s="30" t="s">
        <v>22</v>
      </c>
      <c r="B396" s="31" t="s">
        <v>583</v>
      </c>
      <c r="C396" s="32" t="s">
        <v>565</v>
      </c>
      <c r="D396" s="33"/>
      <c r="E396" s="29">
        <v>3855000</v>
      </c>
      <c r="F396" s="34">
        <f t="shared" si="24"/>
        <v>308400</v>
      </c>
      <c r="G396" s="37">
        <f t="shared" si="25"/>
        <v>4163400</v>
      </c>
      <c r="H396" s="35">
        <v>4163400</v>
      </c>
      <c r="I396" s="36">
        <f t="shared" si="23"/>
        <v>0</v>
      </c>
      <c r="J396" s="9">
        <v>46001</v>
      </c>
    </row>
    <row r="397" spans="1:10" ht="15" hidden="1" customHeight="1" x14ac:dyDescent="0.3">
      <c r="A397" s="30" t="s">
        <v>22</v>
      </c>
      <c r="B397" s="31" t="s">
        <v>583</v>
      </c>
      <c r="C397" s="32" t="s">
        <v>566</v>
      </c>
      <c r="D397" s="33"/>
      <c r="E397" s="29">
        <v>990000</v>
      </c>
      <c r="F397" s="34">
        <f t="shared" si="24"/>
        <v>79200</v>
      </c>
      <c r="G397" s="37">
        <f t="shared" si="25"/>
        <v>1069200</v>
      </c>
      <c r="H397" s="35">
        <v>1069200</v>
      </c>
      <c r="I397" s="36">
        <f t="shared" si="23"/>
        <v>0</v>
      </c>
      <c r="J397" s="9">
        <v>46001</v>
      </c>
    </row>
    <row r="398" spans="1:10" ht="15" hidden="1" customHeight="1" x14ac:dyDescent="0.3">
      <c r="A398" s="30" t="s">
        <v>48</v>
      </c>
      <c r="B398" s="31" t="s">
        <v>583</v>
      </c>
      <c r="C398" s="32" t="s">
        <v>567</v>
      </c>
      <c r="D398" s="33"/>
      <c r="E398" s="29">
        <v>5925000</v>
      </c>
      <c r="F398" s="34">
        <f t="shared" si="24"/>
        <v>474000</v>
      </c>
      <c r="G398" s="37">
        <f t="shared" si="25"/>
        <v>6399000</v>
      </c>
      <c r="H398" s="35">
        <v>6399000</v>
      </c>
      <c r="I398" s="36">
        <f t="shared" si="23"/>
        <v>0</v>
      </c>
      <c r="J398" s="9">
        <v>46001</v>
      </c>
    </row>
    <row r="399" spans="1:10" ht="15" hidden="1" customHeight="1" x14ac:dyDescent="0.3">
      <c r="A399" s="30" t="s">
        <v>26</v>
      </c>
      <c r="B399" s="31">
        <v>45961</v>
      </c>
      <c r="C399" s="33" t="s">
        <v>568</v>
      </c>
      <c r="D399" s="32" t="s">
        <v>616</v>
      </c>
      <c r="E399" s="29">
        <v>3497500</v>
      </c>
      <c r="F399" s="34">
        <f t="shared" si="24"/>
        <v>279800</v>
      </c>
      <c r="G399" s="37">
        <f t="shared" si="25"/>
        <v>3777300</v>
      </c>
      <c r="H399" s="35">
        <v>3777300</v>
      </c>
      <c r="I399" s="36">
        <f t="shared" si="23"/>
        <v>0</v>
      </c>
      <c r="J399" s="9">
        <v>46001</v>
      </c>
    </row>
    <row r="400" spans="1:10" ht="15" hidden="1" customHeight="1" x14ac:dyDescent="0.3">
      <c r="A400" s="30" t="s">
        <v>32</v>
      </c>
      <c r="B400" s="31" t="s">
        <v>583</v>
      </c>
      <c r="C400" s="32" t="s">
        <v>569</v>
      </c>
      <c r="D400" s="33"/>
      <c r="E400" s="29">
        <v>8520000</v>
      </c>
      <c r="F400" s="34">
        <f t="shared" si="24"/>
        <v>681600</v>
      </c>
      <c r="G400" s="37">
        <f t="shared" si="25"/>
        <v>9201600</v>
      </c>
      <c r="H400" s="37">
        <v>9201600</v>
      </c>
      <c r="I400" s="36">
        <f t="shared" si="23"/>
        <v>0</v>
      </c>
      <c r="J400" s="9">
        <v>46001</v>
      </c>
    </row>
    <row r="401" spans="1:10" ht="15" hidden="1" customHeight="1" x14ac:dyDescent="0.3">
      <c r="A401" s="30" t="s">
        <v>21</v>
      </c>
      <c r="B401" s="31" t="s">
        <v>583</v>
      </c>
      <c r="C401" s="32" t="s">
        <v>570</v>
      </c>
      <c r="D401" s="33"/>
      <c r="E401" s="29">
        <v>11415000</v>
      </c>
      <c r="F401" s="34">
        <f t="shared" si="24"/>
        <v>913200</v>
      </c>
      <c r="G401" s="37">
        <f t="shared" si="25"/>
        <v>12328200</v>
      </c>
      <c r="H401" s="35">
        <v>12328200</v>
      </c>
      <c r="I401" s="36">
        <f t="shared" si="23"/>
        <v>0</v>
      </c>
      <c r="J401" s="9">
        <v>46001</v>
      </c>
    </row>
    <row r="402" spans="1:10" ht="15" hidden="1" customHeight="1" x14ac:dyDescent="0.3">
      <c r="A402" s="30" t="s">
        <v>19</v>
      </c>
      <c r="B402" s="31" t="s">
        <v>584</v>
      </c>
      <c r="C402" s="32" t="s">
        <v>571</v>
      </c>
      <c r="D402" s="33"/>
      <c r="E402" s="29">
        <v>3045000</v>
      </c>
      <c r="F402" s="34">
        <f t="shared" si="24"/>
        <v>243600</v>
      </c>
      <c r="G402" s="37">
        <f t="shared" si="25"/>
        <v>3288600</v>
      </c>
      <c r="H402" s="35">
        <v>3288600</v>
      </c>
      <c r="I402" s="36">
        <f t="shared" ref="I402:I411" si="26">G402-H402</f>
        <v>0</v>
      </c>
      <c r="J402" s="9">
        <v>46001</v>
      </c>
    </row>
    <row r="403" spans="1:10" ht="15" hidden="1" customHeight="1" x14ac:dyDescent="0.3">
      <c r="A403" s="30" t="s">
        <v>21</v>
      </c>
      <c r="B403" s="31" t="s">
        <v>584</v>
      </c>
      <c r="C403" s="32" t="s">
        <v>572</v>
      </c>
      <c r="D403" s="33"/>
      <c r="E403" s="29">
        <v>2820000</v>
      </c>
      <c r="F403" s="34">
        <f t="shared" si="24"/>
        <v>225600</v>
      </c>
      <c r="G403" s="37">
        <f t="shared" si="25"/>
        <v>3045600</v>
      </c>
      <c r="H403" s="35">
        <v>3045600</v>
      </c>
      <c r="I403" s="36">
        <f t="shared" si="26"/>
        <v>0</v>
      </c>
      <c r="J403" s="9">
        <v>46001</v>
      </c>
    </row>
    <row r="404" spans="1:10" ht="15" hidden="1" customHeight="1" x14ac:dyDescent="0.3">
      <c r="A404" s="30" t="s">
        <v>21</v>
      </c>
      <c r="B404" s="31">
        <v>45966</v>
      </c>
      <c r="C404" s="33" t="s">
        <v>573</v>
      </c>
      <c r="D404" s="32" t="s">
        <v>617</v>
      </c>
      <c r="E404" s="29">
        <v>2960000</v>
      </c>
      <c r="F404" s="34">
        <f t="shared" si="24"/>
        <v>236800</v>
      </c>
      <c r="G404" s="37">
        <f t="shared" si="25"/>
        <v>3196800</v>
      </c>
      <c r="H404" s="35">
        <v>3196800</v>
      </c>
      <c r="I404" s="36">
        <f t="shared" si="26"/>
        <v>0</v>
      </c>
      <c r="J404" s="9">
        <v>46001</v>
      </c>
    </row>
    <row r="405" spans="1:10" ht="15" hidden="1" customHeight="1" x14ac:dyDescent="0.3">
      <c r="A405" s="30" t="s">
        <v>19</v>
      </c>
      <c r="B405" s="31">
        <v>45966</v>
      </c>
      <c r="C405" s="33" t="s">
        <v>574</v>
      </c>
      <c r="D405" s="32" t="s">
        <v>618</v>
      </c>
      <c r="E405" s="29">
        <v>2960000</v>
      </c>
      <c r="F405" s="34">
        <f t="shared" ref="F405:F415" si="27">+E405*0.08</f>
        <v>236800</v>
      </c>
      <c r="G405" s="37">
        <f t="shared" ref="G405:G415" si="28">E405+F405</f>
        <v>3196800</v>
      </c>
      <c r="H405" s="35">
        <v>3196800</v>
      </c>
      <c r="I405" s="36">
        <f t="shared" si="26"/>
        <v>0</v>
      </c>
      <c r="J405" s="9">
        <v>46122</v>
      </c>
    </row>
    <row r="406" spans="1:10" ht="15" hidden="1" customHeight="1" x14ac:dyDescent="0.3">
      <c r="A406" s="30" t="s">
        <v>25</v>
      </c>
      <c r="B406" s="31" t="s">
        <v>585</v>
      </c>
      <c r="C406" s="32" t="s">
        <v>575</v>
      </c>
      <c r="D406" s="33"/>
      <c r="E406" s="29">
        <v>3045000</v>
      </c>
      <c r="F406" s="34">
        <f t="shared" si="27"/>
        <v>243600</v>
      </c>
      <c r="G406" s="37">
        <f t="shared" si="28"/>
        <v>3288600</v>
      </c>
      <c r="H406" s="35">
        <v>3288600</v>
      </c>
      <c r="I406" s="36">
        <f t="shared" si="26"/>
        <v>0</v>
      </c>
      <c r="J406" s="9">
        <v>46001</v>
      </c>
    </row>
    <row r="407" spans="1:10" ht="15" hidden="1" customHeight="1" x14ac:dyDescent="0.3">
      <c r="A407" s="30" t="s">
        <v>28</v>
      </c>
      <c r="B407" s="31" t="s">
        <v>585</v>
      </c>
      <c r="C407" s="32" t="s">
        <v>576</v>
      </c>
      <c r="D407" s="33"/>
      <c r="E407" s="29">
        <v>3000000</v>
      </c>
      <c r="F407" s="34">
        <f t="shared" si="27"/>
        <v>240000</v>
      </c>
      <c r="G407" s="37">
        <f t="shared" si="28"/>
        <v>3240000</v>
      </c>
      <c r="H407" s="35">
        <v>3240000</v>
      </c>
      <c r="I407" s="36">
        <f t="shared" si="26"/>
        <v>0</v>
      </c>
      <c r="J407" s="9">
        <v>46001</v>
      </c>
    </row>
    <row r="408" spans="1:10" ht="15" hidden="1" customHeight="1" x14ac:dyDescent="0.3">
      <c r="A408" s="30" t="s">
        <v>26</v>
      </c>
      <c r="B408" s="31" t="s">
        <v>585</v>
      </c>
      <c r="C408" s="32" t="s">
        <v>577</v>
      </c>
      <c r="D408" s="33"/>
      <c r="E408" s="29">
        <v>3965000</v>
      </c>
      <c r="F408" s="34">
        <f t="shared" si="27"/>
        <v>317200</v>
      </c>
      <c r="G408" s="37">
        <f t="shared" si="28"/>
        <v>4282200</v>
      </c>
      <c r="H408" s="35">
        <v>4282200</v>
      </c>
      <c r="I408" s="36">
        <f t="shared" si="26"/>
        <v>0</v>
      </c>
      <c r="J408" s="9">
        <v>46001</v>
      </c>
    </row>
    <row r="409" spans="1:10" ht="15" hidden="1" customHeight="1" x14ac:dyDescent="0.3">
      <c r="A409" s="30" t="s">
        <v>32</v>
      </c>
      <c r="B409" s="31" t="s">
        <v>585</v>
      </c>
      <c r="C409" s="32" t="s">
        <v>578</v>
      </c>
      <c r="D409" s="33"/>
      <c r="E409" s="29">
        <v>13055000</v>
      </c>
      <c r="F409" s="34">
        <f t="shared" si="27"/>
        <v>1044400</v>
      </c>
      <c r="G409" s="37">
        <f t="shared" si="28"/>
        <v>14099400</v>
      </c>
      <c r="H409" s="35">
        <v>14099400</v>
      </c>
      <c r="I409" s="36">
        <f t="shared" si="26"/>
        <v>0</v>
      </c>
      <c r="J409" s="9">
        <v>46001</v>
      </c>
    </row>
    <row r="410" spans="1:10" ht="15" hidden="1" customHeight="1" x14ac:dyDescent="0.3">
      <c r="A410" s="30" t="s">
        <v>23</v>
      </c>
      <c r="B410" s="31" t="s">
        <v>586</v>
      </c>
      <c r="C410" s="32" t="s">
        <v>579</v>
      </c>
      <c r="D410" s="33"/>
      <c r="E410" s="29">
        <v>11476000</v>
      </c>
      <c r="F410" s="34">
        <f t="shared" si="27"/>
        <v>918080</v>
      </c>
      <c r="G410" s="37">
        <f t="shared" si="28"/>
        <v>12394080</v>
      </c>
      <c r="H410" s="35">
        <v>12394080</v>
      </c>
      <c r="I410" s="36">
        <f t="shared" si="26"/>
        <v>0</v>
      </c>
      <c r="J410" s="9">
        <v>46001</v>
      </c>
    </row>
    <row r="411" spans="1:10" ht="15" hidden="1" customHeight="1" x14ac:dyDescent="0.3">
      <c r="A411" s="30" t="s">
        <v>21</v>
      </c>
      <c r="B411" s="31" t="s">
        <v>586</v>
      </c>
      <c r="C411" s="32" t="s">
        <v>580</v>
      </c>
      <c r="D411" s="33"/>
      <c r="E411" s="29">
        <v>1005000</v>
      </c>
      <c r="F411" s="34">
        <f t="shared" si="27"/>
        <v>80400</v>
      </c>
      <c r="G411" s="37">
        <f t="shared" si="28"/>
        <v>1085400</v>
      </c>
      <c r="H411" s="35">
        <v>1085400</v>
      </c>
      <c r="I411" s="36">
        <f t="shared" si="26"/>
        <v>0</v>
      </c>
      <c r="J411" s="9">
        <v>46001</v>
      </c>
    </row>
    <row r="412" spans="1:10" ht="15" hidden="1" customHeight="1" x14ac:dyDescent="0.3">
      <c r="A412" s="30" t="s">
        <v>18</v>
      </c>
      <c r="B412" s="31" t="s">
        <v>587</v>
      </c>
      <c r="C412" s="32" t="s">
        <v>581</v>
      </c>
      <c r="D412" s="33"/>
      <c r="E412" s="29">
        <v>1836000</v>
      </c>
      <c r="F412" s="34">
        <f t="shared" si="27"/>
        <v>146880</v>
      </c>
      <c r="G412" s="37">
        <f t="shared" si="28"/>
        <v>1982880</v>
      </c>
      <c r="H412" s="35">
        <v>1982880</v>
      </c>
      <c r="I412" s="36">
        <f t="shared" ref="I412:I422" si="29">G412-H412</f>
        <v>0</v>
      </c>
      <c r="J412" s="9">
        <v>46001</v>
      </c>
    </row>
    <row r="413" spans="1:10" ht="15" hidden="1" customHeight="1" x14ac:dyDescent="0.3">
      <c r="A413" s="30" t="s">
        <v>658</v>
      </c>
      <c r="B413" s="31">
        <v>45962</v>
      </c>
      <c r="C413" s="32" t="s">
        <v>659</v>
      </c>
      <c r="D413" s="33"/>
      <c r="E413" s="29">
        <v>-907500</v>
      </c>
      <c r="F413" s="34">
        <f t="shared" si="27"/>
        <v>-72600</v>
      </c>
      <c r="G413" s="37">
        <f t="shared" si="28"/>
        <v>-980100</v>
      </c>
      <c r="H413" s="35">
        <v>-980100</v>
      </c>
      <c r="I413" s="36">
        <f t="shared" si="29"/>
        <v>0</v>
      </c>
      <c r="J413" s="9">
        <v>45960</v>
      </c>
    </row>
    <row r="414" spans="1:10" ht="15" hidden="1" customHeight="1" x14ac:dyDescent="0.3">
      <c r="A414" s="30" t="s">
        <v>21</v>
      </c>
      <c r="B414" s="31" t="s">
        <v>612</v>
      </c>
      <c r="C414" s="32" t="s">
        <v>588</v>
      </c>
      <c r="D414" s="33"/>
      <c r="E414" s="29">
        <v>960000</v>
      </c>
      <c r="F414" s="34">
        <f t="shared" si="27"/>
        <v>76800</v>
      </c>
      <c r="G414" s="37">
        <f t="shared" si="28"/>
        <v>1036800</v>
      </c>
      <c r="H414" s="35">
        <v>1036800</v>
      </c>
      <c r="I414" s="36">
        <f t="shared" si="29"/>
        <v>0</v>
      </c>
      <c r="J414" s="9">
        <v>46001</v>
      </c>
    </row>
    <row r="415" spans="1:10" ht="15" hidden="1" customHeight="1" x14ac:dyDescent="0.3">
      <c r="A415" s="30" t="s">
        <v>28</v>
      </c>
      <c r="B415" s="31" t="s">
        <v>612</v>
      </c>
      <c r="C415" s="32" t="s">
        <v>589</v>
      </c>
      <c r="D415" s="33"/>
      <c r="E415" s="29">
        <v>2580000</v>
      </c>
      <c r="F415" s="34">
        <f t="shared" si="27"/>
        <v>206400</v>
      </c>
      <c r="G415" s="37">
        <f t="shared" si="28"/>
        <v>2786400</v>
      </c>
      <c r="H415" s="35">
        <v>2786400</v>
      </c>
      <c r="I415" s="36">
        <f t="shared" si="29"/>
        <v>0</v>
      </c>
      <c r="J415" s="9">
        <v>46001</v>
      </c>
    </row>
    <row r="416" spans="1:10" ht="15" hidden="1" customHeight="1" x14ac:dyDescent="0.3">
      <c r="A416" s="30" t="s">
        <v>27</v>
      </c>
      <c r="B416" s="31" t="s">
        <v>612</v>
      </c>
      <c r="C416" s="32" t="s">
        <v>590</v>
      </c>
      <c r="D416" s="33"/>
      <c r="E416" s="29">
        <v>2925000</v>
      </c>
      <c r="F416" s="34">
        <f t="shared" ref="F416:F422" si="30">+E416*0.08</f>
        <v>234000</v>
      </c>
      <c r="G416" s="37">
        <f t="shared" ref="G416:G422" si="31">E416+F416</f>
        <v>3159000</v>
      </c>
      <c r="H416" s="35">
        <v>3159000</v>
      </c>
      <c r="I416" s="36">
        <f t="shared" si="29"/>
        <v>0</v>
      </c>
      <c r="J416" s="9">
        <v>46001</v>
      </c>
    </row>
    <row r="417" spans="1:11" ht="15" hidden="1" customHeight="1" x14ac:dyDescent="0.3">
      <c r="A417" s="30" t="s">
        <v>48</v>
      </c>
      <c r="B417" s="31" t="s">
        <v>612</v>
      </c>
      <c r="C417" s="32" t="s">
        <v>591</v>
      </c>
      <c r="D417" s="33"/>
      <c r="E417" s="29">
        <v>960000</v>
      </c>
      <c r="F417" s="34">
        <f t="shared" si="30"/>
        <v>76800</v>
      </c>
      <c r="G417" s="37">
        <f t="shared" si="31"/>
        <v>1036800</v>
      </c>
      <c r="H417" s="35">
        <v>1036800</v>
      </c>
      <c r="I417" s="36">
        <f t="shared" si="29"/>
        <v>0</v>
      </c>
      <c r="J417" s="9">
        <v>46001</v>
      </c>
    </row>
    <row r="418" spans="1:11" ht="15" hidden="1" customHeight="1" x14ac:dyDescent="0.3">
      <c r="A418" s="30" t="s">
        <v>26</v>
      </c>
      <c r="B418" s="31" t="s">
        <v>612</v>
      </c>
      <c r="C418" s="32" t="s">
        <v>592</v>
      </c>
      <c r="D418" s="33"/>
      <c r="E418" s="29">
        <v>3456000</v>
      </c>
      <c r="F418" s="34">
        <f t="shared" si="30"/>
        <v>276480</v>
      </c>
      <c r="G418" s="37">
        <f t="shared" si="31"/>
        <v>3732480</v>
      </c>
      <c r="H418" s="35">
        <v>3732480</v>
      </c>
      <c r="I418" s="36">
        <f t="shared" si="29"/>
        <v>0</v>
      </c>
      <c r="J418" s="9">
        <v>46001</v>
      </c>
    </row>
    <row r="419" spans="1:11" ht="15" hidden="1" customHeight="1" x14ac:dyDescent="0.3">
      <c r="A419" s="30" t="s">
        <v>32</v>
      </c>
      <c r="B419" s="31" t="s">
        <v>612</v>
      </c>
      <c r="C419" s="32" t="s">
        <v>593</v>
      </c>
      <c r="D419" s="33"/>
      <c r="E419" s="29">
        <v>14275000</v>
      </c>
      <c r="F419" s="34">
        <f t="shared" si="30"/>
        <v>1142000</v>
      </c>
      <c r="G419" s="37">
        <f t="shared" si="31"/>
        <v>15417000</v>
      </c>
      <c r="H419" s="35">
        <v>15417000</v>
      </c>
      <c r="I419" s="36">
        <f t="shared" si="29"/>
        <v>0</v>
      </c>
      <c r="J419" s="9">
        <v>46001</v>
      </c>
    </row>
    <row r="420" spans="1:11" ht="15" hidden="1" customHeight="1" x14ac:dyDescent="0.3">
      <c r="A420" s="30" t="s">
        <v>23</v>
      </c>
      <c r="B420" s="31">
        <v>45983</v>
      </c>
      <c r="C420" s="33" t="s">
        <v>594</v>
      </c>
      <c r="D420" s="32" t="s">
        <v>657</v>
      </c>
      <c r="E420" s="29">
        <v>16967000</v>
      </c>
      <c r="F420" s="34">
        <f t="shared" si="30"/>
        <v>1357360</v>
      </c>
      <c r="G420" s="37">
        <f t="shared" si="31"/>
        <v>18324360</v>
      </c>
      <c r="H420" s="35">
        <v>18324360</v>
      </c>
      <c r="I420" s="36">
        <f t="shared" si="29"/>
        <v>0</v>
      </c>
      <c r="J420" s="9">
        <v>46122</v>
      </c>
    </row>
    <row r="421" spans="1:11" ht="15" hidden="1" customHeight="1" x14ac:dyDescent="0.3">
      <c r="A421" s="30" t="s">
        <v>19</v>
      </c>
      <c r="B421" s="31" t="s">
        <v>612</v>
      </c>
      <c r="C421" s="32" t="s">
        <v>595</v>
      </c>
      <c r="D421" s="33"/>
      <c r="E421" s="29">
        <v>2045000</v>
      </c>
      <c r="F421" s="34">
        <f t="shared" si="30"/>
        <v>163600</v>
      </c>
      <c r="G421" s="37">
        <f t="shared" si="31"/>
        <v>2208600</v>
      </c>
      <c r="H421" s="35">
        <v>2208600</v>
      </c>
      <c r="I421" s="36">
        <f t="shared" si="29"/>
        <v>0</v>
      </c>
      <c r="J421" s="9">
        <v>46001</v>
      </c>
    </row>
    <row r="422" spans="1:11" ht="15" hidden="1" customHeight="1" x14ac:dyDescent="0.3">
      <c r="A422" s="30" t="s">
        <v>17</v>
      </c>
      <c r="B422" s="31" t="s">
        <v>612</v>
      </c>
      <c r="C422" s="32" t="s">
        <v>596</v>
      </c>
      <c r="D422" s="33"/>
      <c r="E422" s="29">
        <v>18360000</v>
      </c>
      <c r="F422" s="34">
        <f t="shared" si="30"/>
        <v>1468800</v>
      </c>
      <c r="G422" s="37">
        <f t="shared" si="31"/>
        <v>19828800</v>
      </c>
      <c r="H422" s="35">
        <v>19828800</v>
      </c>
      <c r="I422" s="36">
        <f t="shared" si="29"/>
        <v>0</v>
      </c>
      <c r="J422" s="9">
        <v>46001</v>
      </c>
      <c r="K422" s="2" t="s">
        <v>736</v>
      </c>
    </row>
    <row r="423" spans="1:11" ht="15" hidden="1" customHeight="1" x14ac:dyDescent="0.3">
      <c r="A423" s="30" t="s">
        <v>17</v>
      </c>
      <c r="B423" s="31" t="s">
        <v>613</v>
      </c>
      <c r="C423" s="32" t="s">
        <v>597</v>
      </c>
      <c r="D423" s="33"/>
      <c r="E423" s="29">
        <v>19500000</v>
      </c>
      <c r="F423" s="34">
        <f t="shared" si="24"/>
        <v>1560000</v>
      </c>
      <c r="G423" s="37">
        <f t="shared" si="25"/>
        <v>21060000</v>
      </c>
      <c r="H423" s="35">
        <v>21060000</v>
      </c>
      <c r="I423" s="36">
        <f t="shared" si="23"/>
        <v>0</v>
      </c>
      <c r="J423" s="9">
        <v>46001</v>
      </c>
      <c r="K423" s="2" t="s">
        <v>736</v>
      </c>
    </row>
    <row r="424" spans="1:11" ht="15" hidden="1" customHeight="1" x14ac:dyDescent="0.3">
      <c r="A424" s="30" t="s">
        <v>295</v>
      </c>
      <c r="B424" s="31" t="s">
        <v>613</v>
      </c>
      <c r="C424" s="32" t="s">
        <v>598</v>
      </c>
      <c r="D424" s="33"/>
      <c r="E424" s="29">
        <v>4266000</v>
      </c>
      <c r="F424" s="34">
        <f t="shared" si="24"/>
        <v>341280</v>
      </c>
      <c r="G424" s="37">
        <f t="shared" si="25"/>
        <v>4607280</v>
      </c>
      <c r="H424" s="35">
        <v>4607280</v>
      </c>
      <c r="I424" s="36">
        <f t="shared" si="23"/>
        <v>0</v>
      </c>
      <c r="J424" s="9">
        <v>46001</v>
      </c>
    </row>
    <row r="425" spans="1:11" ht="15" hidden="1" customHeight="1" x14ac:dyDescent="0.3">
      <c r="A425" s="30" t="s">
        <v>20</v>
      </c>
      <c r="B425" s="31" t="s">
        <v>613</v>
      </c>
      <c r="C425" s="32" t="s">
        <v>599</v>
      </c>
      <c r="D425" s="33"/>
      <c r="E425" s="29">
        <v>2565000</v>
      </c>
      <c r="F425" s="34">
        <f t="shared" si="24"/>
        <v>205200</v>
      </c>
      <c r="G425" s="37">
        <f t="shared" si="25"/>
        <v>2770200</v>
      </c>
      <c r="H425" s="35">
        <v>2770200</v>
      </c>
      <c r="I425" s="36">
        <f t="shared" si="23"/>
        <v>0</v>
      </c>
      <c r="J425" s="9">
        <v>46001</v>
      </c>
    </row>
    <row r="426" spans="1:11" ht="15" hidden="1" customHeight="1" x14ac:dyDescent="0.3">
      <c r="A426" s="30" t="s">
        <v>25</v>
      </c>
      <c r="B426" s="31" t="s">
        <v>613</v>
      </c>
      <c r="C426" s="32" t="s">
        <v>600</v>
      </c>
      <c r="D426" s="33"/>
      <c r="E426" s="29">
        <v>5526000</v>
      </c>
      <c r="F426" s="34">
        <f t="shared" si="24"/>
        <v>442080</v>
      </c>
      <c r="G426" s="37">
        <f t="shared" si="25"/>
        <v>5968080</v>
      </c>
      <c r="H426" s="35">
        <v>5968080</v>
      </c>
      <c r="I426" s="36">
        <f t="shared" si="23"/>
        <v>0</v>
      </c>
      <c r="J426" s="9">
        <v>46001</v>
      </c>
    </row>
    <row r="427" spans="1:11" ht="15" hidden="1" customHeight="1" x14ac:dyDescent="0.3">
      <c r="A427" s="30" t="s">
        <v>28</v>
      </c>
      <c r="B427" s="31" t="s">
        <v>613</v>
      </c>
      <c r="C427" s="32" t="s">
        <v>601</v>
      </c>
      <c r="D427" s="33"/>
      <c r="E427" s="29">
        <v>2826000</v>
      </c>
      <c r="F427" s="34">
        <f t="shared" si="24"/>
        <v>226080</v>
      </c>
      <c r="G427" s="37">
        <f t="shared" si="25"/>
        <v>3052080</v>
      </c>
      <c r="H427" s="35">
        <v>3052080</v>
      </c>
      <c r="I427" s="36">
        <f t="shared" si="23"/>
        <v>0</v>
      </c>
      <c r="J427" s="9">
        <v>46001</v>
      </c>
    </row>
    <row r="428" spans="1:11" ht="15" hidden="1" customHeight="1" x14ac:dyDescent="0.3">
      <c r="A428" s="30" t="s">
        <v>27</v>
      </c>
      <c r="B428" s="31" t="s">
        <v>613</v>
      </c>
      <c r="C428" s="32" t="s">
        <v>602</v>
      </c>
      <c r="D428" s="33"/>
      <c r="E428" s="29">
        <v>2796000</v>
      </c>
      <c r="F428" s="34">
        <f t="shared" si="24"/>
        <v>223680</v>
      </c>
      <c r="G428" s="37">
        <f t="shared" si="25"/>
        <v>3019680</v>
      </c>
      <c r="H428" s="35">
        <v>3019680</v>
      </c>
      <c r="I428" s="36">
        <f t="shared" si="23"/>
        <v>0</v>
      </c>
      <c r="J428" s="9">
        <v>46001</v>
      </c>
    </row>
    <row r="429" spans="1:11" ht="15" hidden="1" customHeight="1" x14ac:dyDescent="0.3">
      <c r="A429" s="30" t="s">
        <v>32</v>
      </c>
      <c r="B429" s="31" t="s">
        <v>613</v>
      </c>
      <c r="C429" s="32" t="s">
        <v>603</v>
      </c>
      <c r="D429" s="33"/>
      <c r="E429" s="29">
        <v>9308000</v>
      </c>
      <c r="F429" s="34">
        <f t="shared" si="24"/>
        <v>744640</v>
      </c>
      <c r="G429" s="37">
        <f t="shared" si="25"/>
        <v>10052640</v>
      </c>
      <c r="H429" s="35">
        <v>10052640</v>
      </c>
      <c r="I429" s="36">
        <f>G429-H429</f>
        <v>0</v>
      </c>
      <c r="J429" s="9">
        <v>46001</v>
      </c>
    </row>
    <row r="430" spans="1:11" ht="15" hidden="1" customHeight="1" x14ac:dyDescent="0.3">
      <c r="A430" s="30" t="s">
        <v>664</v>
      </c>
      <c r="B430" s="31">
        <v>45968</v>
      </c>
      <c r="C430" s="32" t="s">
        <v>665</v>
      </c>
      <c r="D430" s="33"/>
      <c r="E430" s="29">
        <v>-629000</v>
      </c>
      <c r="F430" s="34">
        <f t="shared" si="24"/>
        <v>-50320</v>
      </c>
      <c r="G430" s="37">
        <f t="shared" si="25"/>
        <v>-679320</v>
      </c>
      <c r="H430" s="35">
        <v>-679320</v>
      </c>
      <c r="I430" s="36">
        <f t="shared" ref="I430:I431" si="32">G430-H430</f>
        <v>0</v>
      </c>
      <c r="J430" s="9">
        <v>45960</v>
      </c>
    </row>
    <row r="431" spans="1:11" ht="15" hidden="1" customHeight="1" x14ac:dyDescent="0.3">
      <c r="A431" s="30" t="s">
        <v>664</v>
      </c>
      <c r="B431" s="31">
        <v>45968</v>
      </c>
      <c r="C431" s="32" t="s">
        <v>666</v>
      </c>
      <c r="D431" s="33"/>
      <c r="E431" s="29">
        <v>-27000</v>
      </c>
      <c r="F431" s="34">
        <f t="shared" si="24"/>
        <v>-2160</v>
      </c>
      <c r="G431" s="37">
        <f t="shared" si="25"/>
        <v>-29160</v>
      </c>
      <c r="H431" s="35">
        <v>-29160</v>
      </c>
      <c r="I431" s="36">
        <f t="shared" si="32"/>
        <v>0</v>
      </c>
      <c r="J431" s="9">
        <v>45960</v>
      </c>
    </row>
    <row r="432" spans="1:11" ht="15" hidden="1" customHeight="1" x14ac:dyDescent="0.3">
      <c r="A432" s="30" t="s">
        <v>19</v>
      </c>
      <c r="B432" s="31" t="s">
        <v>614</v>
      </c>
      <c r="C432" s="32" t="s">
        <v>604</v>
      </c>
      <c r="D432" s="33"/>
      <c r="E432" s="29">
        <v>960000</v>
      </c>
      <c r="F432" s="34">
        <f t="shared" si="24"/>
        <v>76800</v>
      </c>
      <c r="G432" s="37">
        <f t="shared" si="25"/>
        <v>1036800</v>
      </c>
      <c r="H432" s="35">
        <v>1036800</v>
      </c>
      <c r="I432" s="36">
        <f t="shared" ref="I432:I500" si="33">G432-H432</f>
        <v>0</v>
      </c>
      <c r="J432" s="9">
        <v>46122</v>
      </c>
    </row>
    <row r="433" spans="1:10" ht="15" hidden="1" customHeight="1" x14ac:dyDescent="0.3">
      <c r="A433" s="30" t="s">
        <v>670</v>
      </c>
      <c r="B433" s="31">
        <v>45971</v>
      </c>
      <c r="C433" s="32" t="s">
        <v>671</v>
      </c>
      <c r="D433" s="33"/>
      <c r="E433" s="29">
        <v>-273500</v>
      </c>
      <c r="F433" s="34">
        <f t="shared" si="24"/>
        <v>-21880</v>
      </c>
      <c r="G433" s="37">
        <f>E433+F433</f>
        <v>-295380</v>
      </c>
      <c r="H433" s="35">
        <v>-295380</v>
      </c>
      <c r="I433" s="36">
        <f t="shared" si="33"/>
        <v>0</v>
      </c>
      <c r="J433" s="9">
        <v>45960</v>
      </c>
    </row>
    <row r="434" spans="1:10" ht="15" hidden="1" customHeight="1" x14ac:dyDescent="0.3">
      <c r="A434" s="30" t="s">
        <v>670</v>
      </c>
      <c r="B434" s="31">
        <v>45971</v>
      </c>
      <c r="C434" s="32" t="s">
        <v>672</v>
      </c>
      <c r="D434" s="33"/>
      <c r="E434" s="29">
        <v>-1204000</v>
      </c>
      <c r="F434" s="34">
        <f t="shared" si="24"/>
        <v>-96320</v>
      </c>
      <c r="G434" s="37">
        <f t="shared" si="25"/>
        <v>-1300320</v>
      </c>
      <c r="H434" s="35">
        <v>-1300320</v>
      </c>
      <c r="I434" s="36">
        <f t="shared" si="33"/>
        <v>0</v>
      </c>
      <c r="J434" s="9">
        <v>45960</v>
      </c>
    </row>
    <row r="435" spans="1:10" ht="15" hidden="1" customHeight="1" x14ac:dyDescent="0.3">
      <c r="A435" s="30" t="s">
        <v>670</v>
      </c>
      <c r="B435" s="31">
        <v>45971</v>
      </c>
      <c r="C435" s="32" t="s">
        <v>673</v>
      </c>
      <c r="D435" s="33"/>
      <c r="E435" s="29">
        <v>-378000</v>
      </c>
      <c r="F435" s="34">
        <f t="shared" si="24"/>
        <v>-30240</v>
      </c>
      <c r="G435" s="37">
        <f t="shared" si="25"/>
        <v>-408240</v>
      </c>
      <c r="H435" s="35">
        <v>-408240</v>
      </c>
      <c r="I435" s="36">
        <f t="shared" si="33"/>
        <v>0</v>
      </c>
      <c r="J435" s="9">
        <v>45960</v>
      </c>
    </row>
    <row r="436" spans="1:10" ht="15" hidden="1" customHeight="1" x14ac:dyDescent="0.3">
      <c r="A436" s="30" t="s">
        <v>21</v>
      </c>
      <c r="B436" s="31" t="s">
        <v>615</v>
      </c>
      <c r="C436" s="32" t="s">
        <v>605</v>
      </c>
      <c r="D436" s="33"/>
      <c r="E436" s="29">
        <v>5636000</v>
      </c>
      <c r="F436" s="34">
        <f t="shared" si="24"/>
        <v>450880</v>
      </c>
      <c r="G436" s="37">
        <f t="shared" si="25"/>
        <v>6086880</v>
      </c>
      <c r="H436" s="35">
        <v>6086880</v>
      </c>
      <c r="I436" s="36">
        <f t="shared" si="33"/>
        <v>0</v>
      </c>
      <c r="J436" s="9">
        <v>46122</v>
      </c>
    </row>
    <row r="437" spans="1:10" ht="15" hidden="1" customHeight="1" x14ac:dyDescent="0.3">
      <c r="A437" s="30" t="s">
        <v>19</v>
      </c>
      <c r="B437" s="31" t="s">
        <v>615</v>
      </c>
      <c r="C437" s="32" t="s">
        <v>606</v>
      </c>
      <c r="D437" s="33"/>
      <c r="E437" s="29">
        <v>3000000</v>
      </c>
      <c r="F437" s="34">
        <f t="shared" si="24"/>
        <v>240000</v>
      </c>
      <c r="G437" s="37">
        <f t="shared" si="25"/>
        <v>3240000</v>
      </c>
      <c r="H437" s="35">
        <v>3240000</v>
      </c>
      <c r="I437" s="36">
        <f t="shared" si="33"/>
        <v>0</v>
      </c>
      <c r="J437" s="9">
        <v>46001</v>
      </c>
    </row>
    <row r="438" spans="1:10" ht="15" hidden="1" customHeight="1" x14ac:dyDescent="0.3">
      <c r="A438" s="30" t="s">
        <v>23</v>
      </c>
      <c r="B438" s="31" t="s">
        <v>615</v>
      </c>
      <c r="C438" s="32" t="s">
        <v>607</v>
      </c>
      <c r="D438" s="33"/>
      <c r="E438" s="29">
        <v>7420000</v>
      </c>
      <c r="F438" s="34">
        <f t="shared" si="24"/>
        <v>593600</v>
      </c>
      <c r="G438" s="37">
        <f t="shared" si="25"/>
        <v>8013600</v>
      </c>
      <c r="H438" s="35">
        <v>8013600</v>
      </c>
      <c r="I438" s="36">
        <f t="shared" si="33"/>
        <v>0</v>
      </c>
      <c r="J438" s="9">
        <v>46001</v>
      </c>
    </row>
    <row r="439" spans="1:10" ht="15" hidden="1" customHeight="1" x14ac:dyDescent="0.3">
      <c r="A439" s="30" t="s">
        <v>28</v>
      </c>
      <c r="B439" s="31" t="s">
        <v>615</v>
      </c>
      <c r="C439" s="32" t="s">
        <v>608</v>
      </c>
      <c r="D439" s="33"/>
      <c r="E439" s="29">
        <v>6627000</v>
      </c>
      <c r="F439" s="34">
        <f t="shared" si="24"/>
        <v>530160</v>
      </c>
      <c r="G439" s="37">
        <f t="shared" si="25"/>
        <v>7157160</v>
      </c>
      <c r="H439" s="35">
        <v>7157160</v>
      </c>
      <c r="I439" s="36">
        <f t="shared" si="33"/>
        <v>0</v>
      </c>
      <c r="J439" s="9">
        <v>46122</v>
      </c>
    </row>
    <row r="440" spans="1:10" ht="15" hidden="1" customHeight="1" x14ac:dyDescent="0.3">
      <c r="A440" s="30" t="s">
        <v>48</v>
      </c>
      <c r="B440" s="31" t="s">
        <v>615</v>
      </c>
      <c r="C440" s="32" t="s">
        <v>609</v>
      </c>
      <c r="D440" s="33"/>
      <c r="E440" s="29">
        <v>960000</v>
      </c>
      <c r="F440" s="34">
        <f t="shared" si="24"/>
        <v>76800</v>
      </c>
      <c r="G440" s="37">
        <f t="shared" si="25"/>
        <v>1036800</v>
      </c>
      <c r="H440" s="35">
        <v>1036800</v>
      </c>
      <c r="I440" s="36">
        <f t="shared" si="33"/>
        <v>0</v>
      </c>
      <c r="J440" s="9">
        <v>46001</v>
      </c>
    </row>
    <row r="441" spans="1:10" ht="15" hidden="1" customHeight="1" x14ac:dyDescent="0.3">
      <c r="A441" s="30" t="s">
        <v>26</v>
      </c>
      <c r="B441" s="31" t="s">
        <v>615</v>
      </c>
      <c r="C441" s="32" t="s">
        <v>610</v>
      </c>
      <c r="D441" s="33"/>
      <c r="E441" s="29">
        <v>4761000</v>
      </c>
      <c r="F441" s="34">
        <f t="shared" si="24"/>
        <v>380880</v>
      </c>
      <c r="G441" s="37">
        <f t="shared" si="25"/>
        <v>5141880</v>
      </c>
      <c r="H441" s="35">
        <v>5141880</v>
      </c>
      <c r="I441" s="36">
        <f t="shared" si="33"/>
        <v>0</v>
      </c>
      <c r="J441" s="9">
        <v>46001</v>
      </c>
    </row>
    <row r="442" spans="1:10" ht="15" hidden="1" customHeight="1" x14ac:dyDescent="0.3">
      <c r="A442" s="30" t="s">
        <v>32</v>
      </c>
      <c r="B442" s="31" t="s">
        <v>615</v>
      </c>
      <c r="C442" s="32" t="s">
        <v>611</v>
      </c>
      <c r="D442" s="33"/>
      <c r="E442" s="29">
        <v>14816000</v>
      </c>
      <c r="F442" s="34">
        <f t="shared" si="24"/>
        <v>1185280</v>
      </c>
      <c r="G442" s="37">
        <f t="shared" si="25"/>
        <v>16001280</v>
      </c>
      <c r="H442" s="35">
        <v>16001280</v>
      </c>
      <c r="I442" s="36">
        <f t="shared" si="33"/>
        <v>0</v>
      </c>
      <c r="J442" s="9">
        <v>46122</v>
      </c>
    </row>
    <row r="443" spans="1:10" ht="15" hidden="1" customHeight="1" x14ac:dyDescent="0.3">
      <c r="A443" s="30" t="s">
        <v>553</v>
      </c>
      <c r="B443" s="31">
        <v>45951</v>
      </c>
      <c r="C443" s="33" t="s">
        <v>550</v>
      </c>
      <c r="D443" s="33"/>
      <c r="E443" s="29">
        <v>-569109</v>
      </c>
      <c r="F443" s="34">
        <f t="shared" ref="F443:F451" si="34">+E443*0.08</f>
        <v>-45528.72</v>
      </c>
      <c r="G443" s="37">
        <f t="shared" ref="G443:G509" si="35">+F443+E443</f>
        <v>-614637.72</v>
      </c>
      <c r="H443" s="35">
        <v>-614637.72</v>
      </c>
      <c r="I443" s="36">
        <f t="shared" si="33"/>
        <v>0</v>
      </c>
      <c r="J443" s="9">
        <v>45940</v>
      </c>
    </row>
    <row r="444" spans="1:10" ht="15" hidden="1" customHeight="1" x14ac:dyDescent="0.3">
      <c r="A444" s="30" t="s">
        <v>553</v>
      </c>
      <c r="B444" s="31">
        <v>45951</v>
      </c>
      <c r="C444" s="33" t="s">
        <v>551</v>
      </c>
      <c r="D444" s="33"/>
      <c r="E444" s="29">
        <v>-283500</v>
      </c>
      <c r="F444" s="34">
        <f t="shared" si="34"/>
        <v>-22680</v>
      </c>
      <c r="G444" s="37">
        <f t="shared" si="35"/>
        <v>-306180</v>
      </c>
      <c r="H444" s="35">
        <v>-306180</v>
      </c>
      <c r="I444" s="36">
        <f t="shared" si="33"/>
        <v>0</v>
      </c>
      <c r="J444" s="9">
        <v>45940</v>
      </c>
    </row>
    <row r="445" spans="1:10" ht="15" hidden="1" customHeight="1" x14ac:dyDescent="0.3">
      <c r="A445" s="30" t="s">
        <v>553</v>
      </c>
      <c r="B445" s="31">
        <v>45951</v>
      </c>
      <c r="C445" s="33" t="s">
        <v>552</v>
      </c>
      <c r="D445" s="33"/>
      <c r="E445" s="29">
        <v>-201000</v>
      </c>
      <c r="F445" s="34">
        <f t="shared" si="34"/>
        <v>-16080</v>
      </c>
      <c r="G445" s="37">
        <f t="shared" si="35"/>
        <v>-217080</v>
      </c>
      <c r="H445" s="35">
        <v>-217080</v>
      </c>
      <c r="I445" s="36">
        <f t="shared" si="33"/>
        <v>0</v>
      </c>
      <c r="J445" s="9">
        <v>45940</v>
      </c>
    </row>
    <row r="446" spans="1:10" ht="15" hidden="1" customHeight="1" x14ac:dyDescent="0.3">
      <c r="A446" s="30" t="s">
        <v>442</v>
      </c>
      <c r="B446" s="31">
        <v>45951</v>
      </c>
      <c r="C446" s="33" t="s">
        <v>554</v>
      </c>
      <c r="D446" s="33"/>
      <c r="E446" s="29">
        <v>-555266</v>
      </c>
      <c r="F446" s="34">
        <f t="shared" si="34"/>
        <v>-44421.279999999999</v>
      </c>
      <c r="G446" s="37">
        <f t="shared" si="35"/>
        <v>-599687.28</v>
      </c>
      <c r="H446" s="35">
        <v>-599687.28</v>
      </c>
      <c r="I446" s="36">
        <f t="shared" si="33"/>
        <v>0</v>
      </c>
      <c r="J446" s="9">
        <v>45930</v>
      </c>
    </row>
    <row r="447" spans="1:10" ht="15" hidden="1" customHeight="1" x14ac:dyDescent="0.3">
      <c r="A447" s="30" t="s">
        <v>442</v>
      </c>
      <c r="B447" s="31">
        <v>45951</v>
      </c>
      <c r="C447" s="33" t="s">
        <v>555</v>
      </c>
      <c r="D447" s="33"/>
      <c r="E447" s="29">
        <v>-255500</v>
      </c>
      <c r="F447" s="34">
        <f t="shared" si="34"/>
        <v>-20440</v>
      </c>
      <c r="G447" s="37">
        <f t="shared" si="35"/>
        <v>-275940</v>
      </c>
      <c r="H447" s="35">
        <v>-275940</v>
      </c>
      <c r="I447" s="36">
        <f t="shared" si="33"/>
        <v>0</v>
      </c>
      <c r="J447" s="9">
        <v>45930</v>
      </c>
    </row>
    <row r="448" spans="1:10" ht="15" hidden="1" customHeight="1" x14ac:dyDescent="0.3">
      <c r="A448" s="30" t="s">
        <v>442</v>
      </c>
      <c r="B448" s="31">
        <v>45951</v>
      </c>
      <c r="C448" s="33" t="s">
        <v>556</v>
      </c>
      <c r="D448" s="33"/>
      <c r="E448" s="29">
        <v>-148380</v>
      </c>
      <c r="F448" s="34">
        <f t="shared" si="34"/>
        <v>-11870.4</v>
      </c>
      <c r="G448" s="37">
        <f t="shared" si="35"/>
        <v>-160250.4</v>
      </c>
      <c r="H448" s="35">
        <v>-160250.4</v>
      </c>
      <c r="I448" s="36">
        <f t="shared" si="33"/>
        <v>0</v>
      </c>
      <c r="J448" s="9">
        <v>45930</v>
      </c>
    </row>
    <row r="449" spans="1:11" ht="15" hidden="1" customHeight="1" x14ac:dyDescent="0.3">
      <c r="A449" s="30" t="s">
        <v>442</v>
      </c>
      <c r="B449" s="31">
        <v>45951</v>
      </c>
      <c r="C449" s="33" t="s">
        <v>557</v>
      </c>
      <c r="D449" s="33"/>
      <c r="E449" s="29">
        <v>-81000</v>
      </c>
      <c r="F449" s="34">
        <f t="shared" si="34"/>
        <v>-6480</v>
      </c>
      <c r="G449" s="37">
        <f t="shared" si="35"/>
        <v>-87480</v>
      </c>
      <c r="H449" s="35">
        <v>-87480</v>
      </c>
      <c r="I449" s="36">
        <f t="shared" si="33"/>
        <v>0</v>
      </c>
      <c r="J449" s="9">
        <v>45930</v>
      </c>
    </row>
    <row r="450" spans="1:11" ht="15" hidden="1" customHeight="1" x14ac:dyDescent="0.3">
      <c r="A450" s="30" t="s">
        <v>667</v>
      </c>
      <c r="B450" s="31">
        <v>45951</v>
      </c>
      <c r="C450" s="33" t="s">
        <v>668</v>
      </c>
      <c r="D450" s="33"/>
      <c r="E450" s="29">
        <v>-364500</v>
      </c>
      <c r="F450" s="34">
        <f t="shared" si="34"/>
        <v>-29160</v>
      </c>
      <c r="G450" s="37">
        <f t="shared" si="35"/>
        <v>-393660</v>
      </c>
      <c r="H450" s="35">
        <v>-393660</v>
      </c>
      <c r="I450" s="36">
        <f t="shared" si="33"/>
        <v>0</v>
      </c>
      <c r="J450" s="9">
        <v>45940</v>
      </c>
    </row>
    <row r="451" spans="1:11" ht="15" hidden="1" customHeight="1" x14ac:dyDescent="0.3">
      <c r="A451" s="30" t="s">
        <v>667</v>
      </c>
      <c r="B451" s="31">
        <v>45951</v>
      </c>
      <c r="C451" s="33" t="s">
        <v>669</v>
      </c>
      <c r="D451" s="33"/>
      <c r="E451" s="29">
        <v>-815988</v>
      </c>
      <c r="F451" s="34">
        <f t="shared" si="34"/>
        <v>-65279.040000000001</v>
      </c>
      <c r="G451" s="37">
        <f t="shared" si="35"/>
        <v>-881267.04</v>
      </c>
      <c r="H451" s="35">
        <v>-881267.04</v>
      </c>
      <c r="I451" s="36">
        <f t="shared" si="33"/>
        <v>0</v>
      </c>
      <c r="J451" s="9">
        <v>45940</v>
      </c>
    </row>
    <row r="452" spans="1:11" ht="15" hidden="1" customHeight="1" x14ac:dyDescent="0.3">
      <c r="A452" s="30" t="s">
        <v>558</v>
      </c>
      <c r="B452" s="31">
        <v>45952</v>
      </c>
      <c r="C452" s="33" t="s">
        <v>660</v>
      </c>
      <c r="D452" s="33"/>
      <c r="E452" s="29">
        <v>-2882500</v>
      </c>
      <c r="F452" s="34">
        <f>+E452*0.08</f>
        <v>-230600</v>
      </c>
      <c r="G452" s="37">
        <f t="shared" si="35"/>
        <v>-3113100</v>
      </c>
      <c r="H452" s="35">
        <v>-3113100</v>
      </c>
      <c r="I452" s="36">
        <f t="shared" si="33"/>
        <v>0</v>
      </c>
      <c r="J452" s="9">
        <v>45940</v>
      </c>
      <c r="K452" s="2" t="s">
        <v>548</v>
      </c>
    </row>
    <row r="453" spans="1:11" ht="15" hidden="1" customHeight="1" x14ac:dyDescent="0.3">
      <c r="A453" s="30" t="s">
        <v>558</v>
      </c>
      <c r="B453" s="31">
        <v>45952</v>
      </c>
      <c r="C453" s="33" t="s">
        <v>661</v>
      </c>
      <c r="D453" s="33"/>
      <c r="E453" s="29">
        <v>-202500</v>
      </c>
      <c r="F453" s="34">
        <f>+E453*0.08</f>
        <v>-16200</v>
      </c>
      <c r="G453" s="37">
        <f t="shared" si="35"/>
        <v>-218700</v>
      </c>
      <c r="H453" s="35">
        <v>-218700</v>
      </c>
      <c r="I453" s="36">
        <f t="shared" si="33"/>
        <v>0</v>
      </c>
      <c r="J453" s="9">
        <v>45940</v>
      </c>
      <c r="K453" s="2" t="s">
        <v>548</v>
      </c>
    </row>
    <row r="454" spans="1:11" ht="15" hidden="1" customHeight="1" x14ac:dyDescent="0.3">
      <c r="A454" s="30" t="s">
        <v>662</v>
      </c>
      <c r="B454" s="31">
        <v>45954</v>
      </c>
      <c r="C454" s="33" t="s">
        <v>663</v>
      </c>
      <c r="D454" s="33"/>
      <c r="E454" s="29">
        <v>-100500</v>
      </c>
      <c r="F454" s="34">
        <f>+E454*0.08</f>
        <v>-8040</v>
      </c>
      <c r="G454" s="37">
        <f t="shared" si="35"/>
        <v>-108540</v>
      </c>
      <c r="H454" s="35">
        <v>-108540</v>
      </c>
      <c r="I454" s="36"/>
      <c r="J454" s="9">
        <v>45960</v>
      </c>
    </row>
    <row r="455" spans="1:11" ht="15" hidden="1" customHeight="1" x14ac:dyDescent="0.3">
      <c r="A455" s="30" t="s">
        <v>45</v>
      </c>
      <c r="B455" s="31" t="s">
        <v>649</v>
      </c>
      <c r="C455" s="32" t="s">
        <v>619</v>
      </c>
      <c r="D455" s="33"/>
      <c r="E455" s="29">
        <v>2985000</v>
      </c>
      <c r="F455" s="34">
        <f t="shared" ref="F455:F518" si="36">+E455*0.08</f>
        <v>238800</v>
      </c>
      <c r="G455" s="37">
        <f t="shared" si="35"/>
        <v>3223800</v>
      </c>
      <c r="H455" s="35">
        <v>3223800</v>
      </c>
      <c r="I455" s="36">
        <f t="shared" si="33"/>
        <v>0</v>
      </c>
      <c r="J455" s="9">
        <v>46122</v>
      </c>
      <c r="K455" s="2" t="s">
        <v>736</v>
      </c>
    </row>
    <row r="456" spans="1:11" ht="15" hidden="1" customHeight="1" x14ac:dyDescent="0.3">
      <c r="A456" s="30" t="s">
        <v>21</v>
      </c>
      <c r="B456" s="31" t="s">
        <v>650</v>
      </c>
      <c r="C456" s="32" t="s">
        <v>620</v>
      </c>
      <c r="D456" s="33"/>
      <c r="E456" s="29">
        <v>10472000</v>
      </c>
      <c r="F456" s="34">
        <f t="shared" si="36"/>
        <v>837760</v>
      </c>
      <c r="G456" s="37">
        <f t="shared" si="35"/>
        <v>11309760</v>
      </c>
      <c r="H456" s="35">
        <v>11309760</v>
      </c>
      <c r="I456" s="36">
        <f t="shared" si="33"/>
        <v>0</v>
      </c>
      <c r="J456" s="9">
        <v>46122</v>
      </c>
    </row>
    <row r="457" spans="1:11" ht="15" hidden="1" customHeight="1" x14ac:dyDescent="0.3">
      <c r="A457" s="30" t="s">
        <v>17</v>
      </c>
      <c r="B457" s="31" t="s">
        <v>650</v>
      </c>
      <c r="C457" s="32" t="s">
        <v>621</v>
      </c>
      <c r="D457" s="33"/>
      <c r="E457" s="29">
        <v>16535000</v>
      </c>
      <c r="F457" s="34">
        <f t="shared" si="36"/>
        <v>1322800</v>
      </c>
      <c r="G457" s="37">
        <f t="shared" si="35"/>
        <v>17857800</v>
      </c>
      <c r="H457" s="35">
        <v>17857800</v>
      </c>
      <c r="I457" s="36">
        <f t="shared" si="33"/>
        <v>0</v>
      </c>
      <c r="J457" s="9">
        <v>46122</v>
      </c>
      <c r="K457" s="2" t="s">
        <v>736</v>
      </c>
    </row>
    <row r="458" spans="1:11" ht="15" hidden="1" customHeight="1" x14ac:dyDescent="0.3">
      <c r="A458" s="30" t="s">
        <v>18</v>
      </c>
      <c r="B458" s="31" t="s">
        <v>650</v>
      </c>
      <c r="C458" s="32" t="s">
        <v>622</v>
      </c>
      <c r="D458" s="33"/>
      <c r="E458" s="29">
        <v>1850000</v>
      </c>
      <c r="F458" s="34">
        <f t="shared" si="36"/>
        <v>148000</v>
      </c>
      <c r="G458" s="37">
        <f t="shared" si="35"/>
        <v>1998000</v>
      </c>
      <c r="H458" s="35">
        <v>1998000</v>
      </c>
      <c r="I458" s="36">
        <f t="shared" si="33"/>
        <v>0</v>
      </c>
      <c r="J458" s="9">
        <v>46122</v>
      </c>
    </row>
    <row r="459" spans="1:11" ht="15" hidden="1" customHeight="1" x14ac:dyDescent="0.3">
      <c r="A459" s="30" t="s">
        <v>23</v>
      </c>
      <c r="B459" s="31" t="s">
        <v>650</v>
      </c>
      <c r="C459" s="32" t="s">
        <v>623</v>
      </c>
      <c r="D459" s="33"/>
      <c r="E459" s="29">
        <v>15126000</v>
      </c>
      <c r="F459" s="34">
        <f t="shared" si="36"/>
        <v>1210080</v>
      </c>
      <c r="G459" s="37">
        <f t="shared" si="35"/>
        <v>16336080</v>
      </c>
      <c r="H459" s="35">
        <v>16336080</v>
      </c>
      <c r="I459" s="36">
        <f t="shared" si="33"/>
        <v>0</v>
      </c>
      <c r="J459" s="9">
        <v>46122</v>
      </c>
    </row>
    <row r="460" spans="1:11" ht="15" hidden="1" customHeight="1" x14ac:dyDescent="0.3">
      <c r="A460" s="30" t="s">
        <v>22</v>
      </c>
      <c r="B460" s="31" t="s">
        <v>650</v>
      </c>
      <c r="C460" s="32" t="s">
        <v>624</v>
      </c>
      <c r="D460" s="33"/>
      <c r="E460" s="29">
        <v>2565000</v>
      </c>
      <c r="F460" s="34">
        <f t="shared" si="36"/>
        <v>205200</v>
      </c>
      <c r="G460" s="37">
        <f t="shared" si="35"/>
        <v>2770200</v>
      </c>
      <c r="H460" s="35">
        <v>2770200</v>
      </c>
      <c r="I460" s="36">
        <f t="shared" si="33"/>
        <v>0</v>
      </c>
      <c r="J460" s="9">
        <v>46122</v>
      </c>
    </row>
    <row r="461" spans="1:11" ht="15" hidden="1" customHeight="1" x14ac:dyDescent="0.3">
      <c r="A461" s="30" t="s">
        <v>48</v>
      </c>
      <c r="B461" s="31" t="s">
        <v>650</v>
      </c>
      <c r="C461" s="32" t="s">
        <v>625</v>
      </c>
      <c r="D461" s="33"/>
      <c r="E461" s="29">
        <v>2970000</v>
      </c>
      <c r="F461" s="34">
        <f t="shared" si="36"/>
        <v>237600</v>
      </c>
      <c r="G461" s="37">
        <f t="shared" si="35"/>
        <v>3207600</v>
      </c>
      <c r="H461" s="35">
        <v>3207600</v>
      </c>
      <c r="I461" s="36">
        <f t="shared" si="33"/>
        <v>0</v>
      </c>
      <c r="J461" s="9">
        <v>46122</v>
      </c>
    </row>
    <row r="462" spans="1:11" ht="15" hidden="1" customHeight="1" x14ac:dyDescent="0.3">
      <c r="A462" s="30" t="s">
        <v>32</v>
      </c>
      <c r="B462" s="31" t="s">
        <v>650</v>
      </c>
      <c r="C462" s="32" t="s">
        <v>626</v>
      </c>
      <c r="D462" s="33"/>
      <c r="E462" s="29">
        <v>21857000</v>
      </c>
      <c r="F462" s="34">
        <f t="shared" si="36"/>
        <v>1748560</v>
      </c>
      <c r="G462" s="37">
        <f t="shared" si="35"/>
        <v>23605560</v>
      </c>
      <c r="H462" s="35">
        <v>23605560</v>
      </c>
      <c r="I462" s="36">
        <f t="shared" si="33"/>
        <v>0</v>
      </c>
      <c r="J462" s="9">
        <v>46122</v>
      </c>
    </row>
    <row r="463" spans="1:11" ht="15" hidden="1" customHeight="1" x14ac:dyDescent="0.3">
      <c r="A463" s="30" t="s">
        <v>27</v>
      </c>
      <c r="B463" s="31" t="s">
        <v>651</v>
      </c>
      <c r="C463" s="33" t="s">
        <v>627</v>
      </c>
      <c r="D463" s="33"/>
      <c r="E463" s="29">
        <v>-67000</v>
      </c>
      <c r="F463" s="34">
        <f t="shared" si="36"/>
        <v>-5360</v>
      </c>
      <c r="G463" s="37">
        <f t="shared" si="35"/>
        <v>-72360</v>
      </c>
      <c r="H463" s="35">
        <v>-72360</v>
      </c>
      <c r="I463" s="36">
        <f t="shared" si="33"/>
        <v>0</v>
      </c>
      <c r="J463" s="9">
        <v>45971</v>
      </c>
    </row>
    <row r="464" spans="1:11" ht="15" hidden="1" customHeight="1" x14ac:dyDescent="0.3">
      <c r="A464" s="30" t="s">
        <v>27</v>
      </c>
      <c r="B464" s="31" t="s">
        <v>651</v>
      </c>
      <c r="C464" s="33" t="s">
        <v>628</v>
      </c>
      <c r="D464" s="33"/>
      <c r="E464" s="29">
        <v>-80000</v>
      </c>
      <c r="F464" s="34">
        <f t="shared" si="36"/>
        <v>-6400</v>
      </c>
      <c r="G464" s="37">
        <f t="shared" si="35"/>
        <v>-86400</v>
      </c>
      <c r="H464" s="35">
        <v>-86400</v>
      </c>
      <c r="I464" s="36">
        <f t="shared" si="33"/>
        <v>0</v>
      </c>
      <c r="J464" s="9">
        <v>45971</v>
      </c>
    </row>
    <row r="465" spans="1:11" ht="15" hidden="1" customHeight="1" x14ac:dyDescent="0.3">
      <c r="A465" s="30" t="s">
        <v>32</v>
      </c>
      <c r="B465" s="31" t="s">
        <v>651</v>
      </c>
      <c r="C465" s="32" t="s">
        <v>629</v>
      </c>
      <c r="D465" s="33"/>
      <c r="E465" s="29">
        <v>9495000</v>
      </c>
      <c r="F465" s="34">
        <f t="shared" si="36"/>
        <v>759600</v>
      </c>
      <c r="G465" s="37">
        <f t="shared" si="35"/>
        <v>10254600</v>
      </c>
      <c r="H465" s="35">
        <v>10254600</v>
      </c>
      <c r="I465" s="36">
        <f t="shared" si="33"/>
        <v>0</v>
      </c>
      <c r="J465" s="9">
        <v>46122</v>
      </c>
    </row>
    <row r="466" spans="1:11" ht="15" hidden="1" customHeight="1" x14ac:dyDescent="0.3">
      <c r="A466" s="30" t="s">
        <v>27</v>
      </c>
      <c r="B466" s="31" t="s">
        <v>651</v>
      </c>
      <c r="C466" s="32" t="s">
        <v>630</v>
      </c>
      <c r="D466" s="33"/>
      <c r="E466" s="29">
        <v>2820000</v>
      </c>
      <c r="F466" s="34">
        <f t="shared" si="36"/>
        <v>225600</v>
      </c>
      <c r="G466" s="37">
        <f t="shared" si="35"/>
        <v>3045600</v>
      </c>
      <c r="H466" s="35">
        <v>3045600</v>
      </c>
      <c r="I466" s="36">
        <f t="shared" si="33"/>
        <v>0</v>
      </c>
      <c r="J466" s="9">
        <v>46122</v>
      </c>
    </row>
    <row r="467" spans="1:11" ht="15" hidden="1" customHeight="1" x14ac:dyDescent="0.3">
      <c r="A467" s="30" t="s">
        <v>27</v>
      </c>
      <c r="B467" s="31" t="s">
        <v>651</v>
      </c>
      <c r="C467" s="32" t="s">
        <v>631</v>
      </c>
      <c r="D467" s="33"/>
      <c r="E467" s="29">
        <v>1980000</v>
      </c>
      <c r="F467" s="34">
        <f t="shared" si="36"/>
        <v>158400</v>
      </c>
      <c r="G467" s="37">
        <f t="shared" si="35"/>
        <v>2138400</v>
      </c>
      <c r="H467" s="35">
        <v>2138400</v>
      </c>
      <c r="I467" s="36">
        <f t="shared" si="33"/>
        <v>0</v>
      </c>
      <c r="J467" s="9">
        <v>46122</v>
      </c>
    </row>
    <row r="468" spans="1:11" ht="15" hidden="1" customHeight="1" x14ac:dyDescent="0.3">
      <c r="A468" s="30" t="s">
        <v>21</v>
      </c>
      <c r="B468" s="31" t="s">
        <v>652</v>
      </c>
      <c r="C468" s="32" t="s">
        <v>632</v>
      </c>
      <c r="D468" s="33"/>
      <c r="E468" s="29">
        <v>15122000</v>
      </c>
      <c r="F468" s="34">
        <f t="shared" si="36"/>
        <v>1209760</v>
      </c>
      <c r="G468" s="37">
        <f t="shared" si="35"/>
        <v>16331760</v>
      </c>
      <c r="H468" s="35">
        <v>16331760</v>
      </c>
      <c r="I468" s="36">
        <f t="shared" si="33"/>
        <v>0</v>
      </c>
      <c r="J468" s="9">
        <v>46122</v>
      </c>
    </row>
    <row r="469" spans="1:11" ht="15" hidden="1" customHeight="1" x14ac:dyDescent="0.3">
      <c r="A469" s="30" t="s">
        <v>17</v>
      </c>
      <c r="B469" s="31" t="s">
        <v>652</v>
      </c>
      <c r="C469" s="32" t="s">
        <v>633</v>
      </c>
      <c r="D469" s="33"/>
      <c r="E469" s="29">
        <v>20990000</v>
      </c>
      <c r="F469" s="34">
        <f t="shared" si="36"/>
        <v>1679200</v>
      </c>
      <c r="G469" s="37">
        <f t="shared" si="35"/>
        <v>22669200</v>
      </c>
      <c r="H469" s="35">
        <v>22669200</v>
      </c>
      <c r="I469" s="36">
        <f t="shared" si="33"/>
        <v>0</v>
      </c>
      <c r="J469" s="9">
        <v>46122</v>
      </c>
      <c r="K469" s="2" t="s">
        <v>736</v>
      </c>
    </row>
    <row r="470" spans="1:11" ht="15" hidden="1" customHeight="1" x14ac:dyDescent="0.3">
      <c r="A470" s="30" t="s">
        <v>23</v>
      </c>
      <c r="B470" s="31" t="s">
        <v>652</v>
      </c>
      <c r="C470" s="32" t="s">
        <v>634</v>
      </c>
      <c r="D470" s="33"/>
      <c r="E470" s="29">
        <v>1980000</v>
      </c>
      <c r="F470" s="34">
        <f t="shared" si="36"/>
        <v>158400</v>
      </c>
      <c r="G470" s="37">
        <f t="shared" si="35"/>
        <v>2138400</v>
      </c>
      <c r="H470" s="35">
        <v>2138400</v>
      </c>
      <c r="I470" s="36">
        <f t="shared" si="33"/>
        <v>0</v>
      </c>
      <c r="J470" s="9">
        <v>46122</v>
      </c>
    </row>
    <row r="471" spans="1:11" ht="15" hidden="1" customHeight="1" x14ac:dyDescent="0.3">
      <c r="A471" s="30" t="s">
        <v>48</v>
      </c>
      <c r="B471" s="31" t="s">
        <v>652</v>
      </c>
      <c r="C471" s="32" t="s">
        <v>635</v>
      </c>
      <c r="D471" s="33"/>
      <c r="E471" s="29">
        <v>3651000</v>
      </c>
      <c r="F471" s="34">
        <f t="shared" si="36"/>
        <v>292080</v>
      </c>
      <c r="G471" s="37">
        <f t="shared" si="35"/>
        <v>3943080</v>
      </c>
      <c r="H471" s="35">
        <v>3943080</v>
      </c>
      <c r="I471" s="36">
        <f t="shared" si="33"/>
        <v>0</v>
      </c>
      <c r="J471" s="9">
        <v>46122</v>
      </c>
    </row>
    <row r="472" spans="1:11" ht="15" hidden="1" customHeight="1" x14ac:dyDescent="0.3">
      <c r="A472" s="30" t="s">
        <v>21</v>
      </c>
      <c r="B472" s="31" t="s">
        <v>653</v>
      </c>
      <c r="C472" s="32" t="s">
        <v>636</v>
      </c>
      <c r="D472" s="33"/>
      <c r="E472" s="29">
        <v>9326000</v>
      </c>
      <c r="F472" s="34">
        <f t="shared" si="36"/>
        <v>746080</v>
      </c>
      <c r="G472" s="37">
        <f t="shared" si="35"/>
        <v>10072080</v>
      </c>
      <c r="H472" s="35">
        <v>10072080</v>
      </c>
      <c r="I472" s="36">
        <f t="shared" si="33"/>
        <v>0</v>
      </c>
      <c r="J472" s="9">
        <v>46122</v>
      </c>
    </row>
    <row r="473" spans="1:11" ht="15" hidden="1" customHeight="1" x14ac:dyDescent="0.3">
      <c r="A473" s="30" t="s">
        <v>48</v>
      </c>
      <c r="B473" s="31" t="s">
        <v>653</v>
      </c>
      <c r="C473" s="32" t="s">
        <v>637</v>
      </c>
      <c r="D473" s="33"/>
      <c r="E473" s="29">
        <v>5355000</v>
      </c>
      <c r="F473" s="34">
        <f t="shared" si="36"/>
        <v>428400</v>
      </c>
      <c r="G473" s="37">
        <f t="shared" si="35"/>
        <v>5783400</v>
      </c>
      <c r="H473" s="35">
        <v>5783400</v>
      </c>
      <c r="I473" s="36">
        <f t="shared" si="33"/>
        <v>0</v>
      </c>
      <c r="J473" s="9">
        <v>46122</v>
      </c>
    </row>
    <row r="474" spans="1:11" ht="15" hidden="1" customHeight="1" x14ac:dyDescent="0.3">
      <c r="A474" s="30" t="s">
        <v>26</v>
      </c>
      <c r="B474" s="31" t="s">
        <v>653</v>
      </c>
      <c r="C474" s="32" t="s">
        <v>638</v>
      </c>
      <c r="D474" s="33"/>
      <c r="E474" s="29">
        <v>7335000</v>
      </c>
      <c r="F474" s="34">
        <f t="shared" si="36"/>
        <v>586800</v>
      </c>
      <c r="G474" s="37">
        <f t="shared" si="35"/>
        <v>7921800</v>
      </c>
      <c r="H474" s="35">
        <v>7921800</v>
      </c>
      <c r="I474" s="36">
        <f t="shared" si="33"/>
        <v>0</v>
      </c>
      <c r="J474" s="9">
        <v>46122</v>
      </c>
    </row>
    <row r="475" spans="1:11" ht="15" hidden="1" customHeight="1" x14ac:dyDescent="0.3">
      <c r="A475" s="30" t="s">
        <v>32</v>
      </c>
      <c r="B475" s="31" t="s">
        <v>653</v>
      </c>
      <c r="C475" s="32" t="s">
        <v>639</v>
      </c>
      <c r="D475" s="33"/>
      <c r="E475" s="29">
        <v>16092000</v>
      </c>
      <c r="F475" s="34">
        <f t="shared" si="36"/>
        <v>1287360</v>
      </c>
      <c r="G475" s="37">
        <f t="shared" si="35"/>
        <v>17379360</v>
      </c>
      <c r="H475" s="35">
        <v>17379360</v>
      </c>
      <c r="I475" s="36">
        <f t="shared" si="33"/>
        <v>0</v>
      </c>
      <c r="J475" s="9">
        <v>46122</v>
      </c>
    </row>
    <row r="476" spans="1:11" ht="15" hidden="1" customHeight="1" x14ac:dyDescent="0.3">
      <c r="A476" s="30" t="s">
        <v>25</v>
      </c>
      <c r="B476" s="31" t="s">
        <v>653</v>
      </c>
      <c r="C476" s="32" t="s">
        <v>640</v>
      </c>
      <c r="D476" s="33"/>
      <c r="E476" s="29">
        <v>3735000</v>
      </c>
      <c r="F476" s="34">
        <f t="shared" si="36"/>
        <v>298800</v>
      </c>
      <c r="G476" s="37">
        <f t="shared" si="35"/>
        <v>4033800</v>
      </c>
      <c r="H476" s="35">
        <v>4033800</v>
      </c>
      <c r="I476" s="36">
        <f t="shared" si="33"/>
        <v>0</v>
      </c>
      <c r="J476" s="9">
        <v>46122</v>
      </c>
    </row>
    <row r="477" spans="1:11" ht="15" hidden="1" customHeight="1" x14ac:dyDescent="0.3">
      <c r="A477" s="30" t="s">
        <v>27</v>
      </c>
      <c r="B477" s="31" t="s">
        <v>653</v>
      </c>
      <c r="C477" s="32" t="s">
        <v>641</v>
      </c>
      <c r="D477" s="33"/>
      <c r="E477" s="29">
        <v>11091000</v>
      </c>
      <c r="F477" s="34">
        <f t="shared" si="36"/>
        <v>887280</v>
      </c>
      <c r="G477" s="37">
        <f t="shared" si="35"/>
        <v>11978280</v>
      </c>
      <c r="H477" s="35">
        <v>11978280</v>
      </c>
      <c r="I477" s="36">
        <f t="shared" si="33"/>
        <v>0</v>
      </c>
      <c r="J477" s="9">
        <v>46122</v>
      </c>
    </row>
    <row r="478" spans="1:11" ht="15" hidden="1" customHeight="1" x14ac:dyDescent="0.3">
      <c r="A478" s="30" t="s">
        <v>295</v>
      </c>
      <c r="B478" s="31" t="s">
        <v>653</v>
      </c>
      <c r="C478" s="32" t="s">
        <v>642</v>
      </c>
      <c r="D478" s="33"/>
      <c r="E478" s="29">
        <v>9806000</v>
      </c>
      <c r="F478" s="34">
        <f t="shared" si="36"/>
        <v>784480</v>
      </c>
      <c r="G478" s="37">
        <f t="shared" si="35"/>
        <v>10590480</v>
      </c>
      <c r="H478" s="35">
        <v>10590480</v>
      </c>
      <c r="I478" s="36">
        <f t="shared" si="33"/>
        <v>0</v>
      </c>
      <c r="J478" s="9">
        <v>46122</v>
      </c>
    </row>
    <row r="479" spans="1:11" ht="15" hidden="1" customHeight="1" x14ac:dyDescent="0.3">
      <c r="A479" s="30" t="s">
        <v>19</v>
      </c>
      <c r="B479" s="31" t="s">
        <v>653</v>
      </c>
      <c r="C479" s="32" t="s">
        <v>643</v>
      </c>
      <c r="D479" s="33"/>
      <c r="E479" s="29">
        <v>1770000</v>
      </c>
      <c r="F479" s="34">
        <f t="shared" si="36"/>
        <v>141600</v>
      </c>
      <c r="G479" s="37">
        <f t="shared" si="35"/>
        <v>1911600</v>
      </c>
      <c r="H479" s="35">
        <v>1911600</v>
      </c>
      <c r="I479" s="36">
        <f t="shared" si="33"/>
        <v>0</v>
      </c>
      <c r="J479" s="9">
        <v>46122</v>
      </c>
    </row>
    <row r="480" spans="1:11" ht="15" hidden="1" customHeight="1" x14ac:dyDescent="0.3">
      <c r="A480" s="30" t="s">
        <v>23</v>
      </c>
      <c r="B480" s="31" t="s">
        <v>653</v>
      </c>
      <c r="C480" s="32" t="s">
        <v>644</v>
      </c>
      <c r="D480" s="33"/>
      <c r="E480" s="29">
        <v>17703000</v>
      </c>
      <c r="F480" s="34">
        <f t="shared" si="36"/>
        <v>1416240</v>
      </c>
      <c r="G480" s="37">
        <f t="shared" si="35"/>
        <v>19119240</v>
      </c>
      <c r="H480" s="35">
        <v>19119240</v>
      </c>
      <c r="I480" s="36">
        <f t="shared" si="33"/>
        <v>0</v>
      </c>
      <c r="J480" s="9">
        <v>46122</v>
      </c>
    </row>
    <row r="481" spans="1:11" ht="15" hidden="1" customHeight="1" x14ac:dyDescent="0.3">
      <c r="A481" s="30" t="s">
        <v>48</v>
      </c>
      <c r="B481" s="31" t="s">
        <v>654</v>
      </c>
      <c r="C481" s="32" t="s">
        <v>645</v>
      </c>
      <c r="D481" s="33"/>
      <c r="E481" s="29">
        <v>5811000</v>
      </c>
      <c r="F481" s="34">
        <f t="shared" si="36"/>
        <v>464880</v>
      </c>
      <c r="G481" s="37">
        <f t="shared" si="35"/>
        <v>6275880</v>
      </c>
      <c r="H481" s="35">
        <v>6275880</v>
      </c>
      <c r="I481" s="36">
        <f t="shared" si="33"/>
        <v>0</v>
      </c>
      <c r="J481" s="9">
        <v>46122</v>
      </c>
    </row>
    <row r="482" spans="1:11" ht="15" hidden="1" customHeight="1" x14ac:dyDescent="0.3">
      <c r="A482" s="30" t="s">
        <v>23</v>
      </c>
      <c r="B482" s="31" t="s">
        <v>655</v>
      </c>
      <c r="C482" s="32" t="s">
        <v>646</v>
      </c>
      <c r="D482" s="33"/>
      <c r="E482" s="29">
        <v>1980000</v>
      </c>
      <c r="F482" s="34">
        <f t="shared" si="36"/>
        <v>158400</v>
      </c>
      <c r="G482" s="37">
        <f t="shared" si="35"/>
        <v>2138400</v>
      </c>
      <c r="H482" s="35">
        <v>2138400</v>
      </c>
      <c r="I482" s="36">
        <f t="shared" si="33"/>
        <v>0</v>
      </c>
      <c r="J482" s="9">
        <v>46122</v>
      </c>
    </row>
    <row r="483" spans="1:11" ht="15" hidden="1" customHeight="1" x14ac:dyDescent="0.3">
      <c r="A483" s="30" t="s">
        <v>48</v>
      </c>
      <c r="B483" s="31">
        <v>46125</v>
      </c>
      <c r="C483" s="33" t="s">
        <v>647</v>
      </c>
      <c r="D483" s="33" t="s">
        <v>1038</v>
      </c>
      <c r="E483" s="29">
        <v>0</v>
      </c>
      <c r="F483" s="34">
        <f t="shared" si="36"/>
        <v>0</v>
      </c>
      <c r="G483" s="37">
        <f t="shared" si="35"/>
        <v>0</v>
      </c>
      <c r="H483" s="35"/>
      <c r="I483" s="36">
        <f t="shared" si="33"/>
        <v>0</v>
      </c>
      <c r="J483" s="9" t="s">
        <v>108</v>
      </c>
    </row>
    <row r="484" spans="1:11" ht="15" hidden="1" customHeight="1" x14ac:dyDescent="0.3">
      <c r="A484" s="30" t="s">
        <v>23</v>
      </c>
      <c r="B484" s="31" t="s">
        <v>656</v>
      </c>
      <c r="C484" s="32" t="s">
        <v>648</v>
      </c>
      <c r="D484" s="33"/>
      <c r="E484" s="29">
        <v>3795000</v>
      </c>
      <c r="F484" s="34">
        <f t="shared" si="36"/>
        <v>303600</v>
      </c>
      <c r="G484" s="37">
        <f t="shared" si="35"/>
        <v>4098600</v>
      </c>
      <c r="H484" s="35">
        <v>4098600</v>
      </c>
      <c r="I484" s="36">
        <f t="shared" si="33"/>
        <v>0</v>
      </c>
      <c r="J484" s="9">
        <v>46122</v>
      </c>
    </row>
    <row r="485" spans="1:11" ht="15" hidden="1" customHeight="1" x14ac:dyDescent="0.3">
      <c r="A485" s="30" t="s">
        <v>294</v>
      </c>
      <c r="B485" s="31" t="s">
        <v>682</v>
      </c>
      <c r="C485" s="32" t="s">
        <v>674</v>
      </c>
      <c r="D485" s="33"/>
      <c r="E485" s="29">
        <v>4755000</v>
      </c>
      <c r="F485" s="34">
        <f t="shared" si="36"/>
        <v>380400</v>
      </c>
      <c r="G485" s="37">
        <f t="shared" si="35"/>
        <v>5135400</v>
      </c>
      <c r="H485" s="35">
        <v>5135400</v>
      </c>
      <c r="I485" s="36">
        <f t="shared" si="33"/>
        <v>0</v>
      </c>
      <c r="J485" s="9">
        <v>46122</v>
      </c>
      <c r="K485" s="2" t="s">
        <v>1232</v>
      </c>
    </row>
    <row r="486" spans="1:11" ht="15" hidden="1" customHeight="1" x14ac:dyDescent="0.3">
      <c r="A486" s="30" t="s">
        <v>32</v>
      </c>
      <c r="B486" s="31" t="s">
        <v>683</v>
      </c>
      <c r="C486" s="32" t="s">
        <v>675</v>
      </c>
      <c r="D486" s="33"/>
      <c r="E486" s="29">
        <v>25290000</v>
      </c>
      <c r="F486" s="34">
        <f t="shared" si="36"/>
        <v>2023200</v>
      </c>
      <c r="G486" s="37">
        <f t="shared" si="35"/>
        <v>27313200</v>
      </c>
      <c r="H486" s="35">
        <v>27313200</v>
      </c>
      <c r="I486" s="36">
        <f t="shared" si="33"/>
        <v>0</v>
      </c>
      <c r="J486" s="9">
        <v>46122</v>
      </c>
    </row>
    <row r="487" spans="1:11" ht="15" hidden="1" customHeight="1" x14ac:dyDescent="0.3">
      <c r="A487" s="30" t="s">
        <v>21</v>
      </c>
      <c r="B487" s="31" t="s">
        <v>683</v>
      </c>
      <c r="C487" s="32" t="s">
        <v>676</v>
      </c>
      <c r="D487" s="33"/>
      <c r="E487" s="29">
        <v>3675000</v>
      </c>
      <c r="F487" s="34">
        <f t="shared" si="36"/>
        <v>294000</v>
      </c>
      <c r="G487" s="37">
        <f t="shared" si="35"/>
        <v>3969000</v>
      </c>
      <c r="H487" s="35">
        <v>3969000</v>
      </c>
      <c r="I487" s="36">
        <f t="shared" si="33"/>
        <v>0</v>
      </c>
      <c r="J487" s="9">
        <v>46122</v>
      </c>
    </row>
    <row r="488" spans="1:11" ht="15" hidden="1" customHeight="1" x14ac:dyDescent="0.3">
      <c r="A488" s="30" t="s">
        <v>18</v>
      </c>
      <c r="B488" s="31" t="s">
        <v>683</v>
      </c>
      <c r="C488" s="32" t="s">
        <v>677</v>
      </c>
      <c r="D488" s="33"/>
      <c r="E488" s="29">
        <v>1965000</v>
      </c>
      <c r="F488" s="34">
        <f t="shared" si="36"/>
        <v>157200</v>
      </c>
      <c r="G488" s="37">
        <f t="shared" si="35"/>
        <v>2122200</v>
      </c>
      <c r="H488" s="35">
        <v>2122200</v>
      </c>
      <c r="I488" s="36">
        <f t="shared" si="33"/>
        <v>0</v>
      </c>
      <c r="J488" s="9">
        <v>46122</v>
      </c>
    </row>
    <row r="489" spans="1:11" ht="15" hidden="1" customHeight="1" x14ac:dyDescent="0.3">
      <c r="A489" s="30" t="s">
        <v>23</v>
      </c>
      <c r="B489" s="31" t="s">
        <v>683</v>
      </c>
      <c r="C489" s="32" t="s">
        <v>678</v>
      </c>
      <c r="D489" s="33"/>
      <c r="E489" s="29">
        <v>6975000</v>
      </c>
      <c r="F489" s="34">
        <f t="shared" si="36"/>
        <v>558000</v>
      </c>
      <c r="G489" s="37">
        <f t="shared" si="35"/>
        <v>7533000</v>
      </c>
      <c r="H489" s="35">
        <v>7533000</v>
      </c>
      <c r="I489" s="36">
        <f t="shared" si="33"/>
        <v>0</v>
      </c>
      <c r="J489" s="9">
        <v>46122</v>
      </c>
    </row>
    <row r="490" spans="1:11" ht="15" hidden="1" customHeight="1" x14ac:dyDescent="0.3">
      <c r="A490" s="30" t="s">
        <v>25</v>
      </c>
      <c r="B490" s="31" t="s">
        <v>683</v>
      </c>
      <c r="C490" s="32" t="s">
        <v>679</v>
      </c>
      <c r="D490" s="33"/>
      <c r="E490" s="29">
        <v>2850000</v>
      </c>
      <c r="F490" s="34">
        <f t="shared" si="36"/>
        <v>228000</v>
      </c>
      <c r="G490" s="37">
        <f t="shared" si="35"/>
        <v>3078000</v>
      </c>
      <c r="H490" s="35">
        <v>3078000</v>
      </c>
      <c r="I490" s="36">
        <f t="shared" si="33"/>
        <v>0</v>
      </c>
      <c r="J490" s="9">
        <v>46122</v>
      </c>
    </row>
    <row r="491" spans="1:11" ht="15" hidden="1" customHeight="1" x14ac:dyDescent="0.3">
      <c r="A491" s="30" t="s">
        <v>48</v>
      </c>
      <c r="B491" s="31" t="s">
        <v>683</v>
      </c>
      <c r="C491" s="32" t="s">
        <v>680</v>
      </c>
      <c r="D491" s="33"/>
      <c r="E491" s="29">
        <v>3735000</v>
      </c>
      <c r="F491" s="34">
        <f t="shared" si="36"/>
        <v>298800</v>
      </c>
      <c r="G491" s="37">
        <f t="shared" si="35"/>
        <v>4033800</v>
      </c>
      <c r="H491" s="35">
        <v>4033800</v>
      </c>
      <c r="I491" s="36">
        <f t="shared" si="33"/>
        <v>0</v>
      </c>
      <c r="J491" s="9">
        <v>46122</v>
      </c>
    </row>
    <row r="492" spans="1:11" ht="15" hidden="1" customHeight="1" x14ac:dyDescent="0.3">
      <c r="A492" s="30" t="s">
        <v>294</v>
      </c>
      <c r="B492" s="31" t="s">
        <v>684</v>
      </c>
      <c r="C492" s="33" t="s">
        <v>681</v>
      </c>
      <c r="D492" s="33"/>
      <c r="E492" s="29">
        <v>-889878</v>
      </c>
      <c r="F492" s="34">
        <f t="shared" si="36"/>
        <v>-71190.240000000005</v>
      </c>
      <c r="G492" s="37">
        <f t="shared" si="35"/>
        <v>-961068.24</v>
      </c>
      <c r="H492" s="35">
        <v>-961068.24</v>
      </c>
      <c r="I492" s="36">
        <f t="shared" si="33"/>
        <v>0</v>
      </c>
      <c r="J492" s="9">
        <v>45971</v>
      </c>
    </row>
    <row r="493" spans="1:11" ht="15" hidden="1" customHeight="1" x14ac:dyDescent="0.3">
      <c r="A493" s="30" t="s">
        <v>19</v>
      </c>
      <c r="B493" s="31" t="s">
        <v>729</v>
      </c>
      <c r="C493" s="32" t="s">
        <v>685</v>
      </c>
      <c r="D493" s="33"/>
      <c r="E493" s="29">
        <v>4485000</v>
      </c>
      <c r="F493" s="34">
        <f t="shared" si="36"/>
        <v>358800</v>
      </c>
      <c r="G493" s="37">
        <f t="shared" si="35"/>
        <v>4843800</v>
      </c>
      <c r="H493" s="35">
        <v>4843800</v>
      </c>
      <c r="I493" s="36">
        <f t="shared" si="33"/>
        <v>0</v>
      </c>
      <c r="J493" s="9">
        <v>46122</v>
      </c>
    </row>
    <row r="494" spans="1:11" ht="15" hidden="1" customHeight="1" x14ac:dyDescent="0.3">
      <c r="A494" s="30" t="s">
        <v>48</v>
      </c>
      <c r="B494" s="31">
        <v>46025</v>
      </c>
      <c r="C494" s="33" t="s">
        <v>686</v>
      </c>
      <c r="D494" s="33" t="s">
        <v>797</v>
      </c>
      <c r="E494" s="29">
        <v>0</v>
      </c>
      <c r="F494" s="34">
        <f t="shared" si="36"/>
        <v>0</v>
      </c>
      <c r="G494" s="37">
        <f t="shared" si="35"/>
        <v>0</v>
      </c>
      <c r="H494" s="35"/>
      <c r="I494" s="36">
        <f t="shared" si="33"/>
        <v>0</v>
      </c>
    </row>
    <row r="495" spans="1:11" ht="15" hidden="1" customHeight="1" x14ac:dyDescent="0.3">
      <c r="A495" s="30" t="s">
        <v>23</v>
      </c>
      <c r="B495" s="31" t="s">
        <v>730</v>
      </c>
      <c r="C495" s="32" t="s">
        <v>687</v>
      </c>
      <c r="D495" s="33"/>
      <c r="E495" s="29">
        <v>1920000</v>
      </c>
      <c r="F495" s="34">
        <f t="shared" si="36"/>
        <v>153600</v>
      </c>
      <c r="G495" s="37">
        <f t="shared" si="35"/>
        <v>2073600</v>
      </c>
      <c r="H495" s="35">
        <v>2073600</v>
      </c>
      <c r="I495" s="36">
        <f t="shared" si="33"/>
        <v>0</v>
      </c>
      <c r="J495" s="9">
        <v>46122</v>
      </c>
    </row>
    <row r="496" spans="1:11" ht="15" hidden="1" customHeight="1" x14ac:dyDescent="0.3">
      <c r="A496" s="30" t="s">
        <v>295</v>
      </c>
      <c r="B496" s="31" t="s">
        <v>730</v>
      </c>
      <c r="C496" s="33" t="s">
        <v>688</v>
      </c>
      <c r="D496" s="33"/>
      <c r="E496" s="29">
        <v>-200000</v>
      </c>
      <c r="F496" s="34">
        <f t="shared" si="36"/>
        <v>-16000</v>
      </c>
      <c r="G496" s="37">
        <f t="shared" si="35"/>
        <v>-216000</v>
      </c>
      <c r="H496" s="35">
        <v>-216000</v>
      </c>
      <c r="I496" s="36">
        <f t="shared" si="33"/>
        <v>0</v>
      </c>
      <c r="J496" s="9">
        <v>46001</v>
      </c>
    </row>
    <row r="497" spans="1:11" ht="15" hidden="1" customHeight="1" x14ac:dyDescent="0.3">
      <c r="A497" s="30" t="s">
        <v>295</v>
      </c>
      <c r="B497" s="31" t="s">
        <v>730</v>
      </c>
      <c r="C497" s="33" t="s">
        <v>689</v>
      </c>
      <c r="D497" s="33"/>
      <c r="E497" s="29">
        <v>-378000</v>
      </c>
      <c r="F497" s="34">
        <f t="shared" si="36"/>
        <v>-30240</v>
      </c>
      <c r="G497" s="37">
        <f t="shared" si="35"/>
        <v>-408240</v>
      </c>
      <c r="H497" s="35">
        <v>-408240</v>
      </c>
      <c r="I497" s="36">
        <f t="shared" si="33"/>
        <v>0</v>
      </c>
      <c r="J497" s="9">
        <v>46001</v>
      </c>
    </row>
    <row r="498" spans="1:11" ht="15" hidden="1" customHeight="1" x14ac:dyDescent="0.3">
      <c r="A498" s="30" t="s">
        <v>295</v>
      </c>
      <c r="B498" s="31" t="s">
        <v>731</v>
      </c>
      <c r="C498" s="32" t="s">
        <v>690</v>
      </c>
      <c r="D498" s="33"/>
      <c r="E498" s="29">
        <v>8025000</v>
      </c>
      <c r="F498" s="34">
        <f t="shared" si="36"/>
        <v>642000</v>
      </c>
      <c r="G498" s="37">
        <f t="shared" si="35"/>
        <v>8667000</v>
      </c>
      <c r="H498" s="35">
        <v>8667000</v>
      </c>
      <c r="I498" s="36">
        <f t="shared" si="33"/>
        <v>0</v>
      </c>
      <c r="J498" s="9">
        <v>46122</v>
      </c>
    </row>
    <row r="499" spans="1:11" ht="15" hidden="1" customHeight="1" x14ac:dyDescent="0.3">
      <c r="A499" s="30" t="s">
        <v>26</v>
      </c>
      <c r="B499" s="31" t="s">
        <v>731</v>
      </c>
      <c r="C499" s="32" t="s">
        <v>691</v>
      </c>
      <c r="D499" s="33"/>
      <c r="E499" s="29">
        <v>8430000</v>
      </c>
      <c r="F499" s="34">
        <f t="shared" si="36"/>
        <v>674400</v>
      </c>
      <c r="G499" s="37">
        <f t="shared" si="35"/>
        <v>9104400</v>
      </c>
      <c r="H499" s="35">
        <v>9104400</v>
      </c>
      <c r="I499" s="36">
        <f t="shared" si="33"/>
        <v>0</v>
      </c>
      <c r="J499" s="9">
        <v>46122</v>
      </c>
    </row>
    <row r="500" spans="1:11" ht="15" hidden="1" customHeight="1" x14ac:dyDescent="0.3">
      <c r="A500" s="30" t="s">
        <v>48</v>
      </c>
      <c r="B500" s="31" t="s">
        <v>731</v>
      </c>
      <c r="C500" s="32" t="s">
        <v>692</v>
      </c>
      <c r="D500" s="33"/>
      <c r="E500" s="29">
        <v>1980000</v>
      </c>
      <c r="F500" s="34">
        <f t="shared" si="36"/>
        <v>158400</v>
      </c>
      <c r="G500" s="37">
        <f t="shared" si="35"/>
        <v>2138400</v>
      </c>
      <c r="H500" s="35">
        <v>2138400</v>
      </c>
      <c r="I500" s="36">
        <f t="shared" si="33"/>
        <v>0</v>
      </c>
      <c r="J500" s="9">
        <v>46122</v>
      </c>
    </row>
    <row r="501" spans="1:11" ht="15" hidden="1" customHeight="1" x14ac:dyDescent="0.3">
      <c r="A501" s="30" t="s">
        <v>27</v>
      </c>
      <c r="B501" s="31" t="s">
        <v>731</v>
      </c>
      <c r="C501" s="32" t="s">
        <v>693</v>
      </c>
      <c r="D501" s="33"/>
      <c r="E501" s="29">
        <v>7010000</v>
      </c>
      <c r="F501" s="34">
        <f t="shared" si="36"/>
        <v>560800</v>
      </c>
      <c r="G501" s="37">
        <f t="shared" si="35"/>
        <v>7570800</v>
      </c>
      <c r="H501" s="35">
        <v>7570800</v>
      </c>
      <c r="I501" s="36">
        <f t="shared" ref="I501:I552" si="37">G501-H501</f>
        <v>0</v>
      </c>
      <c r="J501" s="9">
        <v>46122</v>
      </c>
    </row>
    <row r="502" spans="1:11" ht="15" hidden="1" customHeight="1" x14ac:dyDescent="0.3">
      <c r="A502" s="30" t="s">
        <v>28</v>
      </c>
      <c r="B502" s="31" t="s">
        <v>731</v>
      </c>
      <c r="C502" s="32" t="s">
        <v>694</v>
      </c>
      <c r="D502" s="33"/>
      <c r="E502" s="29">
        <v>2775000</v>
      </c>
      <c r="F502" s="34">
        <f t="shared" si="36"/>
        <v>222000</v>
      </c>
      <c r="G502" s="37">
        <f t="shared" si="35"/>
        <v>2997000</v>
      </c>
      <c r="H502" s="35">
        <v>2997000</v>
      </c>
      <c r="I502" s="36">
        <f t="shared" si="37"/>
        <v>0</v>
      </c>
      <c r="J502" s="9">
        <v>46122</v>
      </c>
    </row>
    <row r="503" spans="1:11" ht="15" hidden="1" customHeight="1" x14ac:dyDescent="0.3">
      <c r="A503" s="30" t="s">
        <v>25</v>
      </c>
      <c r="B503" s="31" t="s">
        <v>731</v>
      </c>
      <c r="C503" s="32" t="s">
        <v>695</v>
      </c>
      <c r="D503" s="33"/>
      <c r="E503" s="29">
        <v>1790000</v>
      </c>
      <c r="F503" s="34">
        <f t="shared" si="36"/>
        <v>143200</v>
      </c>
      <c r="G503" s="37">
        <f t="shared" si="35"/>
        <v>1933200</v>
      </c>
      <c r="H503" s="35">
        <v>1933200</v>
      </c>
      <c r="I503" s="36">
        <f t="shared" si="37"/>
        <v>0</v>
      </c>
      <c r="J503" s="9">
        <v>46122</v>
      </c>
    </row>
    <row r="504" spans="1:11" ht="15" hidden="1" customHeight="1" x14ac:dyDescent="0.3">
      <c r="A504" s="30" t="s">
        <v>19</v>
      </c>
      <c r="B504" s="31" t="s">
        <v>731</v>
      </c>
      <c r="C504" s="32" t="s">
        <v>696</v>
      </c>
      <c r="D504" s="33"/>
      <c r="E504" s="29">
        <v>4500000</v>
      </c>
      <c r="F504" s="34">
        <f t="shared" si="36"/>
        <v>360000</v>
      </c>
      <c r="G504" s="37">
        <f t="shared" si="35"/>
        <v>4860000</v>
      </c>
      <c r="H504" s="35">
        <v>4860000</v>
      </c>
      <c r="I504" s="36">
        <f t="shared" si="37"/>
        <v>0</v>
      </c>
      <c r="J504" s="9">
        <v>46122</v>
      </c>
    </row>
    <row r="505" spans="1:11" ht="15" hidden="1" customHeight="1" x14ac:dyDescent="0.3">
      <c r="A505" s="30" t="s">
        <v>18</v>
      </c>
      <c r="B505" s="31" t="s">
        <v>731</v>
      </c>
      <c r="C505" s="32" t="s">
        <v>697</v>
      </c>
      <c r="D505" s="33"/>
      <c r="E505" s="29">
        <v>2925000</v>
      </c>
      <c r="F505" s="34">
        <f t="shared" si="36"/>
        <v>234000</v>
      </c>
      <c r="G505" s="37">
        <f t="shared" si="35"/>
        <v>3159000</v>
      </c>
      <c r="H505" s="35">
        <v>3159000</v>
      </c>
      <c r="I505" s="36">
        <f t="shared" si="37"/>
        <v>0</v>
      </c>
      <c r="J505" s="9">
        <v>46122</v>
      </c>
    </row>
    <row r="506" spans="1:11" ht="15" hidden="1" customHeight="1" x14ac:dyDescent="0.3">
      <c r="A506" s="30" t="s">
        <v>32</v>
      </c>
      <c r="B506" s="31" t="s">
        <v>731</v>
      </c>
      <c r="C506" s="32" t="s">
        <v>698</v>
      </c>
      <c r="D506" s="33"/>
      <c r="E506" s="29">
        <v>5130000</v>
      </c>
      <c r="F506" s="34">
        <f t="shared" si="36"/>
        <v>410400</v>
      </c>
      <c r="G506" s="37">
        <f t="shared" si="35"/>
        <v>5540400</v>
      </c>
      <c r="H506" s="35">
        <v>5540400</v>
      </c>
      <c r="I506" s="36">
        <f t="shared" si="37"/>
        <v>0</v>
      </c>
      <c r="J506" s="9">
        <v>46122</v>
      </c>
    </row>
    <row r="507" spans="1:11" ht="15" hidden="1" customHeight="1" x14ac:dyDescent="0.3">
      <c r="A507" s="30" t="s">
        <v>19</v>
      </c>
      <c r="B507" s="31" t="s">
        <v>732</v>
      </c>
      <c r="C507" s="32" t="s">
        <v>699</v>
      </c>
      <c r="D507" s="33"/>
      <c r="E507" s="29">
        <v>1380000</v>
      </c>
      <c r="F507" s="34">
        <f t="shared" si="36"/>
        <v>110400</v>
      </c>
      <c r="G507" s="37">
        <f t="shared" si="35"/>
        <v>1490400</v>
      </c>
      <c r="H507" s="35">
        <v>1490400</v>
      </c>
      <c r="I507" s="36">
        <f t="shared" si="37"/>
        <v>0</v>
      </c>
      <c r="J507" s="9">
        <v>46122</v>
      </c>
    </row>
    <row r="508" spans="1:11" ht="15" hidden="1" customHeight="1" x14ac:dyDescent="0.3">
      <c r="A508" s="30" t="s">
        <v>32</v>
      </c>
      <c r="B508" s="31" t="s">
        <v>733</v>
      </c>
      <c r="C508" s="32" t="s">
        <v>700</v>
      </c>
      <c r="D508" s="33"/>
      <c r="E508" s="29">
        <v>1380000</v>
      </c>
      <c r="F508" s="34">
        <f t="shared" si="36"/>
        <v>110400</v>
      </c>
      <c r="G508" s="37">
        <f t="shared" si="35"/>
        <v>1490400</v>
      </c>
      <c r="H508" s="35">
        <v>1490400</v>
      </c>
      <c r="I508" s="36">
        <f t="shared" si="37"/>
        <v>0</v>
      </c>
      <c r="J508" s="9">
        <v>46153</v>
      </c>
    </row>
    <row r="509" spans="1:11" ht="15" hidden="1" customHeight="1" x14ac:dyDescent="0.3">
      <c r="A509" s="30" t="s">
        <v>17</v>
      </c>
      <c r="B509" s="31" t="s">
        <v>733</v>
      </c>
      <c r="C509" s="32" t="s">
        <v>701</v>
      </c>
      <c r="D509" s="33"/>
      <c r="E509" s="29">
        <v>57150000</v>
      </c>
      <c r="F509" s="34">
        <f t="shared" si="36"/>
        <v>4572000</v>
      </c>
      <c r="G509" s="37">
        <f t="shared" si="35"/>
        <v>61722000</v>
      </c>
      <c r="H509" s="35">
        <v>61722000</v>
      </c>
      <c r="I509" s="36">
        <f t="shared" si="37"/>
        <v>0</v>
      </c>
      <c r="J509" s="9">
        <v>46122</v>
      </c>
      <c r="K509" s="2" t="s">
        <v>799</v>
      </c>
    </row>
    <row r="510" spans="1:11" ht="15" hidden="1" customHeight="1" x14ac:dyDescent="0.3">
      <c r="A510" s="30" t="s">
        <v>23</v>
      </c>
      <c r="B510" s="31" t="s">
        <v>733</v>
      </c>
      <c r="C510" s="32" t="s">
        <v>702</v>
      </c>
      <c r="D510" s="33"/>
      <c r="E510" s="29">
        <v>1380000</v>
      </c>
      <c r="F510" s="34">
        <f t="shared" si="36"/>
        <v>110400</v>
      </c>
      <c r="G510" s="37">
        <f t="shared" ref="G510:G558" si="38">+F510+E510</f>
        <v>1490400</v>
      </c>
      <c r="H510" s="35">
        <v>1490400</v>
      </c>
      <c r="I510" s="36">
        <f t="shared" si="37"/>
        <v>0</v>
      </c>
      <c r="J510" s="9">
        <v>46122</v>
      </c>
    </row>
    <row r="511" spans="1:11" ht="15" hidden="1" customHeight="1" x14ac:dyDescent="0.3">
      <c r="A511" s="30" t="s">
        <v>23</v>
      </c>
      <c r="B511" s="31" t="s">
        <v>733</v>
      </c>
      <c r="C511" s="32" t="s">
        <v>703</v>
      </c>
      <c r="D511" s="33"/>
      <c r="E511" s="29">
        <v>21852000</v>
      </c>
      <c r="F511" s="34">
        <f t="shared" si="36"/>
        <v>1748160</v>
      </c>
      <c r="G511" s="37">
        <f t="shared" si="38"/>
        <v>23600160</v>
      </c>
      <c r="H511" s="35">
        <v>23600160</v>
      </c>
      <c r="I511" s="36">
        <f t="shared" si="37"/>
        <v>0</v>
      </c>
      <c r="J511" s="9">
        <v>46122</v>
      </c>
    </row>
    <row r="512" spans="1:11" ht="15" hidden="1" customHeight="1" x14ac:dyDescent="0.3">
      <c r="A512" s="30" t="s">
        <v>18</v>
      </c>
      <c r="B512" s="31" t="s">
        <v>733</v>
      </c>
      <c r="C512" s="32" t="s">
        <v>704</v>
      </c>
      <c r="D512" s="33"/>
      <c r="E512" s="29">
        <v>2760000</v>
      </c>
      <c r="F512" s="34">
        <f t="shared" si="36"/>
        <v>220800</v>
      </c>
      <c r="G512" s="37">
        <f t="shared" si="38"/>
        <v>2980800</v>
      </c>
      <c r="H512" s="35">
        <v>2980800</v>
      </c>
      <c r="I512" s="36">
        <f t="shared" si="37"/>
        <v>0</v>
      </c>
      <c r="J512" s="9">
        <v>46122</v>
      </c>
    </row>
    <row r="513" spans="1:11" ht="15" hidden="1" customHeight="1" x14ac:dyDescent="0.3">
      <c r="A513" s="30" t="s">
        <v>28</v>
      </c>
      <c r="B513" s="31" t="s">
        <v>733</v>
      </c>
      <c r="C513" s="32" t="s">
        <v>705</v>
      </c>
      <c r="D513" s="33"/>
      <c r="E513" s="29">
        <v>17452000</v>
      </c>
      <c r="F513" s="34">
        <f t="shared" si="36"/>
        <v>1396160</v>
      </c>
      <c r="G513" s="37">
        <f t="shared" si="38"/>
        <v>18848160</v>
      </c>
      <c r="H513" s="35">
        <v>18848160</v>
      </c>
      <c r="I513" s="36">
        <f t="shared" si="37"/>
        <v>0</v>
      </c>
      <c r="J513" s="9">
        <v>46122</v>
      </c>
    </row>
    <row r="514" spans="1:11" ht="15" hidden="1" customHeight="1" x14ac:dyDescent="0.3">
      <c r="A514" s="30" t="s">
        <v>294</v>
      </c>
      <c r="B514" s="31">
        <v>46031</v>
      </c>
      <c r="C514" s="33" t="s">
        <v>706</v>
      </c>
      <c r="D514" s="32" t="s">
        <v>830</v>
      </c>
      <c r="E514" s="29">
        <v>13548000</v>
      </c>
      <c r="F514" s="34">
        <f t="shared" si="36"/>
        <v>1083840</v>
      </c>
      <c r="G514" s="37">
        <f t="shared" si="38"/>
        <v>14631840</v>
      </c>
      <c r="H514" s="35">
        <v>14631840</v>
      </c>
      <c r="I514" s="36">
        <f t="shared" si="37"/>
        <v>0</v>
      </c>
      <c r="J514" s="9">
        <v>46122</v>
      </c>
      <c r="K514" s="2" t="s">
        <v>1232</v>
      </c>
    </row>
    <row r="515" spans="1:11" ht="15" hidden="1" customHeight="1" x14ac:dyDescent="0.3">
      <c r="A515" s="30" t="s">
        <v>48</v>
      </c>
      <c r="B515" s="31" t="s">
        <v>733</v>
      </c>
      <c r="C515" s="32" t="s">
        <v>707</v>
      </c>
      <c r="D515" s="33"/>
      <c r="E515" s="29">
        <v>1380000</v>
      </c>
      <c r="F515" s="34">
        <f t="shared" si="36"/>
        <v>110400</v>
      </c>
      <c r="G515" s="37">
        <f t="shared" si="38"/>
        <v>1490400</v>
      </c>
      <c r="H515" s="35">
        <v>1490400</v>
      </c>
      <c r="I515" s="36">
        <f t="shared" si="37"/>
        <v>0</v>
      </c>
      <c r="J515" s="9">
        <v>46122</v>
      </c>
    </row>
    <row r="516" spans="1:11" ht="15" hidden="1" customHeight="1" x14ac:dyDescent="0.3">
      <c r="A516" s="30" t="s">
        <v>48</v>
      </c>
      <c r="B516" s="31" t="s">
        <v>733</v>
      </c>
      <c r="C516" s="32" t="s">
        <v>708</v>
      </c>
      <c r="D516" s="33"/>
      <c r="E516" s="29">
        <v>17452000</v>
      </c>
      <c r="F516" s="34">
        <f t="shared" si="36"/>
        <v>1396160</v>
      </c>
      <c r="G516" s="37">
        <f t="shared" si="38"/>
        <v>18848160</v>
      </c>
      <c r="H516" s="35">
        <v>18848160</v>
      </c>
      <c r="I516" s="36">
        <f t="shared" si="37"/>
        <v>0</v>
      </c>
      <c r="J516" s="9">
        <v>46122</v>
      </c>
    </row>
    <row r="517" spans="1:11" ht="15" hidden="1" customHeight="1" x14ac:dyDescent="0.3">
      <c r="A517" s="30" t="s">
        <v>26</v>
      </c>
      <c r="B517" s="31" t="s">
        <v>733</v>
      </c>
      <c r="C517" s="32" t="s">
        <v>709</v>
      </c>
      <c r="D517" s="33"/>
      <c r="E517" s="29">
        <v>17452000</v>
      </c>
      <c r="F517" s="34">
        <f t="shared" si="36"/>
        <v>1396160</v>
      </c>
      <c r="G517" s="37">
        <f t="shared" si="38"/>
        <v>18848160</v>
      </c>
      <c r="H517" s="35">
        <v>18848160</v>
      </c>
      <c r="I517" s="36">
        <f t="shared" si="37"/>
        <v>0</v>
      </c>
      <c r="J517" s="9">
        <v>46122</v>
      </c>
    </row>
    <row r="518" spans="1:11" ht="15" hidden="1" customHeight="1" x14ac:dyDescent="0.3">
      <c r="A518" s="30" t="s">
        <v>17</v>
      </c>
      <c r="B518" s="31" t="s">
        <v>733</v>
      </c>
      <c r="C518" s="32" t="s">
        <v>710</v>
      </c>
      <c r="D518" s="33"/>
      <c r="E518" s="29">
        <v>17452000</v>
      </c>
      <c r="F518" s="34">
        <f t="shared" si="36"/>
        <v>1396160</v>
      </c>
      <c r="G518" s="37">
        <f t="shared" si="38"/>
        <v>18848160</v>
      </c>
      <c r="H518" s="35">
        <v>18848160</v>
      </c>
      <c r="I518" s="36">
        <f t="shared" si="37"/>
        <v>0</v>
      </c>
      <c r="J518" s="9">
        <v>46122</v>
      </c>
      <c r="K518" s="2" t="s">
        <v>799</v>
      </c>
    </row>
    <row r="519" spans="1:11" ht="15" hidden="1" customHeight="1" x14ac:dyDescent="0.3">
      <c r="A519" s="30" t="s">
        <v>32</v>
      </c>
      <c r="B519" s="31" t="s">
        <v>733</v>
      </c>
      <c r="C519" s="32" t="s">
        <v>711</v>
      </c>
      <c r="D519" s="33"/>
      <c r="E519" s="29">
        <v>17452000</v>
      </c>
      <c r="F519" s="34">
        <f t="shared" ref="F519:F582" si="39">+E519*0.08</f>
        <v>1396160</v>
      </c>
      <c r="G519" s="37">
        <f t="shared" si="38"/>
        <v>18848160</v>
      </c>
      <c r="H519" s="35">
        <v>18848160</v>
      </c>
      <c r="I519" s="36">
        <f t="shared" si="37"/>
        <v>0</v>
      </c>
      <c r="J519" s="9">
        <v>46122</v>
      </c>
    </row>
    <row r="520" spans="1:11" ht="15" hidden="1" customHeight="1" x14ac:dyDescent="0.3">
      <c r="A520" s="30" t="s">
        <v>25</v>
      </c>
      <c r="B520" s="31">
        <v>46029</v>
      </c>
      <c r="C520" s="33" t="s">
        <v>712</v>
      </c>
      <c r="D520" s="32" t="s">
        <v>801</v>
      </c>
      <c r="E520" s="29">
        <v>13146000</v>
      </c>
      <c r="F520" s="34">
        <f t="shared" si="39"/>
        <v>1051680</v>
      </c>
      <c r="G520" s="37">
        <f t="shared" si="38"/>
        <v>14197680</v>
      </c>
      <c r="H520" s="35">
        <v>14197680</v>
      </c>
      <c r="I520" s="36">
        <f t="shared" si="37"/>
        <v>0</v>
      </c>
      <c r="J520" s="9">
        <v>46122</v>
      </c>
    </row>
    <row r="521" spans="1:11" ht="15" hidden="1" customHeight="1" x14ac:dyDescent="0.3">
      <c r="A521" s="30" t="s">
        <v>22</v>
      </c>
      <c r="B521" s="31" t="s">
        <v>733</v>
      </c>
      <c r="C521" s="32" t="s">
        <v>713</v>
      </c>
      <c r="D521" s="33"/>
      <c r="E521" s="29">
        <v>20472000</v>
      </c>
      <c r="F521" s="34">
        <f t="shared" si="39"/>
        <v>1637760</v>
      </c>
      <c r="G521" s="37">
        <f t="shared" si="38"/>
        <v>22109760</v>
      </c>
      <c r="H521" s="35">
        <v>22109760</v>
      </c>
      <c r="I521" s="36">
        <f t="shared" si="37"/>
        <v>0</v>
      </c>
      <c r="J521" s="9">
        <v>46122</v>
      </c>
    </row>
    <row r="522" spans="1:11" ht="15" hidden="1" customHeight="1" x14ac:dyDescent="0.3">
      <c r="A522" s="30" t="s">
        <v>22</v>
      </c>
      <c r="B522" s="31" t="s">
        <v>733</v>
      </c>
      <c r="C522" s="32" t="s">
        <v>714</v>
      </c>
      <c r="D522" s="33"/>
      <c r="E522" s="29">
        <v>17452000</v>
      </c>
      <c r="F522" s="34">
        <f t="shared" si="39"/>
        <v>1396160</v>
      </c>
      <c r="G522" s="37">
        <f t="shared" si="38"/>
        <v>18848160</v>
      </c>
      <c r="H522" s="35">
        <v>18848160</v>
      </c>
      <c r="I522" s="36">
        <f t="shared" si="37"/>
        <v>0</v>
      </c>
      <c r="J522" s="9">
        <v>46122</v>
      </c>
    </row>
    <row r="523" spans="1:11" ht="15" hidden="1" customHeight="1" x14ac:dyDescent="0.3">
      <c r="A523" s="30" t="s">
        <v>27</v>
      </c>
      <c r="B523" s="31" t="s">
        <v>733</v>
      </c>
      <c r="C523" s="32" t="s">
        <v>715</v>
      </c>
      <c r="D523" s="33"/>
      <c r="E523" s="29">
        <v>42500000</v>
      </c>
      <c r="F523" s="34">
        <f t="shared" si="39"/>
        <v>3400000</v>
      </c>
      <c r="G523" s="37">
        <f t="shared" si="38"/>
        <v>45900000</v>
      </c>
      <c r="H523" s="35">
        <v>45900000</v>
      </c>
      <c r="I523" s="36">
        <f t="shared" si="37"/>
        <v>0</v>
      </c>
      <c r="J523" s="9">
        <v>46122</v>
      </c>
    </row>
    <row r="524" spans="1:11" ht="15" hidden="1" customHeight="1" x14ac:dyDescent="0.3">
      <c r="A524" s="30" t="s">
        <v>25</v>
      </c>
      <c r="B524" s="31">
        <v>46029</v>
      </c>
      <c r="C524" s="33" t="s">
        <v>716</v>
      </c>
      <c r="D524" s="32" t="s">
        <v>800</v>
      </c>
      <c r="E524" s="29">
        <v>66966000</v>
      </c>
      <c r="F524" s="34">
        <f t="shared" si="39"/>
        <v>5357280</v>
      </c>
      <c r="G524" s="37">
        <f t="shared" si="38"/>
        <v>72323280</v>
      </c>
      <c r="H524" s="35">
        <v>72323280</v>
      </c>
      <c r="I524" s="36">
        <f t="shared" si="37"/>
        <v>0</v>
      </c>
      <c r="J524" s="9">
        <v>46122</v>
      </c>
    </row>
    <row r="525" spans="1:11" ht="15" hidden="1" customHeight="1" x14ac:dyDescent="0.3">
      <c r="A525" s="30" t="s">
        <v>27</v>
      </c>
      <c r="B525" s="31" t="s">
        <v>733</v>
      </c>
      <c r="C525" s="32" t="s">
        <v>717</v>
      </c>
      <c r="D525" s="33"/>
      <c r="E525" s="29">
        <v>17452000</v>
      </c>
      <c r="F525" s="34">
        <f t="shared" si="39"/>
        <v>1396160</v>
      </c>
      <c r="G525" s="37">
        <f t="shared" si="38"/>
        <v>18848160</v>
      </c>
      <c r="H525" s="35">
        <v>18848160</v>
      </c>
      <c r="I525" s="36">
        <f t="shared" si="37"/>
        <v>0</v>
      </c>
      <c r="J525" s="9">
        <v>46122</v>
      </c>
    </row>
    <row r="526" spans="1:11" ht="15" hidden="1" customHeight="1" x14ac:dyDescent="0.3">
      <c r="A526" s="30" t="s">
        <v>23</v>
      </c>
      <c r="B526" s="31" t="s">
        <v>733</v>
      </c>
      <c r="C526" s="32" t="s">
        <v>718</v>
      </c>
      <c r="D526" s="33"/>
      <c r="E526" s="29">
        <v>17452000</v>
      </c>
      <c r="F526" s="34">
        <f t="shared" si="39"/>
        <v>1396160</v>
      </c>
      <c r="G526" s="37">
        <f t="shared" si="38"/>
        <v>18848160</v>
      </c>
      <c r="H526" s="35">
        <v>18848160</v>
      </c>
      <c r="I526" s="36">
        <f t="shared" si="37"/>
        <v>0</v>
      </c>
      <c r="J526" s="9">
        <v>46122</v>
      </c>
    </row>
    <row r="527" spans="1:11" ht="15" hidden="1" customHeight="1" x14ac:dyDescent="0.3">
      <c r="A527" s="30" t="s">
        <v>19</v>
      </c>
      <c r="B527" s="31" t="s">
        <v>733</v>
      </c>
      <c r="C527" s="32" t="s">
        <v>719</v>
      </c>
      <c r="D527" s="33"/>
      <c r="E527" s="29">
        <v>17452000</v>
      </c>
      <c r="F527" s="34">
        <f t="shared" si="39"/>
        <v>1396160</v>
      </c>
      <c r="G527" s="37">
        <f t="shared" si="38"/>
        <v>18848160</v>
      </c>
      <c r="H527" s="35">
        <v>18848160</v>
      </c>
      <c r="I527" s="36">
        <f t="shared" si="37"/>
        <v>0</v>
      </c>
      <c r="J527" s="9">
        <v>46122</v>
      </c>
    </row>
    <row r="528" spans="1:11" ht="15" hidden="1" customHeight="1" x14ac:dyDescent="0.3">
      <c r="A528" s="30" t="s">
        <v>18</v>
      </c>
      <c r="B528" s="31">
        <v>46386</v>
      </c>
      <c r="C528" s="33" t="s">
        <v>720</v>
      </c>
      <c r="D528" s="32" t="s">
        <v>796</v>
      </c>
      <c r="E528" s="29">
        <v>16198000</v>
      </c>
      <c r="F528" s="34">
        <f t="shared" si="39"/>
        <v>1295840</v>
      </c>
      <c r="G528" s="37">
        <f t="shared" si="38"/>
        <v>17493840</v>
      </c>
      <c r="H528" s="35">
        <v>17493840</v>
      </c>
      <c r="I528" s="36">
        <f t="shared" si="37"/>
        <v>0</v>
      </c>
      <c r="J528" s="9">
        <v>46122</v>
      </c>
    </row>
    <row r="529" spans="1:11" ht="15" hidden="1" customHeight="1" x14ac:dyDescent="0.3">
      <c r="A529" s="30" t="s">
        <v>21</v>
      </c>
      <c r="B529" s="31">
        <v>46379</v>
      </c>
      <c r="C529" s="33" t="s">
        <v>721</v>
      </c>
      <c r="D529" s="32" t="s">
        <v>795</v>
      </c>
      <c r="E529" s="29">
        <v>11040000</v>
      </c>
      <c r="F529" s="34">
        <f t="shared" si="39"/>
        <v>883200</v>
      </c>
      <c r="G529" s="37">
        <f t="shared" si="38"/>
        <v>11923200</v>
      </c>
      <c r="H529" s="35">
        <v>11923200</v>
      </c>
      <c r="I529" s="36">
        <f t="shared" si="37"/>
        <v>0</v>
      </c>
      <c r="J529" s="9">
        <v>46122</v>
      </c>
    </row>
    <row r="530" spans="1:11" ht="15" hidden="1" customHeight="1" x14ac:dyDescent="0.3">
      <c r="A530" s="30" t="s">
        <v>20</v>
      </c>
      <c r="B530" s="31" t="s">
        <v>733</v>
      </c>
      <c r="C530" s="32" t="s">
        <v>722</v>
      </c>
      <c r="D530" s="33"/>
      <c r="E530" s="29">
        <v>17452000</v>
      </c>
      <c r="F530" s="34">
        <f t="shared" si="39"/>
        <v>1396160</v>
      </c>
      <c r="G530" s="37">
        <f t="shared" si="38"/>
        <v>18848160</v>
      </c>
      <c r="H530" s="35">
        <v>18848160</v>
      </c>
      <c r="I530" s="36">
        <f t="shared" si="37"/>
        <v>0</v>
      </c>
      <c r="J530" s="9">
        <v>46122</v>
      </c>
    </row>
    <row r="531" spans="1:11" ht="15" hidden="1" customHeight="1" x14ac:dyDescent="0.3">
      <c r="A531" s="30" t="s">
        <v>295</v>
      </c>
      <c r="B531" s="31" t="s">
        <v>733</v>
      </c>
      <c r="C531" s="32" t="s">
        <v>723</v>
      </c>
      <c r="D531" s="33"/>
      <c r="E531" s="29">
        <v>6780000</v>
      </c>
      <c r="F531" s="34">
        <f t="shared" si="39"/>
        <v>542400</v>
      </c>
      <c r="G531" s="37">
        <f t="shared" si="38"/>
        <v>7322400</v>
      </c>
      <c r="H531" s="35">
        <v>7322400</v>
      </c>
      <c r="I531" s="36">
        <f t="shared" si="37"/>
        <v>0</v>
      </c>
      <c r="J531" s="9">
        <v>46122</v>
      </c>
    </row>
    <row r="532" spans="1:11" ht="15" hidden="1" customHeight="1" x14ac:dyDescent="0.3">
      <c r="A532" s="30" t="s">
        <v>28</v>
      </c>
      <c r="B532" s="31" t="s">
        <v>733</v>
      </c>
      <c r="C532" s="32" t="s">
        <v>724</v>
      </c>
      <c r="D532" s="33"/>
      <c r="E532" s="29">
        <v>1920000</v>
      </c>
      <c r="F532" s="34">
        <f t="shared" si="39"/>
        <v>153600</v>
      </c>
      <c r="G532" s="37">
        <f t="shared" si="38"/>
        <v>2073600</v>
      </c>
      <c r="H532" s="35">
        <v>2073600</v>
      </c>
      <c r="I532" s="36">
        <f t="shared" si="37"/>
        <v>0</v>
      </c>
      <c r="J532" s="9">
        <v>46122</v>
      </c>
    </row>
    <row r="533" spans="1:11" ht="15" hidden="1" customHeight="1" x14ac:dyDescent="0.3">
      <c r="A533" s="30" t="s">
        <v>295</v>
      </c>
      <c r="B533" s="31" t="s">
        <v>733</v>
      </c>
      <c r="C533" s="32" t="s">
        <v>725</v>
      </c>
      <c r="D533" s="33"/>
      <c r="E533" s="29">
        <v>17452000</v>
      </c>
      <c r="F533" s="34">
        <f t="shared" si="39"/>
        <v>1396160</v>
      </c>
      <c r="G533" s="37">
        <f t="shared" si="38"/>
        <v>18848160</v>
      </c>
      <c r="H533" s="35">
        <v>18848160</v>
      </c>
      <c r="I533" s="36">
        <f t="shared" si="37"/>
        <v>0</v>
      </c>
      <c r="J533" s="9">
        <v>46122</v>
      </c>
    </row>
    <row r="534" spans="1:11" ht="15" hidden="1" customHeight="1" x14ac:dyDescent="0.3">
      <c r="A534" s="30" t="s">
        <v>17</v>
      </c>
      <c r="B534" s="31" t="s">
        <v>734</v>
      </c>
      <c r="C534" s="32" t="s">
        <v>726</v>
      </c>
      <c r="D534" s="33"/>
      <c r="E534" s="29">
        <v>17700000</v>
      </c>
      <c r="F534" s="34">
        <f t="shared" si="39"/>
        <v>1416000</v>
      </c>
      <c r="G534" s="37">
        <f t="shared" si="38"/>
        <v>19116000</v>
      </c>
      <c r="H534" s="35">
        <v>19116000</v>
      </c>
      <c r="I534" s="36">
        <f t="shared" si="37"/>
        <v>0</v>
      </c>
      <c r="J534" s="9">
        <v>46122</v>
      </c>
      <c r="K534" s="2" t="s">
        <v>799</v>
      </c>
    </row>
    <row r="535" spans="1:11" ht="15" hidden="1" customHeight="1" x14ac:dyDescent="0.3">
      <c r="A535" s="30" t="s">
        <v>20</v>
      </c>
      <c r="B535" s="31" t="s">
        <v>735</v>
      </c>
      <c r="C535" s="32" t="s">
        <v>727</v>
      </c>
      <c r="D535" s="33"/>
      <c r="E535" s="29">
        <v>10825000</v>
      </c>
      <c r="F535" s="34">
        <f t="shared" si="39"/>
        <v>866000</v>
      </c>
      <c r="G535" s="37">
        <f t="shared" si="38"/>
        <v>11691000</v>
      </c>
      <c r="H535" s="35">
        <v>11691000</v>
      </c>
      <c r="I535" s="36">
        <f t="shared" si="37"/>
        <v>0</v>
      </c>
      <c r="J535" s="9">
        <v>46122</v>
      </c>
    </row>
    <row r="536" spans="1:11" ht="15" hidden="1" customHeight="1" x14ac:dyDescent="0.3">
      <c r="A536" s="30" t="s">
        <v>19</v>
      </c>
      <c r="B536" s="31" t="s">
        <v>735</v>
      </c>
      <c r="C536" s="32" t="s">
        <v>728</v>
      </c>
      <c r="D536" s="33"/>
      <c r="E536" s="29">
        <v>241028000</v>
      </c>
      <c r="F536" s="34">
        <f t="shared" si="39"/>
        <v>19282240</v>
      </c>
      <c r="G536" s="37">
        <f t="shared" si="38"/>
        <v>260310240</v>
      </c>
      <c r="H536" s="35">
        <v>260310240</v>
      </c>
      <c r="I536" s="36">
        <f t="shared" si="37"/>
        <v>0</v>
      </c>
      <c r="J536" s="9">
        <v>46122</v>
      </c>
    </row>
    <row r="537" spans="1:11" ht="15" hidden="1" customHeight="1" x14ac:dyDescent="0.3">
      <c r="A537" s="30" t="s">
        <v>26</v>
      </c>
      <c r="B537" s="31" t="s">
        <v>757</v>
      </c>
      <c r="C537" s="32" t="s">
        <v>737</v>
      </c>
      <c r="D537" s="33"/>
      <c r="E537" s="29">
        <v>356840000</v>
      </c>
      <c r="F537" s="34">
        <f t="shared" si="39"/>
        <v>28547200</v>
      </c>
      <c r="G537" s="37">
        <f t="shared" si="38"/>
        <v>385387200</v>
      </c>
      <c r="H537" s="35">
        <v>385387200</v>
      </c>
      <c r="I537" s="36">
        <f t="shared" si="37"/>
        <v>0</v>
      </c>
      <c r="J537" s="9">
        <v>46122</v>
      </c>
    </row>
    <row r="538" spans="1:11" ht="15" hidden="1" customHeight="1" x14ac:dyDescent="0.3">
      <c r="A538" s="30" t="s">
        <v>18</v>
      </c>
      <c r="B538" s="31" t="s">
        <v>757</v>
      </c>
      <c r="C538" s="32" t="s">
        <v>738</v>
      </c>
      <c r="D538" s="33"/>
      <c r="E538" s="29">
        <v>8280000</v>
      </c>
      <c r="F538" s="34">
        <f t="shared" si="39"/>
        <v>662400</v>
      </c>
      <c r="G538" s="37">
        <f t="shared" si="38"/>
        <v>8942400</v>
      </c>
      <c r="H538" s="35">
        <v>8942400</v>
      </c>
      <c r="I538" s="36">
        <f t="shared" si="37"/>
        <v>0</v>
      </c>
      <c r="J538" s="9">
        <v>46122</v>
      </c>
    </row>
    <row r="539" spans="1:11" ht="15" hidden="1" customHeight="1" x14ac:dyDescent="0.3">
      <c r="A539" s="30" t="s">
        <v>27</v>
      </c>
      <c r="B539" s="31" t="s">
        <v>757</v>
      </c>
      <c r="C539" s="32" t="s">
        <v>739</v>
      </c>
      <c r="D539" s="33"/>
      <c r="E539" s="29">
        <v>24402000</v>
      </c>
      <c r="F539" s="34">
        <f t="shared" si="39"/>
        <v>1952160</v>
      </c>
      <c r="G539" s="37">
        <f t="shared" si="38"/>
        <v>26354160</v>
      </c>
      <c r="H539" s="35">
        <v>26354160</v>
      </c>
      <c r="I539" s="36">
        <f t="shared" si="37"/>
        <v>0</v>
      </c>
      <c r="J539" s="9">
        <v>46122</v>
      </c>
    </row>
    <row r="540" spans="1:11" ht="15" hidden="1" customHeight="1" x14ac:dyDescent="0.3">
      <c r="A540" s="30" t="s">
        <v>294</v>
      </c>
      <c r="B540" s="31" t="s">
        <v>758</v>
      </c>
      <c r="C540" s="32" t="s">
        <v>740</v>
      </c>
      <c r="D540" s="33"/>
      <c r="E540" s="29">
        <v>2980000</v>
      </c>
      <c r="F540" s="34">
        <f t="shared" si="39"/>
        <v>238400</v>
      </c>
      <c r="G540" s="37">
        <f t="shared" si="38"/>
        <v>3218400</v>
      </c>
      <c r="H540" s="35">
        <v>3218400</v>
      </c>
      <c r="I540" s="36">
        <f t="shared" si="37"/>
        <v>0</v>
      </c>
      <c r="J540" s="9">
        <v>46122</v>
      </c>
      <c r="K540" s="2" t="s">
        <v>1232</v>
      </c>
    </row>
    <row r="541" spans="1:11" ht="15" hidden="1" customHeight="1" x14ac:dyDescent="0.3">
      <c r="A541" s="30" t="s">
        <v>294</v>
      </c>
      <c r="B541" s="31" t="s">
        <v>758</v>
      </c>
      <c r="C541" s="32" t="s">
        <v>741</v>
      </c>
      <c r="D541" s="33"/>
      <c r="E541" s="29">
        <v>317298000</v>
      </c>
      <c r="F541" s="34">
        <f t="shared" si="39"/>
        <v>25383840</v>
      </c>
      <c r="G541" s="37">
        <f t="shared" si="38"/>
        <v>342681840</v>
      </c>
      <c r="H541" s="35">
        <v>342681840</v>
      </c>
      <c r="I541" s="36">
        <f t="shared" si="37"/>
        <v>0</v>
      </c>
      <c r="J541" s="9">
        <v>46122</v>
      </c>
      <c r="K541" s="2" t="s">
        <v>1232</v>
      </c>
    </row>
    <row r="542" spans="1:11" ht="15" hidden="1" customHeight="1" x14ac:dyDescent="0.3">
      <c r="A542" s="30" t="s">
        <v>32</v>
      </c>
      <c r="B542" s="31" t="s">
        <v>758</v>
      </c>
      <c r="C542" s="32" t="s">
        <v>742</v>
      </c>
      <c r="D542" s="33"/>
      <c r="E542" s="29">
        <v>11615000</v>
      </c>
      <c r="F542" s="34">
        <f t="shared" si="39"/>
        <v>929200</v>
      </c>
      <c r="G542" s="37">
        <f t="shared" si="38"/>
        <v>12544200</v>
      </c>
      <c r="H542" s="35">
        <v>12544200</v>
      </c>
      <c r="I542" s="36">
        <f t="shared" si="37"/>
        <v>0</v>
      </c>
      <c r="J542" s="9">
        <v>46122</v>
      </c>
    </row>
    <row r="543" spans="1:11" ht="15" hidden="1" customHeight="1" x14ac:dyDescent="0.3">
      <c r="A543" s="30" t="s">
        <v>28</v>
      </c>
      <c r="B543" s="31" t="s">
        <v>758</v>
      </c>
      <c r="C543" s="32" t="s">
        <v>743</v>
      </c>
      <c r="D543" s="33"/>
      <c r="E543" s="29">
        <v>41288000</v>
      </c>
      <c r="F543" s="34">
        <f t="shared" si="39"/>
        <v>3303040</v>
      </c>
      <c r="G543" s="37">
        <f t="shared" si="38"/>
        <v>44591040</v>
      </c>
      <c r="H543" s="35">
        <v>44591040</v>
      </c>
      <c r="I543" s="36">
        <f t="shared" si="37"/>
        <v>0</v>
      </c>
      <c r="J543" s="9">
        <v>46122</v>
      </c>
    </row>
    <row r="544" spans="1:11" ht="15" hidden="1" customHeight="1" x14ac:dyDescent="0.3">
      <c r="A544" s="30" t="s">
        <v>23</v>
      </c>
      <c r="B544" s="31" t="s">
        <v>758</v>
      </c>
      <c r="C544" s="32" t="s">
        <v>744</v>
      </c>
      <c r="D544" s="33"/>
      <c r="E544" s="29">
        <v>5675000</v>
      </c>
      <c r="F544" s="34">
        <f t="shared" si="39"/>
        <v>454000</v>
      </c>
      <c r="G544" s="37">
        <f t="shared" si="38"/>
        <v>6129000</v>
      </c>
      <c r="H544" s="35">
        <v>6129000</v>
      </c>
      <c r="I544" s="36">
        <f t="shared" si="37"/>
        <v>0</v>
      </c>
      <c r="J544" s="9">
        <v>46122</v>
      </c>
    </row>
    <row r="545" spans="1:11" ht="15" hidden="1" customHeight="1" x14ac:dyDescent="0.3">
      <c r="A545" s="30" t="s">
        <v>21</v>
      </c>
      <c r="B545" s="31" t="s">
        <v>758</v>
      </c>
      <c r="C545" s="32" t="s">
        <v>745</v>
      </c>
      <c r="D545" s="33"/>
      <c r="E545" s="29">
        <v>42769000</v>
      </c>
      <c r="F545" s="34">
        <f t="shared" si="39"/>
        <v>3421520</v>
      </c>
      <c r="G545" s="37">
        <f t="shared" si="38"/>
        <v>46190520</v>
      </c>
      <c r="H545" s="35">
        <v>46190520</v>
      </c>
      <c r="I545" s="36">
        <f t="shared" si="37"/>
        <v>0</v>
      </c>
      <c r="J545" s="9">
        <v>46122</v>
      </c>
    </row>
    <row r="546" spans="1:11" ht="15" hidden="1" customHeight="1" x14ac:dyDescent="0.3">
      <c r="A546" s="30" t="s">
        <v>17</v>
      </c>
      <c r="B546" s="31" t="s">
        <v>758</v>
      </c>
      <c r="C546" s="32" t="s">
        <v>746</v>
      </c>
      <c r="D546" s="33"/>
      <c r="E546" s="29">
        <v>10310000</v>
      </c>
      <c r="F546" s="34">
        <f t="shared" si="39"/>
        <v>824800</v>
      </c>
      <c r="G546" s="37">
        <f t="shared" si="38"/>
        <v>11134800</v>
      </c>
      <c r="H546" s="35">
        <v>11134800</v>
      </c>
      <c r="I546" s="36">
        <f t="shared" si="37"/>
        <v>0</v>
      </c>
      <c r="J546" s="9">
        <v>46122</v>
      </c>
      <c r="K546" s="2" t="s">
        <v>799</v>
      </c>
    </row>
    <row r="547" spans="1:11" ht="15" hidden="1" customHeight="1" x14ac:dyDescent="0.3">
      <c r="A547" s="30" t="s">
        <v>294</v>
      </c>
      <c r="B547" s="31" t="s">
        <v>759</v>
      </c>
      <c r="C547" s="32" t="s">
        <v>747</v>
      </c>
      <c r="D547" s="33"/>
      <c r="E547" s="29">
        <v>8405000</v>
      </c>
      <c r="F547" s="34">
        <f t="shared" si="39"/>
        <v>672400</v>
      </c>
      <c r="G547" s="37">
        <f t="shared" si="38"/>
        <v>9077400</v>
      </c>
      <c r="H547" s="35">
        <v>9077400</v>
      </c>
      <c r="I547" s="36">
        <f t="shared" si="37"/>
        <v>0</v>
      </c>
      <c r="J547" s="9">
        <v>46122</v>
      </c>
      <c r="K547" s="2" t="s">
        <v>1232</v>
      </c>
    </row>
    <row r="548" spans="1:11" ht="15" hidden="1" customHeight="1" x14ac:dyDescent="0.3">
      <c r="A548" s="30" t="s">
        <v>25</v>
      </c>
      <c r="B548" s="31" t="s">
        <v>759</v>
      </c>
      <c r="C548" s="32" t="s">
        <v>748</v>
      </c>
      <c r="D548" s="33"/>
      <c r="E548" s="29">
        <v>12792000</v>
      </c>
      <c r="F548" s="34">
        <f t="shared" si="39"/>
        <v>1023360</v>
      </c>
      <c r="G548" s="37">
        <f t="shared" si="38"/>
        <v>13815360</v>
      </c>
      <c r="H548" s="35">
        <v>13815360</v>
      </c>
      <c r="I548" s="36">
        <f t="shared" si="37"/>
        <v>0</v>
      </c>
      <c r="J548" s="9">
        <v>46122</v>
      </c>
    </row>
    <row r="549" spans="1:11" ht="15" hidden="1" customHeight="1" x14ac:dyDescent="0.3">
      <c r="A549" s="30" t="s">
        <v>21</v>
      </c>
      <c r="B549" s="31">
        <v>46036</v>
      </c>
      <c r="C549" s="33" t="s">
        <v>749</v>
      </c>
      <c r="D549" s="32" t="s">
        <v>855</v>
      </c>
      <c r="E549" s="29">
        <v>47218000</v>
      </c>
      <c r="F549" s="34">
        <f t="shared" si="39"/>
        <v>3777440</v>
      </c>
      <c r="G549" s="37">
        <f t="shared" si="38"/>
        <v>50995440</v>
      </c>
      <c r="H549" s="35">
        <v>50995440</v>
      </c>
      <c r="I549" s="36">
        <f t="shared" si="37"/>
        <v>0</v>
      </c>
      <c r="J549" s="9">
        <v>46122</v>
      </c>
    </row>
    <row r="550" spans="1:11" ht="15" hidden="1" customHeight="1" x14ac:dyDescent="0.3">
      <c r="A550" s="30" t="s">
        <v>18</v>
      </c>
      <c r="B550" s="31" t="s">
        <v>759</v>
      </c>
      <c r="C550" s="32" t="s">
        <v>750</v>
      </c>
      <c r="D550" s="33"/>
      <c r="E550" s="29">
        <v>80412000</v>
      </c>
      <c r="F550" s="34">
        <f t="shared" si="39"/>
        <v>6432960</v>
      </c>
      <c r="G550" s="37">
        <f t="shared" si="38"/>
        <v>86844960</v>
      </c>
      <c r="H550" s="35">
        <v>86844960</v>
      </c>
      <c r="I550" s="36">
        <f t="shared" si="37"/>
        <v>0</v>
      </c>
      <c r="J550" s="9">
        <v>46122</v>
      </c>
    </row>
    <row r="551" spans="1:11" ht="15" hidden="1" customHeight="1" x14ac:dyDescent="0.3">
      <c r="A551" s="30" t="s">
        <v>22</v>
      </c>
      <c r="B551" s="31" t="s">
        <v>760</v>
      </c>
      <c r="C551" s="32" t="s">
        <v>751</v>
      </c>
      <c r="D551" s="33"/>
      <c r="E551" s="29">
        <v>10890000</v>
      </c>
      <c r="F551" s="34">
        <f t="shared" si="39"/>
        <v>871200</v>
      </c>
      <c r="G551" s="37">
        <f t="shared" si="38"/>
        <v>11761200</v>
      </c>
      <c r="H551" s="35">
        <v>11761200</v>
      </c>
      <c r="I551" s="36">
        <f t="shared" si="37"/>
        <v>0</v>
      </c>
      <c r="J551" s="9">
        <v>46122</v>
      </c>
    </row>
    <row r="552" spans="1:11" ht="15" hidden="1" customHeight="1" x14ac:dyDescent="0.3">
      <c r="A552" s="30" t="s">
        <v>48</v>
      </c>
      <c r="B552" s="31">
        <v>46026</v>
      </c>
      <c r="C552" s="33" t="s">
        <v>752</v>
      </c>
      <c r="D552" s="32" t="s">
        <v>798</v>
      </c>
      <c r="E552" s="29">
        <v>69030000</v>
      </c>
      <c r="F552" s="34">
        <f t="shared" si="39"/>
        <v>5522400</v>
      </c>
      <c r="G552" s="37">
        <f t="shared" si="38"/>
        <v>74552400</v>
      </c>
      <c r="H552" s="35">
        <v>74552400</v>
      </c>
      <c r="I552" s="36">
        <f t="shared" si="37"/>
        <v>0</v>
      </c>
      <c r="J552" s="9">
        <v>46122</v>
      </c>
    </row>
    <row r="553" spans="1:11" ht="15" hidden="1" customHeight="1" x14ac:dyDescent="0.3">
      <c r="A553" s="30" t="s">
        <v>48</v>
      </c>
      <c r="B553" s="31" t="s">
        <v>760</v>
      </c>
      <c r="C553" s="32" t="s">
        <v>753</v>
      </c>
      <c r="D553" s="33"/>
      <c r="E553" s="29">
        <v>11700000</v>
      </c>
      <c r="F553" s="34">
        <f t="shared" si="39"/>
        <v>936000</v>
      </c>
      <c r="G553" s="37">
        <f t="shared" si="38"/>
        <v>12636000</v>
      </c>
      <c r="H553" s="35">
        <v>12636000</v>
      </c>
      <c r="I553" s="36">
        <f>G553-H553</f>
        <v>0</v>
      </c>
      <c r="J553" s="9">
        <v>46122</v>
      </c>
    </row>
    <row r="554" spans="1:11" ht="15" hidden="1" customHeight="1" x14ac:dyDescent="0.3">
      <c r="A554" s="30" t="s">
        <v>32</v>
      </c>
      <c r="B554" s="31" t="s">
        <v>760</v>
      </c>
      <c r="C554" s="32" t="s">
        <v>754</v>
      </c>
      <c r="D554" s="33"/>
      <c r="E554" s="29">
        <v>143220000</v>
      </c>
      <c r="F554" s="34">
        <f t="shared" si="39"/>
        <v>11457600</v>
      </c>
      <c r="G554" s="37">
        <f t="shared" si="38"/>
        <v>154677600</v>
      </c>
      <c r="H554" s="35">
        <v>154677600</v>
      </c>
      <c r="I554" s="36">
        <f t="shared" ref="I554:I617" si="40">G554-H554</f>
        <v>0</v>
      </c>
      <c r="J554" s="9">
        <v>46122</v>
      </c>
    </row>
    <row r="555" spans="1:11" ht="15" hidden="1" customHeight="1" x14ac:dyDescent="0.3">
      <c r="A555" s="30" t="s">
        <v>28</v>
      </c>
      <c r="B555" s="31">
        <v>46029</v>
      </c>
      <c r="C555" s="32" t="s">
        <v>755</v>
      </c>
      <c r="D555" s="32" t="s">
        <v>802</v>
      </c>
      <c r="E555" s="29">
        <v>4560000</v>
      </c>
      <c r="F555" s="34">
        <f t="shared" si="39"/>
        <v>364800</v>
      </c>
      <c r="G555" s="37">
        <f t="shared" si="38"/>
        <v>4924800</v>
      </c>
      <c r="H555" s="35">
        <v>4924800</v>
      </c>
      <c r="I555" s="36">
        <f t="shared" si="40"/>
        <v>0</v>
      </c>
      <c r="J555" s="9">
        <v>46122</v>
      </c>
    </row>
    <row r="556" spans="1:11" ht="15" hidden="1" customHeight="1" x14ac:dyDescent="0.3">
      <c r="A556" s="30" t="s">
        <v>21</v>
      </c>
      <c r="B556" s="31" t="s">
        <v>760</v>
      </c>
      <c r="C556" s="32" t="s">
        <v>756</v>
      </c>
      <c r="D556" s="33"/>
      <c r="E556" s="29">
        <v>4140000</v>
      </c>
      <c r="F556" s="34">
        <f t="shared" si="39"/>
        <v>331200</v>
      </c>
      <c r="G556" s="37">
        <f t="shared" si="38"/>
        <v>4471200</v>
      </c>
      <c r="H556" s="35">
        <v>4471200</v>
      </c>
      <c r="I556" s="36">
        <f t="shared" si="40"/>
        <v>0</v>
      </c>
      <c r="J556" s="9">
        <v>46122</v>
      </c>
    </row>
    <row r="557" spans="1:11" ht="15" hidden="1" customHeight="1" x14ac:dyDescent="0.3">
      <c r="A557" s="30" t="s">
        <v>32</v>
      </c>
      <c r="B557" s="31" t="s">
        <v>787</v>
      </c>
      <c r="C557" s="32" t="s">
        <v>761</v>
      </c>
      <c r="D557" s="33"/>
      <c r="E557" s="29">
        <v>10200000</v>
      </c>
      <c r="F557" s="34">
        <f t="shared" si="39"/>
        <v>816000</v>
      </c>
      <c r="G557" s="37">
        <f t="shared" si="38"/>
        <v>11016000</v>
      </c>
      <c r="H557" s="35">
        <v>11016000</v>
      </c>
      <c r="I557" s="36">
        <f t="shared" si="40"/>
        <v>0</v>
      </c>
      <c r="J557" s="9">
        <v>46122</v>
      </c>
    </row>
    <row r="558" spans="1:11" ht="15" hidden="1" customHeight="1" x14ac:dyDescent="0.3">
      <c r="A558" s="30" t="s">
        <v>26</v>
      </c>
      <c r="B558" s="31" t="s">
        <v>787</v>
      </c>
      <c r="C558" s="32" t="s">
        <v>762</v>
      </c>
      <c r="D558" s="33"/>
      <c r="E558" s="29">
        <v>8550000</v>
      </c>
      <c r="F558" s="34">
        <f t="shared" si="39"/>
        <v>684000</v>
      </c>
      <c r="G558" s="37">
        <f t="shared" si="38"/>
        <v>9234000</v>
      </c>
      <c r="H558" s="35">
        <v>9234000</v>
      </c>
      <c r="I558" s="36">
        <f t="shared" si="40"/>
        <v>0</v>
      </c>
      <c r="J558" s="9">
        <v>46122</v>
      </c>
    </row>
    <row r="559" spans="1:11" ht="15" hidden="1" customHeight="1" x14ac:dyDescent="0.3">
      <c r="A559" s="30" t="s">
        <v>48</v>
      </c>
      <c r="B559" s="31">
        <v>46037</v>
      </c>
      <c r="C559" s="33" t="s">
        <v>763</v>
      </c>
      <c r="D559" s="33" t="s">
        <v>856</v>
      </c>
      <c r="E559" s="29">
        <v>2880000</v>
      </c>
      <c r="F559" s="34"/>
      <c r="G559" s="37"/>
      <c r="H559" s="35"/>
      <c r="I559" s="36">
        <f t="shared" si="40"/>
        <v>0</v>
      </c>
      <c r="J559" s="9" t="s">
        <v>829</v>
      </c>
    </row>
    <row r="560" spans="1:11" ht="15" hidden="1" customHeight="1" x14ac:dyDescent="0.3">
      <c r="A560" s="30" t="s">
        <v>294</v>
      </c>
      <c r="B560" s="31">
        <v>46031</v>
      </c>
      <c r="C560" s="33" t="s">
        <v>764</v>
      </c>
      <c r="D560" s="32" t="s">
        <v>831</v>
      </c>
      <c r="E560" s="29">
        <v>5115000</v>
      </c>
      <c r="F560" s="34">
        <f t="shared" si="39"/>
        <v>409200</v>
      </c>
      <c r="G560" s="37">
        <f t="shared" ref="G560:G622" si="41">+F560+E560</f>
        <v>5524200</v>
      </c>
      <c r="H560" s="35">
        <v>5524200</v>
      </c>
      <c r="I560" s="36">
        <f t="shared" si="40"/>
        <v>0</v>
      </c>
      <c r="J560" s="9">
        <v>46122</v>
      </c>
      <c r="K560" s="2" t="s">
        <v>1233</v>
      </c>
    </row>
    <row r="561" spans="1:11" ht="15" hidden="1" customHeight="1" x14ac:dyDescent="0.3">
      <c r="A561" s="30" t="s">
        <v>23</v>
      </c>
      <c r="B561" s="31" t="s">
        <v>787</v>
      </c>
      <c r="C561" s="32" t="s">
        <v>765</v>
      </c>
      <c r="D561" s="33"/>
      <c r="E561" s="29">
        <v>19045000</v>
      </c>
      <c r="F561" s="34">
        <f t="shared" si="39"/>
        <v>1523600</v>
      </c>
      <c r="G561" s="37">
        <f t="shared" si="41"/>
        <v>20568600</v>
      </c>
      <c r="H561" s="35">
        <v>20568600</v>
      </c>
      <c r="I561" s="36">
        <f t="shared" si="40"/>
        <v>0</v>
      </c>
      <c r="J561" s="9">
        <v>46122</v>
      </c>
    </row>
    <row r="562" spans="1:11" ht="15" hidden="1" customHeight="1" x14ac:dyDescent="0.3">
      <c r="A562" s="30" t="s">
        <v>17</v>
      </c>
      <c r="B562" s="31" t="s">
        <v>787</v>
      </c>
      <c r="C562" s="32" t="s">
        <v>766</v>
      </c>
      <c r="D562" s="33"/>
      <c r="E562" s="29">
        <v>1980000</v>
      </c>
      <c r="F562" s="34">
        <f t="shared" si="39"/>
        <v>158400</v>
      </c>
      <c r="G562" s="37">
        <f t="shared" si="41"/>
        <v>2138400</v>
      </c>
      <c r="H562" s="35">
        <v>2138400</v>
      </c>
      <c r="I562" s="36">
        <f t="shared" si="40"/>
        <v>0</v>
      </c>
      <c r="J562" s="9">
        <v>46122</v>
      </c>
      <c r="K562" s="2" t="s">
        <v>799</v>
      </c>
    </row>
    <row r="563" spans="1:11" ht="15" hidden="1" customHeight="1" x14ac:dyDescent="0.3">
      <c r="A563" s="30" t="s">
        <v>21</v>
      </c>
      <c r="B563" s="31" t="s">
        <v>787</v>
      </c>
      <c r="C563" s="32" t="s">
        <v>767</v>
      </c>
      <c r="D563" s="33"/>
      <c r="E563" s="29">
        <v>106195000</v>
      </c>
      <c r="F563" s="34">
        <f t="shared" si="39"/>
        <v>8495600</v>
      </c>
      <c r="G563" s="37">
        <f t="shared" si="41"/>
        <v>114690600</v>
      </c>
      <c r="H563" s="35">
        <v>114690600</v>
      </c>
      <c r="I563" s="36">
        <f t="shared" si="40"/>
        <v>0</v>
      </c>
      <c r="J563" s="9">
        <v>46122</v>
      </c>
    </row>
    <row r="564" spans="1:11" ht="15" hidden="1" customHeight="1" x14ac:dyDescent="0.3">
      <c r="A564" s="30" t="s">
        <v>18</v>
      </c>
      <c r="B564" s="31" t="s">
        <v>788</v>
      </c>
      <c r="C564" s="32" t="s">
        <v>768</v>
      </c>
      <c r="D564" s="33"/>
      <c r="E564" s="29">
        <v>3660000</v>
      </c>
      <c r="F564" s="34">
        <f t="shared" si="39"/>
        <v>292800</v>
      </c>
      <c r="G564" s="37">
        <f t="shared" si="41"/>
        <v>3952800</v>
      </c>
      <c r="H564" s="35">
        <v>3952800</v>
      </c>
      <c r="I564" s="36">
        <f t="shared" si="40"/>
        <v>0</v>
      </c>
      <c r="J564" s="9">
        <v>46122</v>
      </c>
    </row>
    <row r="565" spans="1:11" ht="15" hidden="1" customHeight="1" x14ac:dyDescent="0.3">
      <c r="A565" s="30" t="s">
        <v>18</v>
      </c>
      <c r="B565" s="31" t="s">
        <v>788</v>
      </c>
      <c r="C565" s="32" t="s">
        <v>769</v>
      </c>
      <c r="D565" s="33"/>
      <c r="E565" s="29">
        <v>3660000</v>
      </c>
      <c r="F565" s="34">
        <f t="shared" si="39"/>
        <v>292800</v>
      </c>
      <c r="G565" s="37">
        <f t="shared" si="41"/>
        <v>3952800</v>
      </c>
      <c r="H565" s="35">
        <v>3952800</v>
      </c>
      <c r="I565" s="36">
        <f t="shared" si="40"/>
        <v>0</v>
      </c>
      <c r="J565" s="9">
        <v>46122</v>
      </c>
    </row>
    <row r="566" spans="1:11" ht="15" hidden="1" customHeight="1" x14ac:dyDescent="0.3">
      <c r="A566" s="30" t="s">
        <v>17</v>
      </c>
      <c r="B566" s="31">
        <v>46024</v>
      </c>
      <c r="C566" s="33" t="s">
        <v>770</v>
      </c>
      <c r="D566" s="32" t="s">
        <v>827</v>
      </c>
      <c r="E566" s="29">
        <v>6200000</v>
      </c>
      <c r="F566" s="34">
        <f t="shared" si="39"/>
        <v>496000</v>
      </c>
      <c r="G566" s="37">
        <f t="shared" si="41"/>
        <v>6696000</v>
      </c>
      <c r="H566" s="35">
        <v>6696000</v>
      </c>
      <c r="I566" s="36">
        <f t="shared" si="40"/>
        <v>0</v>
      </c>
      <c r="J566" s="9">
        <v>46122</v>
      </c>
    </row>
    <row r="567" spans="1:11" ht="15" hidden="1" customHeight="1" x14ac:dyDescent="0.3">
      <c r="A567" s="30" t="s">
        <v>21</v>
      </c>
      <c r="B567" s="31" t="s">
        <v>789</v>
      </c>
      <c r="C567" s="32" t="s">
        <v>771</v>
      </c>
      <c r="D567" s="33"/>
      <c r="E567" s="29">
        <v>32560000</v>
      </c>
      <c r="F567" s="34">
        <f t="shared" si="39"/>
        <v>2604800</v>
      </c>
      <c r="G567" s="37">
        <f t="shared" si="41"/>
        <v>35164800</v>
      </c>
      <c r="H567" s="35">
        <v>35164800</v>
      </c>
      <c r="I567" s="36">
        <f t="shared" si="40"/>
        <v>0</v>
      </c>
      <c r="J567" s="9">
        <v>46122</v>
      </c>
    </row>
    <row r="568" spans="1:11" ht="15" hidden="1" customHeight="1" x14ac:dyDescent="0.3">
      <c r="A568" s="30" t="s">
        <v>21</v>
      </c>
      <c r="B568" s="31" t="s">
        <v>789</v>
      </c>
      <c r="C568" s="32" t="s">
        <v>772</v>
      </c>
      <c r="D568" s="33"/>
      <c r="E568" s="29">
        <v>3600000</v>
      </c>
      <c r="F568" s="34">
        <f t="shared" si="39"/>
        <v>288000</v>
      </c>
      <c r="G568" s="37">
        <f t="shared" si="41"/>
        <v>3888000</v>
      </c>
      <c r="H568" s="35">
        <v>3888000</v>
      </c>
      <c r="I568" s="36">
        <f t="shared" si="40"/>
        <v>0</v>
      </c>
      <c r="J568" s="9">
        <v>46122</v>
      </c>
    </row>
    <row r="569" spans="1:11" ht="15" hidden="1" customHeight="1" x14ac:dyDescent="0.3">
      <c r="A569" s="30" t="s">
        <v>32</v>
      </c>
      <c r="B569" s="31" t="s">
        <v>789</v>
      </c>
      <c r="C569" s="32" t="s">
        <v>773</v>
      </c>
      <c r="D569" s="33"/>
      <c r="E569" s="29">
        <v>12225000</v>
      </c>
      <c r="F569" s="34">
        <f t="shared" si="39"/>
        <v>978000</v>
      </c>
      <c r="G569" s="37">
        <f t="shared" si="41"/>
        <v>13203000</v>
      </c>
      <c r="H569" s="35">
        <v>13203000</v>
      </c>
      <c r="I569" s="36">
        <f t="shared" si="40"/>
        <v>0</v>
      </c>
      <c r="J569" s="9">
        <v>46122</v>
      </c>
    </row>
    <row r="570" spans="1:11" ht="15" hidden="1" customHeight="1" x14ac:dyDescent="0.3">
      <c r="A570" s="30" t="s">
        <v>27</v>
      </c>
      <c r="B570" s="31" t="s">
        <v>790</v>
      </c>
      <c r="C570" s="32" t="s">
        <v>774</v>
      </c>
      <c r="D570" s="33"/>
      <c r="E570" s="29">
        <v>10920000</v>
      </c>
      <c r="F570" s="34">
        <f t="shared" si="39"/>
        <v>873600</v>
      </c>
      <c r="G570" s="37">
        <f t="shared" si="41"/>
        <v>11793600</v>
      </c>
      <c r="H570" s="35">
        <v>11793600</v>
      </c>
      <c r="I570" s="36">
        <f t="shared" si="40"/>
        <v>0</v>
      </c>
      <c r="J570" s="9">
        <v>46122</v>
      </c>
    </row>
    <row r="571" spans="1:11" ht="15" hidden="1" customHeight="1" x14ac:dyDescent="0.3">
      <c r="A571" s="30" t="s">
        <v>25</v>
      </c>
      <c r="B571" s="31">
        <v>46034</v>
      </c>
      <c r="C571" s="33" t="s">
        <v>775</v>
      </c>
      <c r="D571" s="32" t="s">
        <v>852</v>
      </c>
      <c r="E571" s="29">
        <v>16563000</v>
      </c>
      <c r="F571" s="34">
        <f t="shared" si="39"/>
        <v>1325040</v>
      </c>
      <c r="G571" s="37">
        <f t="shared" si="41"/>
        <v>17888040</v>
      </c>
      <c r="H571" s="35">
        <v>17888040</v>
      </c>
      <c r="I571" s="36">
        <f t="shared" si="40"/>
        <v>0</v>
      </c>
      <c r="J571" s="9">
        <v>46122</v>
      </c>
    </row>
    <row r="572" spans="1:11" ht="15" hidden="1" customHeight="1" x14ac:dyDescent="0.3">
      <c r="A572" s="30" t="s">
        <v>48</v>
      </c>
      <c r="B572" s="31" t="s">
        <v>791</v>
      </c>
      <c r="C572" s="32" t="s">
        <v>776</v>
      </c>
      <c r="D572" s="33"/>
      <c r="E572" s="29">
        <v>59110000</v>
      </c>
      <c r="F572" s="34">
        <f t="shared" si="39"/>
        <v>4728800</v>
      </c>
      <c r="G572" s="37">
        <f t="shared" si="41"/>
        <v>63838800</v>
      </c>
      <c r="H572" s="35">
        <v>63838800</v>
      </c>
      <c r="I572" s="36">
        <f t="shared" si="40"/>
        <v>0</v>
      </c>
      <c r="J572" s="9">
        <v>46122</v>
      </c>
    </row>
    <row r="573" spans="1:11" ht="15" hidden="1" customHeight="1" x14ac:dyDescent="0.3">
      <c r="A573" s="30" t="s">
        <v>18</v>
      </c>
      <c r="B573" s="31" t="s">
        <v>792</v>
      </c>
      <c r="C573" s="32" t="s">
        <v>777</v>
      </c>
      <c r="D573" s="33"/>
      <c r="E573" s="29">
        <v>6510000</v>
      </c>
      <c r="F573" s="34">
        <f t="shared" si="39"/>
        <v>520800</v>
      </c>
      <c r="G573" s="37">
        <f t="shared" si="41"/>
        <v>7030800</v>
      </c>
      <c r="H573" s="35">
        <v>7030800</v>
      </c>
      <c r="I573" s="36">
        <f t="shared" si="40"/>
        <v>0</v>
      </c>
      <c r="J573" s="9">
        <v>46122</v>
      </c>
    </row>
    <row r="574" spans="1:11" ht="15" hidden="1" customHeight="1" x14ac:dyDescent="0.3">
      <c r="A574" s="30" t="s">
        <v>27</v>
      </c>
      <c r="B574" s="31">
        <v>46038</v>
      </c>
      <c r="C574" s="33" t="s">
        <v>778</v>
      </c>
      <c r="D574" s="32" t="s">
        <v>952</v>
      </c>
      <c r="E574" s="29">
        <v>98327000</v>
      </c>
      <c r="F574" s="34">
        <f t="shared" si="39"/>
        <v>7866160</v>
      </c>
      <c r="G574" s="37">
        <f t="shared" si="41"/>
        <v>106193160</v>
      </c>
      <c r="H574" s="35">
        <v>106193160</v>
      </c>
      <c r="I574" s="36">
        <f t="shared" si="40"/>
        <v>0</v>
      </c>
      <c r="J574" s="9">
        <v>46153</v>
      </c>
    </row>
    <row r="575" spans="1:11" ht="15" hidden="1" customHeight="1" x14ac:dyDescent="0.3">
      <c r="A575" s="30" t="s">
        <v>17</v>
      </c>
      <c r="B575" s="31">
        <v>46034</v>
      </c>
      <c r="C575" s="33" t="s">
        <v>828</v>
      </c>
      <c r="D575" s="32" t="s">
        <v>854</v>
      </c>
      <c r="E575" s="29">
        <v>48474000</v>
      </c>
      <c r="F575" s="34">
        <f t="shared" si="39"/>
        <v>3877920</v>
      </c>
      <c r="G575" s="37">
        <f t="shared" si="41"/>
        <v>52351920</v>
      </c>
      <c r="H575" s="35">
        <v>52351920</v>
      </c>
      <c r="I575" s="36">
        <f t="shared" si="40"/>
        <v>0</v>
      </c>
      <c r="J575" s="9">
        <v>46122</v>
      </c>
    </row>
    <row r="576" spans="1:11" ht="15" hidden="1" customHeight="1" x14ac:dyDescent="0.3">
      <c r="A576" s="30" t="s">
        <v>23</v>
      </c>
      <c r="B576" s="31" t="s">
        <v>793</v>
      </c>
      <c r="C576" s="32" t="s">
        <v>779</v>
      </c>
      <c r="D576" s="33"/>
      <c r="E576" s="29">
        <v>58500000</v>
      </c>
      <c r="F576" s="34">
        <f t="shared" si="39"/>
        <v>4680000</v>
      </c>
      <c r="G576" s="37">
        <f t="shared" si="41"/>
        <v>63180000</v>
      </c>
      <c r="H576" s="35">
        <v>63180000</v>
      </c>
      <c r="I576" s="36">
        <f t="shared" si="40"/>
        <v>0</v>
      </c>
      <c r="J576" s="9">
        <v>46122</v>
      </c>
    </row>
    <row r="577" spans="1:11" ht="15" hidden="1" customHeight="1" x14ac:dyDescent="0.3">
      <c r="A577" s="30" t="s">
        <v>48</v>
      </c>
      <c r="B577" s="31" t="s">
        <v>793</v>
      </c>
      <c r="C577" s="32" t="s">
        <v>780</v>
      </c>
      <c r="D577" s="33"/>
      <c r="E577" s="29">
        <v>3045000</v>
      </c>
      <c r="F577" s="34">
        <f t="shared" si="39"/>
        <v>243600</v>
      </c>
      <c r="G577" s="37">
        <f t="shared" si="41"/>
        <v>3288600</v>
      </c>
      <c r="H577" s="35">
        <v>3288600</v>
      </c>
      <c r="I577" s="36">
        <f t="shared" si="40"/>
        <v>0</v>
      </c>
      <c r="J577" s="9">
        <v>46122</v>
      </c>
    </row>
    <row r="578" spans="1:11" ht="15" hidden="1" customHeight="1" x14ac:dyDescent="0.3">
      <c r="A578" s="30" t="s">
        <v>32</v>
      </c>
      <c r="B578" s="31" t="s">
        <v>793</v>
      </c>
      <c r="C578" s="32" t="s">
        <v>781</v>
      </c>
      <c r="D578" s="33"/>
      <c r="E578" s="29">
        <v>26980000</v>
      </c>
      <c r="F578" s="34">
        <f t="shared" si="39"/>
        <v>2158400</v>
      </c>
      <c r="G578" s="37">
        <f t="shared" si="41"/>
        <v>29138400</v>
      </c>
      <c r="H578" s="35">
        <v>29138400</v>
      </c>
      <c r="I578" s="36">
        <f t="shared" si="40"/>
        <v>0</v>
      </c>
      <c r="J578" s="9">
        <v>46122</v>
      </c>
    </row>
    <row r="579" spans="1:11" ht="15" hidden="1" customHeight="1" x14ac:dyDescent="0.3">
      <c r="A579" s="30" t="s">
        <v>45</v>
      </c>
      <c r="B579" s="31" t="s">
        <v>793</v>
      </c>
      <c r="C579" s="32" t="s">
        <v>782</v>
      </c>
      <c r="D579" s="33"/>
      <c r="E579" s="29">
        <v>6780000</v>
      </c>
      <c r="F579" s="34">
        <f t="shared" si="39"/>
        <v>542400</v>
      </c>
      <c r="G579" s="37">
        <f t="shared" si="41"/>
        <v>7322400</v>
      </c>
      <c r="H579" s="35">
        <v>7322400</v>
      </c>
      <c r="I579" s="36">
        <f t="shared" si="40"/>
        <v>0</v>
      </c>
      <c r="J579" s="9">
        <v>46122</v>
      </c>
      <c r="K579" s="2" t="s">
        <v>1233</v>
      </c>
    </row>
    <row r="580" spans="1:11" ht="15" hidden="1" customHeight="1" x14ac:dyDescent="0.3">
      <c r="A580" s="30" t="s">
        <v>23</v>
      </c>
      <c r="B580" s="31" t="s">
        <v>793</v>
      </c>
      <c r="C580" s="32" t="s">
        <v>783</v>
      </c>
      <c r="D580" s="33"/>
      <c r="E580" s="29">
        <v>196730000</v>
      </c>
      <c r="F580" s="34">
        <f t="shared" si="39"/>
        <v>15738400</v>
      </c>
      <c r="G580" s="37">
        <f t="shared" si="41"/>
        <v>212468400</v>
      </c>
      <c r="H580" s="35">
        <v>212468400</v>
      </c>
      <c r="I580" s="36">
        <f t="shared" si="40"/>
        <v>0</v>
      </c>
      <c r="J580" s="9">
        <v>46122</v>
      </c>
    </row>
    <row r="581" spans="1:11" ht="15" hidden="1" customHeight="1" x14ac:dyDescent="0.3">
      <c r="A581" s="30" t="s">
        <v>19</v>
      </c>
      <c r="B581" s="31" t="s">
        <v>793</v>
      </c>
      <c r="C581" s="32" t="s">
        <v>784</v>
      </c>
      <c r="D581" s="33"/>
      <c r="E581" s="29">
        <v>1040000</v>
      </c>
      <c r="F581" s="34">
        <f t="shared" si="39"/>
        <v>83200</v>
      </c>
      <c r="G581" s="37">
        <f t="shared" si="41"/>
        <v>1123200</v>
      </c>
      <c r="H581" s="35">
        <v>1123200</v>
      </c>
      <c r="I581" s="36">
        <f t="shared" si="40"/>
        <v>0</v>
      </c>
      <c r="J581" s="9">
        <v>46122</v>
      </c>
    </row>
    <row r="582" spans="1:11" ht="15" hidden="1" customHeight="1" x14ac:dyDescent="0.3">
      <c r="A582" s="30" t="s">
        <v>25</v>
      </c>
      <c r="B582" s="31" t="s">
        <v>794</v>
      </c>
      <c r="C582" s="32" t="s">
        <v>785</v>
      </c>
      <c r="D582" s="33"/>
      <c r="E582" s="29">
        <v>37620000</v>
      </c>
      <c r="F582" s="34">
        <f t="shared" si="39"/>
        <v>3009600</v>
      </c>
      <c r="G582" s="37">
        <f t="shared" si="41"/>
        <v>40629600</v>
      </c>
      <c r="H582" s="35">
        <v>40629600</v>
      </c>
      <c r="I582" s="36">
        <f t="shared" si="40"/>
        <v>0</v>
      </c>
      <c r="J582" s="9">
        <v>46122</v>
      </c>
    </row>
    <row r="583" spans="1:11" ht="15" hidden="1" customHeight="1" x14ac:dyDescent="0.3">
      <c r="A583" s="30" t="s">
        <v>17</v>
      </c>
      <c r="B583" s="31" t="s">
        <v>794</v>
      </c>
      <c r="C583" s="32" t="s">
        <v>786</v>
      </c>
      <c r="D583" s="33"/>
      <c r="E583" s="29">
        <v>88912000</v>
      </c>
      <c r="F583" s="34">
        <f t="shared" ref="F583:F642" si="42">+E583*0.08</f>
        <v>7112960</v>
      </c>
      <c r="G583" s="37">
        <f t="shared" si="41"/>
        <v>96024960</v>
      </c>
      <c r="H583" s="35">
        <v>96024960</v>
      </c>
      <c r="I583" s="36">
        <f t="shared" si="40"/>
        <v>0</v>
      </c>
      <c r="J583" s="9">
        <v>46122</v>
      </c>
    </row>
    <row r="584" spans="1:11" ht="15" hidden="1" customHeight="1" x14ac:dyDescent="0.3">
      <c r="A584" s="30" t="s">
        <v>18</v>
      </c>
      <c r="B584" s="31" t="s">
        <v>822</v>
      </c>
      <c r="C584" s="32" t="s">
        <v>803</v>
      </c>
      <c r="D584" s="33"/>
      <c r="E584" s="29">
        <v>6512000</v>
      </c>
      <c r="F584" s="34">
        <f t="shared" si="42"/>
        <v>520960</v>
      </c>
      <c r="G584" s="37">
        <f t="shared" si="41"/>
        <v>7032960</v>
      </c>
      <c r="H584" s="35">
        <v>7032960</v>
      </c>
      <c r="I584" s="36">
        <f t="shared" si="40"/>
        <v>0</v>
      </c>
      <c r="J584" s="9">
        <v>46122</v>
      </c>
    </row>
    <row r="585" spans="1:11" ht="15" hidden="1" customHeight="1" x14ac:dyDescent="0.3">
      <c r="A585" s="30" t="s">
        <v>32</v>
      </c>
      <c r="B585" s="31" t="s">
        <v>823</v>
      </c>
      <c r="C585" s="32" t="s">
        <v>804</v>
      </c>
      <c r="D585" s="33"/>
      <c r="E585" s="29">
        <v>31363000</v>
      </c>
      <c r="F585" s="34">
        <f t="shared" si="42"/>
        <v>2509040</v>
      </c>
      <c r="G585" s="37">
        <f t="shared" si="41"/>
        <v>33872040</v>
      </c>
      <c r="H585" s="35">
        <v>33872040</v>
      </c>
      <c r="I585" s="36">
        <f t="shared" si="40"/>
        <v>0</v>
      </c>
      <c r="J585" s="9">
        <v>46122</v>
      </c>
    </row>
    <row r="586" spans="1:11" ht="15" hidden="1" customHeight="1" x14ac:dyDescent="0.3">
      <c r="A586" s="30" t="s">
        <v>26</v>
      </c>
      <c r="B586" s="31" t="s">
        <v>823</v>
      </c>
      <c r="C586" s="32" t="s">
        <v>805</v>
      </c>
      <c r="D586" s="33"/>
      <c r="E586" s="29">
        <v>3665000</v>
      </c>
      <c r="F586" s="34">
        <f t="shared" si="42"/>
        <v>293200</v>
      </c>
      <c r="G586" s="37">
        <f>+F586+E586</f>
        <v>3958200</v>
      </c>
      <c r="H586" s="35">
        <v>3958200</v>
      </c>
      <c r="I586" s="36">
        <f t="shared" si="40"/>
        <v>0</v>
      </c>
      <c r="J586" s="9">
        <v>46122</v>
      </c>
    </row>
    <row r="587" spans="1:11" ht="15" hidden="1" customHeight="1" x14ac:dyDescent="0.3">
      <c r="A587" s="30" t="s">
        <v>45</v>
      </c>
      <c r="B587" s="31" t="s">
        <v>823</v>
      </c>
      <c r="C587" s="32" t="s">
        <v>806</v>
      </c>
      <c r="D587" s="33"/>
      <c r="E587" s="29">
        <v>24525000</v>
      </c>
      <c r="F587" s="34">
        <f t="shared" si="42"/>
        <v>1962000</v>
      </c>
      <c r="G587" s="37">
        <f t="shared" si="41"/>
        <v>26487000</v>
      </c>
      <c r="H587" s="35">
        <v>26487000</v>
      </c>
      <c r="I587" s="36">
        <f t="shared" si="40"/>
        <v>0</v>
      </c>
      <c r="J587" s="9">
        <v>46122</v>
      </c>
      <c r="K587" s="2" t="s">
        <v>1233</v>
      </c>
    </row>
    <row r="588" spans="1:11" ht="15" hidden="1" customHeight="1" x14ac:dyDescent="0.3">
      <c r="A588" s="30" t="s">
        <v>27</v>
      </c>
      <c r="B588" s="31">
        <v>46034</v>
      </c>
      <c r="C588" s="33" t="s">
        <v>807</v>
      </c>
      <c r="D588" s="32" t="s">
        <v>853</v>
      </c>
      <c r="E588" s="29">
        <v>49808000</v>
      </c>
      <c r="F588" s="34">
        <f t="shared" si="42"/>
        <v>3984640</v>
      </c>
      <c r="G588" s="37">
        <f t="shared" si="41"/>
        <v>53792640</v>
      </c>
      <c r="H588" s="35">
        <v>53792640</v>
      </c>
      <c r="I588" s="36">
        <f t="shared" si="40"/>
        <v>0</v>
      </c>
      <c r="J588" s="9">
        <v>46122</v>
      </c>
    </row>
    <row r="589" spans="1:11" ht="15" hidden="1" customHeight="1" x14ac:dyDescent="0.3">
      <c r="A589" s="30" t="s">
        <v>19</v>
      </c>
      <c r="B589" s="31" t="s">
        <v>823</v>
      </c>
      <c r="C589" s="32" t="s">
        <v>808</v>
      </c>
      <c r="D589" s="33"/>
      <c r="E589" s="29">
        <v>4272000</v>
      </c>
      <c r="F589" s="34">
        <f t="shared" si="42"/>
        <v>341760</v>
      </c>
      <c r="G589" s="37">
        <f t="shared" si="41"/>
        <v>4613760</v>
      </c>
      <c r="H589" s="35">
        <v>4613760</v>
      </c>
      <c r="I589" s="36">
        <f t="shared" si="40"/>
        <v>0</v>
      </c>
      <c r="J589" s="9">
        <v>46122</v>
      </c>
    </row>
    <row r="590" spans="1:11" ht="15" hidden="1" customHeight="1" x14ac:dyDescent="0.3">
      <c r="A590" s="30" t="s">
        <v>20</v>
      </c>
      <c r="B590" s="31" t="s">
        <v>823</v>
      </c>
      <c r="C590" s="32" t="s">
        <v>809</v>
      </c>
      <c r="D590" s="33"/>
      <c r="E590" s="29">
        <v>3915000</v>
      </c>
      <c r="F590" s="34">
        <f t="shared" si="42"/>
        <v>313200</v>
      </c>
      <c r="G590" s="37">
        <f t="shared" si="41"/>
        <v>4228200</v>
      </c>
      <c r="H590" s="35">
        <v>4228200</v>
      </c>
      <c r="I590" s="36">
        <f t="shared" si="40"/>
        <v>0</v>
      </c>
      <c r="J590" s="9">
        <v>46122</v>
      </c>
    </row>
    <row r="591" spans="1:11" ht="15" hidden="1" customHeight="1" x14ac:dyDescent="0.3">
      <c r="A591" s="30" t="s">
        <v>17</v>
      </c>
      <c r="B591" s="31" t="s">
        <v>823</v>
      </c>
      <c r="C591" s="32" t="s">
        <v>810</v>
      </c>
      <c r="D591" s="33"/>
      <c r="E591" s="29">
        <v>7350000</v>
      </c>
      <c r="F591" s="34">
        <f t="shared" si="42"/>
        <v>588000</v>
      </c>
      <c r="G591" s="37">
        <f t="shared" si="41"/>
        <v>7938000</v>
      </c>
      <c r="H591" s="35">
        <v>7938000</v>
      </c>
      <c r="I591" s="36">
        <f t="shared" si="40"/>
        <v>0</v>
      </c>
      <c r="J591" s="9">
        <v>46122</v>
      </c>
    </row>
    <row r="592" spans="1:11" ht="15" hidden="1" customHeight="1" x14ac:dyDescent="0.3">
      <c r="A592" s="30" t="s">
        <v>23</v>
      </c>
      <c r="B592" s="31" t="s">
        <v>823</v>
      </c>
      <c r="C592" s="32" t="s">
        <v>811</v>
      </c>
      <c r="D592" s="33"/>
      <c r="E592" s="29">
        <v>10090000</v>
      </c>
      <c r="F592" s="34">
        <f t="shared" si="42"/>
        <v>807200</v>
      </c>
      <c r="G592" s="37">
        <f t="shared" si="41"/>
        <v>10897200</v>
      </c>
      <c r="H592" s="35">
        <v>10897200</v>
      </c>
      <c r="I592" s="36">
        <f t="shared" si="40"/>
        <v>0</v>
      </c>
      <c r="J592" s="9">
        <v>46122</v>
      </c>
    </row>
    <row r="593" spans="1:10" ht="15" hidden="1" customHeight="1" x14ac:dyDescent="0.3">
      <c r="A593" s="30" t="s">
        <v>48</v>
      </c>
      <c r="B593" s="31" t="s">
        <v>824</v>
      </c>
      <c r="C593" s="32" t="s">
        <v>812</v>
      </c>
      <c r="D593" s="33"/>
      <c r="E593" s="29">
        <v>5010000</v>
      </c>
      <c r="F593" s="34">
        <f t="shared" si="42"/>
        <v>400800</v>
      </c>
      <c r="G593" s="37">
        <f t="shared" si="41"/>
        <v>5410800</v>
      </c>
      <c r="H593" s="35">
        <v>5410800</v>
      </c>
      <c r="I593" s="36">
        <f t="shared" si="40"/>
        <v>0</v>
      </c>
      <c r="J593" s="9">
        <v>46122</v>
      </c>
    </row>
    <row r="594" spans="1:10" ht="15" hidden="1" customHeight="1" x14ac:dyDescent="0.3">
      <c r="A594" s="30" t="s">
        <v>22</v>
      </c>
      <c r="B594" s="31" t="s">
        <v>824</v>
      </c>
      <c r="C594" s="32" t="s">
        <v>813</v>
      </c>
      <c r="D594" s="33"/>
      <c r="E594" s="29">
        <v>3665000</v>
      </c>
      <c r="F594" s="34">
        <f t="shared" si="42"/>
        <v>293200</v>
      </c>
      <c r="G594" s="37">
        <f t="shared" si="41"/>
        <v>3958200</v>
      </c>
      <c r="H594" s="35">
        <v>3958200</v>
      </c>
      <c r="I594" s="36">
        <f t="shared" si="40"/>
        <v>0</v>
      </c>
      <c r="J594" s="9">
        <v>46122</v>
      </c>
    </row>
    <row r="595" spans="1:10" ht="15" hidden="1" customHeight="1" x14ac:dyDescent="0.3">
      <c r="A595" s="30" t="s">
        <v>28</v>
      </c>
      <c r="B595" s="31">
        <v>46045</v>
      </c>
      <c r="C595" s="33" t="s">
        <v>814</v>
      </c>
      <c r="D595" s="32" t="s">
        <v>953</v>
      </c>
      <c r="E595" s="29">
        <v>24152000</v>
      </c>
      <c r="F595" s="34">
        <f t="shared" si="42"/>
        <v>1932160</v>
      </c>
      <c r="G595" s="37">
        <f t="shared" si="41"/>
        <v>26084160</v>
      </c>
      <c r="H595" s="35">
        <v>26084160</v>
      </c>
      <c r="I595" s="36">
        <f t="shared" si="40"/>
        <v>0</v>
      </c>
      <c r="J595" s="9">
        <v>46122</v>
      </c>
    </row>
    <row r="596" spans="1:10" ht="15" hidden="1" customHeight="1" x14ac:dyDescent="0.3">
      <c r="A596" s="30" t="s">
        <v>25</v>
      </c>
      <c r="B596" s="31" t="s">
        <v>824</v>
      </c>
      <c r="C596" s="32" t="s">
        <v>815</v>
      </c>
      <c r="D596" s="33"/>
      <c r="E596" s="29">
        <v>22340000</v>
      </c>
      <c r="F596" s="34">
        <f t="shared" si="42"/>
        <v>1787200</v>
      </c>
      <c r="G596" s="37">
        <f t="shared" si="41"/>
        <v>24127200</v>
      </c>
      <c r="H596" s="35">
        <v>24127200</v>
      </c>
      <c r="I596" s="36">
        <f t="shared" si="40"/>
        <v>0</v>
      </c>
      <c r="J596" s="9">
        <v>46122</v>
      </c>
    </row>
    <row r="597" spans="1:10" ht="15" hidden="1" customHeight="1" x14ac:dyDescent="0.3">
      <c r="A597" s="30" t="s">
        <v>23</v>
      </c>
      <c r="B597" s="31" t="s">
        <v>824</v>
      </c>
      <c r="C597" s="32" t="s">
        <v>816</v>
      </c>
      <c r="D597" s="33"/>
      <c r="E597" s="29">
        <v>7550000</v>
      </c>
      <c r="F597" s="34">
        <f t="shared" si="42"/>
        <v>604000</v>
      </c>
      <c r="G597" s="37">
        <f t="shared" si="41"/>
        <v>8154000</v>
      </c>
      <c r="H597" s="35">
        <v>8154000</v>
      </c>
      <c r="I597" s="36">
        <f t="shared" si="40"/>
        <v>0</v>
      </c>
      <c r="J597" s="9">
        <v>46122</v>
      </c>
    </row>
    <row r="598" spans="1:10" ht="15" hidden="1" customHeight="1" x14ac:dyDescent="0.3">
      <c r="A598" s="30" t="s">
        <v>21</v>
      </c>
      <c r="B598" s="31" t="s">
        <v>824</v>
      </c>
      <c r="C598" s="32" t="s">
        <v>817</v>
      </c>
      <c r="D598" s="33"/>
      <c r="E598" s="29">
        <v>3585000</v>
      </c>
      <c r="F598" s="34">
        <f t="shared" si="42"/>
        <v>286800</v>
      </c>
      <c r="G598" s="37">
        <f t="shared" si="41"/>
        <v>3871800</v>
      </c>
      <c r="H598" s="35">
        <v>3871800</v>
      </c>
      <c r="I598" s="36">
        <f t="shared" si="40"/>
        <v>0</v>
      </c>
      <c r="J598" s="9">
        <v>46122</v>
      </c>
    </row>
    <row r="599" spans="1:10" ht="15" hidden="1" customHeight="1" x14ac:dyDescent="0.3">
      <c r="A599" s="30" t="s">
        <v>17</v>
      </c>
      <c r="B599" s="31" t="s">
        <v>824</v>
      </c>
      <c r="C599" s="32" t="s">
        <v>818</v>
      </c>
      <c r="D599" s="33"/>
      <c r="E599" s="29">
        <v>54843000</v>
      </c>
      <c r="F599" s="34">
        <f t="shared" si="42"/>
        <v>4387440</v>
      </c>
      <c r="G599" s="37">
        <f t="shared" si="41"/>
        <v>59230440</v>
      </c>
      <c r="H599" s="35">
        <v>59230440</v>
      </c>
      <c r="I599" s="36">
        <f t="shared" si="40"/>
        <v>0</v>
      </c>
      <c r="J599" s="9">
        <v>46122</v>
      </c>
    </row>
    <row r="600" spans="1:10" ht="15" hidden="1" customHeight="1" x14ac:dyDescent="0.3">
      <c r="A600" s="30" t="s">
        <v>18</v>
      </c>
      <c r="B600" s="31">
        <v>46048</v>
      </c>
      <c r="C600" s="33" t="s">
        <v>819</v>
      </c>
      <c r="D600" s="32" t="s">
        <v>954</v>
      </c>
      <c r="E600" s="29">
        <v>3312000</v>
      </c>
      <c r="F600" s="34">
        <f t="shared" si="42"/>
        <v>264960</v>
      </c>
      <c r="G600" s="37">
        <f t="shared" si="41"/>
        <v>3576960</v>
      </c>
      <c r="H600" s="35">
        <v>3576960</v>
      </c>
      <c r="I600" s="36">
        <f t="shared" si="40"/>
        <v>0</v>
      </c>
      <c r="J600" s="9">
        <v>46122</v>
      </c>
    </row>
    <row r="601" spans="1:10" ht="15" hidden="1" customHeight="1" x14ac:dyDescent="0.3">
      <c r="A601" s="30" t="s">
        <v>26</v>
      </c>
      <c r="B601" s="31" t="s">
        <v>825</v>
      </c>
      <c r="C601" s="32" t="s">
        <v>820</v>
      </c>
      <c r="D601" s="33"/>
      <c r="E601" s="29">
        <v>7460000</v>
      </c>
      <c r="F601" s="34">
        <f t="shared" si="42"/>
        <v>596800</v>
      </c>
      <c r="G601" s="37">
        <f t="shared" si="41"/>
        <v>8056800</v>
      </c>
      <c r="H601" s="35">
        <v>8056800</v>
      </c>
      <c r="I601" s="36">
        <f t="shared" si="40"/>
        <v>0</v>
      </c>
      <c r="J601" s="9">
        <v>46122</v>
      </c>
    </row>
    <row r="602" spans="1:10" ht="15" hidden="1" customHeight="1" x14ac:dyDescent="0.3">
      <c r="A602" s="30" t="s">
        <v>25</v>
      </c>
      <c r="B602" s="31" t="s">
        <v>826</v>
      </c>
      <c r="C602" s="32" t="s">
        <v>821</v>
      </c>
      <c r="D602" s="33"/>
      <c r="E602" s="29">
        <v>12906000</v>
      </c>
      <c r="F602" s="34">
        <f t="shared" si="42"/>
        <v>1032480</v>
      </c>
      <c r="G602" s="37">
        <f t="shared" si="41"/>
        <v>13938480</v>
      </c>
      <c r="H602" s="35">
        <v>13938480</v>
      </c>
      <c r="I602" s="36">
        <f t="shared" si="40"/>
        <v>0</v>
      </c>
      <c r="J602" s="9">
        <v>46122</v>
      </c>
    </row>
    <row r="603" spans="1:10" ht="15" hidden="1" customHeight="1" x14ac:dyDescent="0.3">
      <c r="A603" s="30" t="s">
        <v>18</v>
      </c>
      <c r="B603" s="31">
        <v>46031</v>
      </c>
      <c r="C603" s="32" t="s">
        <v>832</v>
      </c>
      <c r="D603" s="33"/>
      <c r="E603" s="29">
        <v>2205000</v>
      </c>
      <c r="F603" s="34">
        <f t="shared" si="42"/>
        <v>176400</v>
      </c>
      <c r="G603" s="37">
        <f t="shared" si="41"/>
        <v>2381400</v>
      </c>
      <c r="H603" s="35">
        <v>2381400</v>
      </c>
      <c r="I603" s="36">
        <f t="shared" si="40"/>
        <v>0</v>
      </c>
      <c r="J603" s="9">
        <v>46122</v>
      </c>
    </row>
    <row r="604" spans="1:10" ht="15" hidden="1" customHeight="1" x14ac:dyDescent="0.3">
      <c r="A604" s="30" t="s">
        <v>25</v>
      </c>
      <c r="B604" s="31">
        <v>46031</v>
      </c>
      <c r="C604" s="32" t="s">
        <v>833</v>
      </c>
      <c r="D604" s="33"/>
      <c r="E604" s="29">
        <v>2010000</v>
      </c>
      <c r="F604" s="34">
        <f t="shared" si="42"/>
        <v>160800</v>
      </c>
      <c r="G604" s="37">
        <f t="shared" si="41"/>
        <v>2170800</v>
      </c>
      <c r="H604" s="35">
        <v>2170800</v>
      </c>
      <c r="I604" s="36">
        <f t="shared" si="40"/>
        <v>0</v>
      </c>
      <c r="J604" s="9">
        <v>46141</v>
      </c>
    </row>
    <row r="605" spans="1:10" ht="15" hidden="1" customHeight="1" x14ac:dyDescent="0.3">
      <c r="A605" s="30" t="s">
        <v>20</v>
      </c>
      <c r="B605" s="31">
        <v>46031</v>
      </c>
      <c r="C605" s="32" t="s">
        <v>834</v>
      </c>
      <c r="D605" s="33"/>
      <c r="E605" s="29">
        <v>3080000</v>
      </c>
      <c r="F605" s="34">
        <f t="shared" si="42"/>
        <v>246400</v>
      </c>
      <c r="G605" s="37">
        <f t="shared" si="41"/>
        <v>3326400</v>
      </c>
      <c r="H605" s="35">
        <v>3326400</v>
      </c>
      <c r="I605" s="36">
        <f t="shared" si="40"/>
        <v>0</v>
      </c>
      <c r="J605" s="9">
        <v>46122</v>
      </c>
    </row>
    <row r="606" spans="1:10" ht="15" hidden="1" customHeight="1" x14ac:dyDescent="0.3">
      <c r="A606" s="30" t="s">
        <v>32</v>
      </c>
      <c r="B606" s="31">
        <v>46032</v>
      </c>
      <c r="C606" s="32" t="s">
        <v>835</v>
      </c>
      <c r="D606" s="33"/>
      <c r="E606" s="29">
        <v>72982000</v>
      </c>
      <c r="F606" s="34">
        <f t="shared" si="42"/>
        <v>5838560</v>
      </c>
      <c r="G606" s="37">
        <f t="shared" si="41"/>
        <v>78820560</v>
      </c>
      <c r="H606" s="35">
        <v>78820560</v>
      </c>
      <c r="I606" s="36">
        <f t="shared" si="40"/>
        <v>0</v>
      </c>
      <c r="J606" s="9">
        <v>46122</v>
      </c>
    </row>
    <row r="607" spans="1:10" ht="15" hidden="1" customHeight="1" x14ac:dyDescent="0.3">
      <c r="A607" s="30" t="s">
        <v>18</v>
      </c>
      <c r="B607" s="31">
        <v>46034</v>
      </c>
      <c r="C607" s="32" t="s">
        <v>836</v>
      </c>
      <c r="D607" s="33"/>
      <c r="E607" s="29">
        <v>5520000</v>
      </c>
      <c r="F607" s="34">
        <f t="shared" si="42"/>
        <v>441600</v>
      </c>
      <c r="G607" s="37">
        <f t="shared" si="41"/>
        <v>5961600</v>
      </c>
      <c r="H607" s="35">
        <v>5961600</v>
      </c>
      <c r="I607" s="36">
        <f t="shared" si="40"/>
        <v>0</v>
      </c>
      <c r="J607" s="9">
        <v>46122</v>
      </c>
    </row>
    <row r="608" spans="1:10" ht="15" hidden="1" customHeight="1" x14ac:dyDescent="0.3">
      <c r="A608" s="30" t="s">
        <v>32</v>
      </c>
      <c r="B608" s="31">
        <v>46035</v>
      </c>
      <c r="C608" s="32" t="s">
        <v>837</v>
      </c>
      <c r="D608" s="33"/>
      <c r="E608" s="29">
        <v>25726000</v>
      </c>
      <c r="F608" s="34">
        <f t="shared" si="42"/>
        <v>2058080</v>
      </c>
      <c r="G608" s="37">
        <f t="shared" si="41"/>
        <v>27784080</v>
      </c>
      <c r="H608" s="35">
        <v>27784080</v>
      </c>
      <c r="I608" s="36">
        <f t="shared" si="40"/>
        <v>0</v>
      </c>
      <c r="J608" s="9">
        <v>46122</v>
      </c>
    </row>
    <row r="609" spans="1:10" ht="15" hidden="1" customHeight="1" x14ac:dyDescent="0.3">
      <c r="A609" s="30" t="s">
        <v>25</v>
      </c>
      <c r="B609" s="31" t="s">
        <v>850</v>
      </c>
      <c r="C609" s="32" t="s">
        <v>838</v>
      </c>
      <c r="D609" s="33"/>
      <c r="E609" s="29">
        <v>2100000</v>
      </c>
      <c r="F609" s="34">
        <f t="shared" si="42"/>
        <v>168000</v>
      </c>
      <c r="G609" s="37">
        <f t="shared" si="41"/>
        <v>2268000</v>
      </c>
      <c r="H609" s="35">
        <v>2268000</v>
      </c>
      <c r="I609" s="36">
        <f t="shared" si="40"/>
        <v>0</v>
      </c>
      <c r="J609" s="9">
        <v>46122</v>
      </c>
    </row>
    <row r="610" spans="1:10" ht="15" hidden="1" customHeight="1" x14ac:dyDescent="0.3">
      <c r="A610" s="30" t="s">
        <v>20</v>
      </c>
      <c r="B610" s="31" t="s">
        <v>850</v>
      </c>
      <c r="C610" s="32" t="s">
        <v>839</v>
      </c>
      <c r="D610" s="33"/>
      <c r="E610" s="29">
        <v>15610000</v>
      </c>
      <c r="F610" s="34">
        <f t="shared" si="42"/>
        <v>1248800</v>
      </c>
      <c r="G610" s="37">
        <f t="shared" si="41"/>
        <v>16858800</v>
      </c>
      <c r="H610" s="35">
        <v>16858800</v>
      </c>
      <c r="I610" s="36">
        <f t="shared" si="40"/>
        <v>0</v>
      </c>
      <c r="J610" s="9">
        <v>46122</v>
      </c>
    </row>
    <row r="611" spans="1:10" ht="15" hidden="1" customHeight="1" x14ac:dyDescent="0.3">
      <c r="A611" s="30" t="s">
        <v>21</v>
      </c>
      <c r="B611" s="31" t="s">
        <v>850</v>
      </c>
      <c r="C611" s="32" t="s">
        <v>840</v>
      </c>
      <c r="D611" s="33"/>
      <c r="E611" s="29">
        <v>13926000</v>
      </c>
      <c r="F611" s="34">
        <f t="shared" si="42"/>
        <v>1114080</v>
      </c>
      <c r="G611" s="37">
        <f t="shared" si="41"/>
        <v>15040080</v>
      </c>
      <c r="H611" s="35">
        <v>15040080</v>
      </c>
      <c r="I611" s="36">
        <f t="shared" si="40"/>
        <v>0</v>
      </c>
      <c r="J611" s="9">
        <v>46122</v>
      </c>
    </row>
    <row r="612" spans="1:10" ht="15" hidden="1" customHeight="1" x14ac:dyDescent="0.3">
      <c r="A612" s="30" t="s">
        <v>19</v>
      </c>
      <c r="B612" s="31" t="s">
        <v>850</v>
      </c>
      <c r="C612" s="32" t="s">
        <v>841</v>
      </c>
      <c r="D612" s="33"/>
      <c r="E612" s="29">
        <v>4110000</v>
      </c>
      <c r="F612" s="34">
        <f t="shared" si="42"/>
        <v>328800</v>
      </c>
      <c r="G612" s="37">
        <f t="shared" si="41"/>
        <v>4438800</v>
      </c>
      <c r="H612" s="35">
        <v>4438800</v>
      </c>
      <c r="I612" s="36">
        <f t="shared" si="40"/>
        <v>0</v>
      </c>
      <c r="J612" s="9">
        <v>46122</v>
      </c>
    </row>
    <row r="613" spans="1:10" ht="15" hidden="1" customHeight="1" x14ac:dyDescent="0.3">
      <c r="A613" s="30" t="s">
        <v>23</v>
      </c>
      <c r="B613" s="31" t="s">
        <v>850</v>
      </c>
      <c r="C613" s="32" t="s">
        <v>842</v>
      </c>
      <c r="D613" s="33"/>
      <c r="E613" s="29">
        <v>21360000</v>
      </c>
      <c r="F613" s="34">
        <f t="shared" si="42"/>
        <v>1708800</v>
      </c>
      <c r="G613" s="37">
        <f t="shared" si="41"/>
        <v>23068800</v>
      </c>
      <c r="H613" s="35">
        <v>23068800</v>
      </c>
      <c r="I613" s="36">
        <f t="shared" si="40"/>
        <v>0</v>
      </c>
      <c r="J613" s="9">
        <v>46122</v>
      </c>
    </row>
    <row r="614" spans="1:10" ht="15" hidden="1" customHeight="1" x14ac:dyDescent="0.3">
      <c r="A614" s="30" t="s">
        <v>28</v>
      </c>
      <c r="B614" s="31" t="s">
        <v>850</v>
      </c>
      <c r="C614" s="32" t="s">
        <v>843</v>
      </c>
      <c r="D614" s="33"/>
      <c r="E614" s="29">
        <v>15953000</v>
      </c>
      <c r="F614" s="34">
        <f t="shared" si="42"/>
        <v>1276240</v>
      </c>
      <c r="G614" s="37">
        <f t="shared" si="41"/>
        <v>17229240</v>
      </c>
      <c r="H614" s="35">
        <v>17229240</v>
      </c>
      <c r="I614" s="36">
        <f t="shared" si="40"/>
        <v>0</v>
      </c>
      <c r="J614" s="9">
        <v>46122</v>
      </c>
    </row>
    <row r="615" spans="1:10" ht="15" hidden="1" customHeight="1" x14ac:dyDescent="0.3">
      <c r="A615" s="30" t="s">
        <v>27</v>
      </c>
      <c r="B615" s="31" t="s">
        <v>850</v>
      </c>
      <c r="C615" s="32" t="s">
        <v>844</v>
      </c>
      <c r="D615" s="33"/>
      <c r="E615" s="29">
        <v>36097000</v>
      </c>
      <c r="F615" s="34">
        <f t="shared" si="42"/>
        <v>2887760</v>
      </c>
      <c r="G615" s="37">
        <f t="shared" si="41"/>
        <v>38984760</v>
      </c>
      <c r="H615" s="35">
        <v>38984760</v>
      </c>
      <c r="I615" s="36">
        <f t="shared" si="40"/>
        <v>0</v>
      </c>
      <c r="J615" s="9">
        <v>46122</v>
      </c>
    </row>
    <row r="616" spans="1:10" ht="15" hidden="1" customHeight="1" x14ac:dyDescent="0.3">
      <c r="A616" s="30" t="s">
        <v>48</v>
      </c>
      <c r="B616" s="31" t="s">
        <v>850</v>
      </c>
      <c r="C616" s="32" t="s">
        <v>845</v>
      </c>
      <c r="D616" s="33"/>
      <c r="E616" s="29">
        <v>8730000</v>
      </c>
      <c r="F616" s="34">
        <f t="shared" si="42"/>
        <v>698400</v>
      </c>
      <c r="G616" s="37">
        <f t="shared" si="41"/>
        <v>9428400</v>
      </c>
      <c r="H616" s="35">
        <v>9428400</v>
      </c>
      <c r="I616" s="36">
        <f t="shared" si="40"/>
        <v>0</v>
      </c>
      <c r="J616" s="9">
        <v>46122</v>
      </c>
    </row>
    <row r="617" spans="1:10" ht="15" hidden="1" customHeight="1" x14ac:dyDescent="0.3">
      <c r="A617" s="30" t="s">
        <v>26</v>
      </c>
      <c r="B617" s="31" t="s">
        <v>850</v>
      </c>
      <c r="C617" s="32" t="s">
        <v>846</v>
      </c>
      <c r="D617" s="33"/>
      <c r="E617" s="29">
        <v>6570000</v>
      </c>
      <c r="F617" s="34">
        <f t="shared" si="42"/>
        <v>525600</v>
      </c>
      <c r="G617" s="37">
        <f t="shared" si="41"/>
        <v>7095600</v>
      </c>
      <c r="H617" s="35">
        <v>7095600</v>
      </c>
      <c r="I617" s="36">
        <f t="shared" si="40"/>
        <v>0</v>
      </c>
      <c r="J617" s="9">
        <v>46122</v>
      </c>
    </row>
    <row r="618" spans="1:10" ht="15" hidden="1" customHeight="1" x14ac:dyDescent="0.3">
      <c r="A618" s="30" t="s">
        <v>19</v>
      </c>
      <c r="B618" s="31" t="s">
        <v>850</v>
      </c>
      <c r="C618" s="32" t="s">
        <v>847</v>
      </c>
      <c r="D618" s="33"/>
      <c r="E618" s="29">
        <v>18780000</v>
      </c>
      <c r="F618" s="34">
        <f t="shared" si="42"/>
        <v>1502400</v>
      </c>
      <c r="G618" s="37">
        <f t="shared" si="41"/>
        <v>20282400</v>
      </c>
      <c r="H618" s="35">
        <v>20282400</v>
      </c>
      <c r="I618" s="36">
        <f t="shared" ref="I618:I677" si="43">G618-H618</f>
        <v>0</v>
      </c>
      <c r="J618" s="9">
        <v>46122</v>
      </c>
    </row>
    <row r="619" spans="1:10" ht="15" hidden="1" customHeight="1" x14ac:dyDescent="0.3">
      <c r="A619" s="30" t="s">
        <v>23</v>
      </c>
      <c r="B619" s="31" t="s">
        <v>851</v>
      </c>
      <c r="C619" s="32" t="s">
        <v>848</v>
      </c>
      <c r="D619" s="33"/>
      <c r="E619" s="29">
        <v>71830000</v>
      </c>
      <c r="F619" s="34">
        <f t="shared" si="42"/>
        <v>5746400</v>
      </c>
      <c r="G619" s="37">
        <f t="shared" si="41"/>
        <v>77576400</v>
      </c>
      <c r="H619" s="35">
        <v>77576400</v>
      </c>
      <c r="I619" s="36">
        <f t="shared" si="43"/>
        <v>0</v>
      </c>
      <c r="J619" s="9">
        <v>46122</v>
      </c>
    </row>
    <row r="620" spans="1:10" ht="15" hidden="1" customHeight="1" x14ac:dyDescent="0.3">
      <c r="A620" s="30" t="s">
        <v>23</v>
      </c>
      <c r="B620" s="31" t="s">
        <v>851</v>
      </c>
      <c r="C620" s="32" t="s">
        <v>849</v>
      </c>
      <c r="D620" s="33"/>
      <c r="E620" s="29">
        <v>18750000</v>
      </c>
      <c r="F620" s="34">
        <f t="shared" si="42"/>
        <v>1500000</v>
      </c>
      <c r="G620" s="37">
        <f t="shared" si="41"/>
        <v>20250000</v>
      </c>
      <c r="H620" s="35">
        <v>20250000</v>
      </c>
      <c r="I620" s="36">
        <f t="shared" si="43"/>
        <v>0</v>
      </c>
      <c r="J620" s="9">
        <v>46122</v>
      </c>
    </row>
    <row r="621" spans="1:10" ht="15" hidden="1" customHeight="1" x14ac:dyDescent="0.3">
      <c r="A621" s="30" t="s">
        <v>30</v>
      </c>
      <c r="B621" s="31" t="s">
        <v>905</v>
      </c>
      <c r="C621" s="33" t="s">
        <v>857</v>
      </c>
      <c r="D621" s="33"/>
      <c r="E621" s="29">
        <v>0</v>
      </c>
      <c r="F621" s="34">
        <f t="shared" si="42"/>
        <v>0</v>
      </c>
      <c r="G621" s="37">
        <f t="shared" si="41"/>
        <v>0</v>
      </c>
      <c r="H621" s="35"/>
      <c r="I621" s="36">
        <f t="shared" si="43"/>
        <v>0</v>
      </c>
    </row>
    <row r="622" spans="1:10" ht="15" hidden="1" customHeight="1" x14ac:dyDescent="0.3">
      <c r="A622" s="30" t="s">
        <v>27</v>
      </c>
      <c r="B622" s="31" t="s">
        <v>905</v>
      </c>
      <c r="C622" s="32" t="s">
        <v>858</v>
      </c>
      <c r="D622" s="33"/>
      <c r="E622" s="29">
        <v>37326000</v>
      </c>
      <c r="F622" s="34">
        <f t="shared" si="42"/>
        <v>2986080</v>
      </c>
      <c r="G622" s="37">
        <f t="shared" si="41"/>
        <v>40312080</v>
      </c>
      <c r="H622" s="35">
        <v>40312080</v>
      </c>
      <c r="I622" s="36">
        <f t="shared" si="43"/>
        <v>0</v>
      </c>
      <c r="J622" s="9">
        <v>46122</v>
      </c>
    </row>
    <row r="623" spans="1:10" ht="15" hidden="1" customHeight="1" x14ac:dyDescent="0.3">
      <c r="A623" s="30" t="s">
        <v>22</v>
      </c>
      <c r="B623" s="31" t="s">
        <v>905</v>
      </c>
      <c r="C623" s="32" t="s">
        <v>859</v>
      </c>
      <c r="D623" s="33"/>
      <c r="E623" s="29">
        <v>5056000</v>
      </c>
      <c r="F623" s="34">
        <f t="shared" si="42"/>
        <v>404480</v>
      </c>
      <c r="G623" s="37">
        <f t="shared" ref="G623:G683" si="44">+F623+E623</f>
        <v>5460480</v>
      </c>
      <c r="H623" s="35">
        <v>5460480</v>
      </c>
      <c r="I623" s="36">
        <f t="shared" si="43"/>
        <v>0</v>
      </c>
      <c r="J623" s="9">
        <v>46122</v>
      </c>
    </row>
    <row r="624" spans="1:10" ht="15" hidden="1" customHeight="1" x14ac:dyDescent="0.3">
      <c r="A624" s="30" t="s">
        <v>25</v>
      </c>
      <c r="B624" s="31" t="s">
        <v>906</v>
      </c>
      <c r="C624" s="32" t="s">
        <v>860</v>
      </c>
      <c r="D624" s="33"/>
      <c r="E624" s="29">
        <v>8910000</v>
      </c>
      <c r="F624" s="34">
        <f t="shared" si="42"/>
        <v>712800</v>
      </c>
      <c r="G624" s="37">
        <f t="shared" si="44"/>
        <v>9622800</v>
      </c>
      <c r="H624" s="35">
        <v>9622800</v>
      </c>
      <c r="I624" s="36">
        <f t="shared" si="43"/>
        <v>0</v>
      </c>
      <c r="J624" s="9">
        <v>46122</v>
      </c>
    </row>
    <row r="625" spans="1:11" ht="15" hidden="1" customHeight="1" x14ac:dyDescent="0.3">
      <c r="A625" s="30" t="s">
        <v>27</v>
      </c>
      <c r="B625" s="31" t="s">
        <v>906</v>
      </c>
      <c r="C625" s="32" t="s">
        <v>861</v>
      </c>
      <c r="D625" s="33"/>
      <c r="E625" s="29">
        <v>80356000</v>
      </c>
      <c r="F625" s="34">
        <f t="shared" si="42"/>
        <v>6428480</v>
      </c>
      <c r="G625" s="37">
        <f t="shared" si="44"/>
        <v>86784480</v>
      </c>
      <c r="H625" s="35">
        <v>86784480</v>
      </c>
      <c r="I625" s="36">
        <f t="shared" si="43"/>
        <v>0</v>
      </c>
      <c r="J625" s="9">
        <v>46122</v>
      </c>
    </row>
    <row r="626" spans="1:11" ht="15" hidden="1" customHeight="1" x14ac:dyDescent="0.3">
      <c r="A626" s="30" t="s">
        <v>25</v>
      </c>
      <c r="B626" s="31" t="s">
        <v>907</v>
      </c>
      <c r="C626" s="32" t="s">
        <v>862</v>
      </c>
      <c r="D626" s="33"/>
      <c r="E626" s="29">
        <v>3600000</v>
      </c>
      <c r="F626" s="34">
        <f t="shared" si="42"/>
        <v>288000</v>
      </c>
      <c r="G626" s="37">
        <f t="shared" si="44"/>
        <v>3888000</v>
      </c>
      <c r="H626" s="35">
        <v>3888000</v>
      </c>
      <c r="I626" s="36">
        <f t="shared" si="43"/>
        <v>0</v>
      </c>
      <c r="J626" s="9">
        <v>46122</v>
      </c>
    </row>
    <row r="627" spans="1:11" ht="15" hidden="1" customHeight="1" x14ac:dyDescent="0.3">
      <c r="A627" s="30" t="s">
        <v>45</v>
      </c>
      <c r="B627" s="31" t="s">
        <v>908</v>
      </c>
      <c r="C627" s="32" t="s">
        <v>863</v>
      </c>
      <c r="D627" s="33"/>
      <c r="E627" s="29">
        <v>5550000</v>
      </c>
      <c r="F627" s="34">
        <f t="shared" si="42"/>
        <v>444000</v>
      </c>
      <c r="G627" s="37">
        <f t="shared" si="44"/>
        <v>5994000</v>
      </c>
      <c r="H627" s="35">
        <v>5994000</v>
      </c>
      <c r="I627" s="36">
        <f t="shared" si="43"/>
        <v>0</v>
      </c>
      <c r="J627" s="9">
        <v>46122</v>
      </c>
      <c r="K627" s="2" t="s">
        <v>1233</v>
      </c>
    </row>
    <row r="628" spans="1:11" ht="15" hidden="1" customHeight="1" x14ac:dyDescent="0.3">
      <c r="A628" s="30" t="s">
        <v>19</v>
      </c>
      <c r="B628" s="31" t="s">
        <v>908</v>
      </c>
      <c r="C628" s="32" t="s">
        <v>864</v>
      </c>
      <c r="D628" s="33"/>
      <c r="E628" s="29">
        <v>10490000</v>
      </c>
      <c r="F628" s="34">
        <f t="shared" si="42"/>
        <v>839200</v>
      </c>
      <c r="G628" s="37">
        <f t="shared" si="44"/>
        <v>11329200</v>
      </c>
      <c r="H628" s="35">
        <v>11329200</v>
      </c>
      <c r="I628" s="36">
        <f t="shared" si="43"/>
        <v>0</v>
      </c>
      <c r="J628" s="9">
        <v>46122</v>
      </c>
    </row>
    <row r="629" spans="1:11" ht="15" hidden="1" customHeight="1" x14ac:dyDescent="0.3">
      <c r="A629" s="30" t="s">
        <v>21</v>
      </c>
      <c r="B629" s="31" t="s">
        <v>909</v>
      </c>
      <c r="C629" s="32" t="s">
        <v>865</v>
      </c>
      <c r="D629" s="33"/>
      <c r="E629" s="29">
        <v>3590000</v>
      </c>
      <c r="F629" s="34">
        <f t="shared" si="42"/>
        <v>287200</v>
      </c>
      <c r="G629" s="37">
        <f t="shared" si="44"/>
        <v>3877200</v>
      </c>
      <c r="H629" s="35">
        <v>3877200</v>
      </c>
      <c r="I629" s="36">
        <f t="shared" si="43"/>
        <v>0</v>
      </c>
      <c r="J629" s="9">
        <v>46122</v>
      </c>
    </row>
    <row r="630" spans="1:11" ht="15" hidden="1" customHeight="1" x14ac:dyDescent="0.3">
      <c r="A630" s="30" t="s">
        <v>23</v>
      </c>
      <c r="B630" s="31" t="s">
        <v>909</v>
      </c>
      <c r="C630" s="32" t="s">
        <v>866</v>
      </c>
      <c r="D630" s="33"/>
      <c r="E630" s="29">
        <v>7540000</v>
      </c>
      <c r="F630" s="34">
        <f t="shared" si="42"/>
        <v>603200</v>
      </c>
      <c r="G630" s="37">
        <f t="shared" si="44"/>
        <v>8143200</v>
      </c>
      <c r="H630" s="35">
        <v>8143200</v>
      </c>
      <c r="I630" s="36">
        <f t="shared" si="43"/>
        <v>0</v>
      </c>
      <c r="J630" s="9">
        <v>46122</v>
      </c>
    </row>
    <row r="631" spans="1:11" ht="15" hidden="1" customHeight="1" x14ac:dyDescent="0.3">
      <c r="A631" s="30" t="s">
        <v>32</v>
      </c>
      <c r="B631" s="31" t="s">
        <v>909</v>
      </c>
      <c r="C631" s="32" t="s">
        <v>867</v>
      </c>
      <c r="D631" s="33"/>
      <c r="E631" s="29">
        <v>17540000</v>
      </c>
      <c r="F631" s="34">
        <f t="shared" si="42"/>
        <v>1403200</v>
      </c>
      <c r="G631" s="37">
        <f t="shared" si="44"/>
        <v>18943200</v>
      </c>
      <c r="H631" s="37">
        <v>18943200</v>
      </c>
      <c r="I631" s="36">
        <f t="shared" si="43"/>
        <v>0</v>
      </c>
      <c r="J631" s="9">
        <v>46122</v>
      </c>
    </row>
    <row r="632" spans="1:11" ht="15" hidden="1" customHeight="1" x14ac:dyDescent="0.3">
      <c r="A632" s="30" t="s">
        <v>48</v>
      </c>
      <c r="B632" s="31" t="s">
        <v>909</v>
      </c>
      <c r="C632" s="32" t="s">
        <v>868</v>
      </c>
      <c r="D632" s="33"/>
      <c r="E632" s="29">
        <v>4950000</v>
      </c>
      <c r="F632" s="34">
        <f t="shared" si="42"/>
        <v>396000</v>
      </c>
      <c r="G632" s="37">
        <f t="shared" si="44"/>
        <v>5346000</v>
      </c>
      <c r="H632" s="35">
        <v>5346000</v>
      </c>
      <c r="I632" s="36">
        <f t="shared" si="43"/>
        <v>0</v>
      </c>
      <c r="J632" s="9">
        <v>46122</v>
      </c>
    </row>
    <row r="633" spans="1:11" ht="15" hidden="1" customHeight="1" x14ac:dyDescent="0.3">
      <c r="A633" s="30" t="s">
        <v>28</v>
      </c>
      <c r="B633" s="31" t="s">
        <v>909</v>
      </c>
      <c r="C633" s="32" t="s">
        <v>869</v>
      </c>
      <c r="D633" s="33"/>
      <c r="E633" s="29">
        <v>15437000</v>
      </c>
      <c r="F633" s="34">
        <f t="shared" si="42"/>
        <v>1234960</v>
      </c>
      <c r="G633" s="37">
        <f t="shared" si="44"/>
        <v>16671960</v>
      </c>
      <c r="H633" s="35">
        <v>16671960</v>
      </c>
      <c r="I633" s="36">
        <f t="shared" si="43"/>
        <v>0</v>
      </c>
      <c r="J633" s="9">
        <v>46122</v>
      </c>
    </row>
    <row r="634" spans="1:11" ht="15" hidden="1" customHeight="1" x14ac:dyDescent="0.3">
      <c r="A634" s="30" t="s">
        <v>17</v>
      </c>
      <c r="B634" s="31" t="s">
        <v>910</v>
      </c>
      <c r="C634" s="32" t="s">
        <v>870</v>
      </c>
      <c r="D634" s="33"/>
      <c r="E634" s="29">
        <v>28822000</v>
      </c>
      <c r="F634" s="34">
        <f t="shared" si="42"/>
        <v>2305760</v>
      </c>
      <c r="G634" s="37">
        <f t="shared" si="44"/>
        <v>31127760</v>
      </c>
      <c r="H634" s="35">
        <v>31127760</v>
      </c>
      <c r="I634" s="36">
        <f t="shared" si="43"/>
        <v>0</v>
      </c>
      <c r="J634" s="9">
        <v>46122</v>
      </c>
    </row>
    <row r="635" spans="1:11" ht="15" hidden="1" customHeight="1" x14ac:dyDescent="0.3">
      <c r="A635" s="30" t="s">
        <v>25</v>
      </c>
      <c r="B635" s="31" t="s">
        <v>911</v>
      </c>
      <c r="C635" s="32" t="s">
        <v>871</v>
      </c>
      <c r="D635" s="33"/>
      <c r="E635" s="29">
        <v>5046000</v>
      </c>
      <c r="F635" s="34">
        <f t="shared" si="42"/>
        <v>403680</v>
      </c>
      <c r="G635" s="37">
        <f t="shared" si="44"/>
        <v>5449680</v>
      </c>
      <c r="H635" s="35">
        <v>5449680</v>
      </c>
      <c r="I635" s="36">
        <f t="shared" si="43"/>
        <v>0</v>
      </c>
      <c r="J635" s="9">
        <v>46122</v>
      </c>
    </row>
    <row r="636" spans="1:11" ht="15" hidden="1" customHeight="1" x14ac:dyDescent="0.3">
      <c r="A636" s="30" t="s">
        <v>27</v>
      </c>
      <c r="B636" s="31" t="s">
        <v>912</v>
      </c>
      <c r="C636" s="32" t="s">
        <v>872</v>
      </c>
      <c r="D636" s="33"/>
      <c r="E636" s="29">
        <v>15151000</v>
      </c>
      <c r="F636" s="34">
        <f t="shared" si="42"/>
        <v>1212080</v>
      </c>
      <c r="G636" s="37">
        <f t="shared" si="44"/>
        <v>16363080</v>
      </c>
      <c r="H636" s="35">
        <v>16363080</v>
      </c>
      <c r="I636" s="36">
        <f t="shared" si="43"/>
        <v>0</v>
      </c>
      <c r="J636" s="9">
        <v>46122</v>
      </c>
    </row>
    <row r="637" spans="1:11" ht="15" hidden="1" customHeight="1" x14ac:dyDescent="0.3">
      <c r="A637" s="30" t="s">
        <v>23</v>
      </c>
      <c r="B637" s="31" t="s">
        <v>913</v>
      </c>
      <c r="C637" s="32" t="s">
        <v>873</v>
      </c>
      <c r="D637" s="33"/>
      <c r="E637" s="29">
        <v>77293000</v>
      </c>
      <c r="F637" s="34">
        <f t="shared" si="42"/>
        <v>6183440</v>
      </c>
      <c r="G637" s="37">
        <f t="shared" si="44"/>
        <v>83476440</v>
      </c>
      <c r="H637" s="35">
        <v>83476440</v>
      </c>
      <c r="I637" s="36">
        <f t="shared" si="43"/>
        <v>0</v>
      </c>
      <c r="J637" s="9">
        <v>46122</v>
      </c>
    </row>
    <row r="638" spans="1:11" ht="15" hidden="1" customHeight="1" x14ac:dyDescent="0.3">
      <c r="A638" s="30" t="s">
        <v>27</v>
      </c>
      <c r="B638" s="31" t="s">
        <v>913</v>
      </c>
      <c r="C638" s="32" t="s">
        <v>874</v>
      </c>
      <c r="D638" s="33"/>
      <c r="E638" s="29">
        <v>6210000</v>
      </c>
      <c r="F638" s="34">
        <f t="shared" si="42"/>
        <v>496800</v>
      </c>
      <c r="G638" s="37">
        <f t="shared" si="44"/>
        <v>6706800</v>
      </c>
      <c r="H638" s="35">
        <v>6706800</v>
      </c>
      <c r="I638" s="36">
        <f t="shared" si="43"/>
        <v>0</v>
      </c>
      <c r="J638" s="9">
        <v>46122</v>
      </c>
    </row>
    <row r="639" spans="1:11" ht="15" hidden="1" customHeight="1" x14ac:dyDescent="0.3">
      <c r="A639" s="30" t="s">
        <v>32</v>
      </c>
      <c r="B639" s="31" t="s">
        <v>914</v>
      </c>
      <c r="C639" s="32" t="s">
        <v>875</v>
      </c>
      <c r="D639" s="33"/>
      <c r="E639" s="29">
        <v>33086000</v>
      </c>
      <c r="F639" s="34">
        <f t="shared" si="42"/>
        <v>2646880</v>
      </c>
      <c r="G639" s="37">
        <f t="shared" si="44"/>
        <v>35732880</v>
      </c>
      <c r="H639" s="35">
        <v>35732880</v>
      </c>
      <c r="I639" s="36">
        <f t="shared" si="43"/>
        <v>0</v>
      </c>
      <c r="J639" s="9">
        <v>46122</v>
      </c>
    </row>
    <row r="640" spans="1:11" s="73" customFormat="1" ht="15" hidden="1" customHeight="1" x14ac:dyDescent="0.3">
      <c r="A640" s="63" t="s">
        <v>26</v>
      </c>
      <c r="B640" s="64">
        <v>46090</v>
      </c>
      <c r="C640" s="65" t="s">
        <v>876</v>
      </c>
      <c r="D640" s="66" t="s">
        <v>957</v>
      </c>
      <c r="E640" s="67">
        <v>30677500</v>
      </c>
      <c r="F640" s="68">
        <f t="shared" si="42"/>
        <v>2454200</v>
      </c>
      <c r="G640" s="69">
        <f t="shared" si="44"/>
        <v>33131700</v>
      </c>
      <c r="H640" s="70">
        <v>33131700</v>
      </c>
      <c r="I640" s="71">
        <f t="shared" si="43"/>
        <v>0</v>
      </c>
      <c r="J640" s="72">
        <v>46141</v>
      </c>
    </row>
    <row r="641" spans="1:11" ht="15" hidden="1" customHeight="1" x14ac:dyDescent="0.3">
      <c r="A641" s="30" t="s">
        <v>48</v>
      </c>
      <c r="B641" s="31" t="s">
        <v>914</v>
      </c>
      <c r="C641" s="32" t="s">
        <v>877</v>
      </c>
      <c r="D641" s="33"/>
      <c r="E641" s="29">
        <v>4695000</v>
      </c>
      <c r="F641" s="34">
        <f t="shared" si="42"/>
        <v>375600</v>
      </c>
      <c r="G641" s="37">
        <f t="shared" si="44"/>
        <v>5070600</v>
      </c>
      <c r="H641" s="35">
        <v>5070600</v>
      </c>
      <c r="I641" s="36">
        <f t="shared" si="43"/>
        <v>0</v>
      </c>
      <c r="J641" s="9">
        <v>46122</v>
      </c>
    </row>
    <row r="642" spans="1:11" ht="15" hidden="1" customHeight="1" x14ac:dyDescent="0.3">
      <c r="A642" s="30" t="s">
        <v>25</v>
      </c>
      <c r="B642" s="31" t="s">
        <v>914</v>
      </c>
      <c r="C642" s="32" t="s">
        <v>878</v>
      </c>
      <c r="D642" s="33"/>
      <c r="E642" s="29">
        <v>2960000</v>
      </c>
      <c r="F642" s="34">
        <f t="shared" si="42"/>
        <v>236800</v>
      </c>
      <c r="G642" s="37">
        <f t="shared" si="44"/>
        <v>3196800</v>
      </c>
      <c r="H642" s="35">
        <v>3196800</v>
      </c>
      <c r="I642" s="36">
        <f t="shared" si="43"/>
        <v>0</v>
      </c>
      <c r="J642" s="9">
        <v>46153</v>
      </c>
    </row>
    <row r="643" spans="1:11" ht="15" hidden="1" customHeight="1" x14ac:dyDescent="0.3">
      <c r="A643" s="30" t="s">
        <v>23</v>
      </c>
      <c r="B643" s="31" t="s">
        <v>914</v>
      </c>
      <c r="C643" s="32" t="s">
        <v>879</v>
      </c>
      <c r="D643" s="33"/>
      <c r="E643" s="29">
        <v>23445000</v>
      </c>
      <c r="F643" s="34">
        <f t="shared" ref="F643:F706" si="45">+E643*0.08</f>
        <v>1875600</v>
      </c>
      <c r="G643" s="37">
        <f t="shared" si="44"/>
        <v>25320600</v>
      </c>
      <c r="H643" s="35">
        <v>25320600</v>
      </c>
      <c r="I643" s="36">
        <f t="shared" si="43"/>
        <v>0</v>
      </c>
      <c r="J643" s="9">
        <v>46122</v>
      </c>
    </row>
    <row r="644" spans="1:11" ht="15" hidden="1" customHeight="1" x14ac:dyDescent="0.3">
      <c r="A644" s="30" t="s">
        <v>21</v>
      </c>
      <c r="B644" s="31" t="s">
        <v>914</v>
      </c>
      <c r="C644" s="32" t="s">
        <v>880</v>
      </c>
      <c r="D644" s="33"/>
      <c r="E644" s="29">
        <v>3845000</v>
      </c>
      <c r="F644" s="34">
        <f t="shared" si="45"/>
        <v>307600</v>
      </c>
      <c r="G644" s="37">
        <f t="shared" si="44"/>
        <v>4152600</v>
      </c>
      <c r="H644" s="35">
        <v>4152600</v>
      </c>
      <c r="I644" s="36">
        <f t="shared" si="43"/>
        <v>0</v>
      </c>
      <c r="J644" s="9">
        <v>46122</v>
      </c>
    </row>
    <row r="645" spans="1:11" ht="15" hidden="1" customHeight="1" x14ac:dyDescent="0.3">
      <c r="A645" s="30" t="s">
        <v>19</v>
      </c>
      <c r="B645" s="31" t="s">
        <v>914</v>
      </c>
      <c r="C645" s="32" t="s">
        <v>881</v>
      </c>
      <c r="D645" s="33"/>
      <c r="E645" s="29">
        <v>8262000</v>
      </c>
      <c r="F645" s="34">
        <f t="shared" si="45"/>
        <v>660960</v>
      </c>
      <c r="G645" s="37">
        <f t="shared" si="44"/>
        <v>8922960</v>
      </c>
      <c r="H645" s="35">
        <v>8922960</v>
      </c>
      <c r="I645" s="36">
        <f t="shared" si="43"/>
        <v>0</v>
      </c>
      <c r="J645" s="9">
        <v>46122</v>
      </c>
    </row>
    <row r="646" spans="1:11" ht="15" hidden="1" customHeight="1" x14ac:dyDescent="0.3">
      <c r="A646" s="30" t="s">
        <v>18</v>
      </c>
      <c r="B646" s="31" t="s">
        <v>914</v>
      </c>
      <c r="C646" s="32" t="s">
        <v>882</v>
      </c>
      <c r="D646" s="33"/>
      <c r="E646" s="29">
        <v>9960000</v>
      </c>
      <c r="F646" s="34">
        <f t="shared" si="45"/>
        <v>796800</v>
      </c>
      <c r="G646" s="37">
        <f t="shared" si="44"/>
        <v>10756800</v>
      </c>
      <c r="H646" s="35">
        <v>10756800</v>
      </c>
      <c r="I646" s="36">
        <f t="shared" si="43"/>
        <v>0</v>
      </c>
      <c r="J646" s="9">
        <v>46122</v>
      </c>
    </row>
    <row r="647" spans="1:11" ht="15" hidden="1" customHeight="1" x14ac:dyDescent="0.3">
      <c r="A647" s="30" t="s">
        <v>28</v>
      </c>
      <c r="B647" s="31" t="s">
        <v>915</v>
      </c>
      <c r="C647" s="32" t="s">
        <v>883</v>
      </c>
      <c r="D647" s="33"/>
      <c r="E647" s="29">
        <v>5054000</v>
      </c>
      <c r="F647" s="34">
        <f t="shared" si="45"/>
        <v>404320</v>
      </c>
      <c r="G647" s="37">
        <f t="shared" si="44"/>
        <v>5458320</v>
      </c>
      <c r="H647" s="35">
        <v>5458320</v>
      </c>
      <c r="I647" s="36">
        <f t="shared" si="43"/>
        <v>0</v>
      </c>
      <c r="J647" s="9">
        <v>46122</v>
      </c>
    </row>
    <row r="648" spans="1:11" ht="15" hidden="1" customHeight="1" x14ac:dyDescent="0.3">
      <c r="A648" s="30" t="s">
        <v>21</v>
      </c>
      <c r="B648" s="31" t="s">
        <v>916</v>
      </c>
      <c r="C648" s="32" t="s">
        <v>884</v>
      </c>
      <c r="D648" s="33"/>
      <c r="E648" s="29">
        <v>7454000</v>
      </c>
      <c r="F648" s="34">
        <f t="shared" si="45"/>
        <v>596320</v>
      </c>
      <c r="G648" s="37">
        <f t="shared" si="44"/>
        <v>8050320</v>
      </c>
      <c r="H648" s="35">
        <v>8050320</v>
      </c>
      <c r="I648" s="36">
        <f t="shared" si="43"/>
        <v>0</v>
      </c>
      <c r="J648" s="9">
        <v>46122</v>
      </c>
    </row>
    <row r="649" spans="1:11" ht="15" hidden="1" customHeight="1" x14ac:dyDescent="0.3">
      <c r="A649" s="30" t="s">
        <v>17</v>
      </c>
      <c r="B649" s="31">
        <v>46081</v>
      </c>
      <c r="C649" s="33" t="s">
        <v>885</v>
      </c>
      <c r="D649" s="32" t="s">
        <v>956</v>
      </c>
      <c r="E649" s="29">
        <v>11207000</v>
      </c>
      <c r="F649" s="34">
        <f t="shared" si="45"/>
        <v>896560</v>
      </c>
      <c r="G649" s="37">
        <f t="shared" si="44"/>
        <v>12103560</v>
      </c>
      <c r="H649" s="35">
        <v>12103560</v>
      </c>
      <c r="I649" s="36">
        <f t="shared" si="43"/>
        <v>0</v>
      </c>
      <c r="J649" s="9">
        <v>46141</v>
      </c>
    </row>
    <row r="650" spans="1:11" ht="15" hidden="1" customHeight="1" x14ac:dyDescent="0.3">
      <c r="A650" s="30" t="s">
        <v>18</v>
      </c>
      <c r="B650" s="31" t="s">
        <v>916</v>
      </c>
      <c r="C650" s="32" t="s">
        <v>886</v>
      </c>
      <c r="D650" s="33"/>
      <c r="E650" s="29">
        <v>990000</v>
      </c>
      <c r="F650" s="34">
        <f t="shared" si="45"/>
        <v>79200</v>
      </c>
      <c r="G650" s="37">
        <f t="shared" si="44"/>
        <v>1069200</v>
      </c>
      <c r="H650" s="35">
        <v>1069200</v>
      </c>
      <c r="I650" s="36">
        <f t="shared" si="43"/>
        <v>0</v>
      </c>
      <c r="J650" s="9">
        <v>46122</v>
      </c>
    </row>
    <row r="651" spans="1:11" ht="15" hidden="1" customHeight="1" x14ac:dyDescent="0.3">
      <c r="A651" s="48" t="s">
        <v>19</v>
      </c>
      <c r="B651" s="49" t="s">
        <v>917</v>
      </c>
      <c r="C651" s="60" t="s">
        <v>887</v>
      </c>
      <c r="D651" s="50"/>
      <c r="E651" s="51">
        <v>2855000</v>
      </c>
      <c r="F651" s="52">
        <f t="shared" si="45"/>
        <v>228400</v>
      </c>
      <c r="G651" s="53">
        <f t="shared" si="44"/>
        <v>3083400</v>
      </c>
      <c r="H651" s="53">
        <v>3083400</v>
      </c>
      <c r="I651" s="55">
        <f t="shared" si="43"/>
        <v>0</v>
      </c>
      <c r="J651" s="9">
        <v>46141</v>
      </c>
    </row>
    <row r="652" spans="1:11" ht="15" hidden="1" customHeight="1" x14ac:dyDescent="0.3">
      <c r="A652" s="30" t="s">
        <v>27</v>
      </c>
      <c r="B652" s="31" t="s">
        <v>917</v>
      </c>
      <c r="C652" s="32" t="s">
        <v>60</v>
      </c>
      <c r="D652" s="33"/>
      <c r="E652" s="29">
        <v>10200000</v>
      </c>
      <c r="F652" s="34">
        <f t="shared" si="45"/>
        <v>816000</v>
      </c>
      <c r="G652" s="37">
        <f t="shared" si="44"/>
        <v>11016000</v>
      </c>
      <c r="H652" s="35">
        <v>11016000</v>
      </c>
      <c r="I652" s="36">
        <f t="shared" si="43"/>
        <v>0</v>
      </c>
      <c r="J652" s="9">
        <v>46122</v>
      </c>
    </row>
    <row r="653" spans="1:11" ht="15" hidden="1" customHeight="1" x14ac:dyDescent="0.3">
      <c r="A653" s="30" t="s">
        <v>45</v>
      </c>
      <c r="B653" s="31" t="s">
        <v>918</v>
      </c>
      <c r="C653" s="32" t="s">
        <v>888</v>
      </c>
      <c r="D653" s="33"/>
      <c r="E653" s="29">
        <v>14915000</v>
      </c>
      <c r="F653" s="34">
        <f t="shared" si="45"/>
        <v>1193200</v>
      </c>
      <c r="G653" s="37">
        <f t="shared" si="44"/>
        <v>16108200</v>
      </c>
      <c r="H653" s="35">
        <v>16108200</v>
      </c>
      <c r="I653" s="36">
        <f t="shared" si="43"/>
        <v>0</v>
      </c>
      <c r="J653" s="9">
        <v>46122</v>
      </c>
      <c r="K653" s="2" t="s">
        <v>1231</v>
      </c>
    </row>
    <row r="654" spans="1:11" ht="15" hidden="1" customHeight="1" x14ac:dyDescent="0.3">
      <c r="A654" s="30" t="s">
        <v>20</v>
      </c>
      <c r="B654" s="31" t="s">
        <v>918</v>
      </c>
      <c r="C654" s="32" t="s">
        <v>889</v>
      </c>
      <c r="D654" s="33"/>
      <c r="E654" s="29">
        <v>10440000</v>
      </c>
      <c r="F654" s="34">
        <f t="shared" si="45"/>
        <v>835200</v>
      </c>
      <c r="G654" s="37">
        <f t="shared" si="44"/>
        <v>11275200</v>
      </c>
      <c r="H654" s="35">
        <v>11275200</v>
      </c>
      <c r="I654" s="36">
        <f t="shared" si="43"/>
        <v>0</v>
      </c>
      <c r="J654" s="9">
        <v>46122</v>
      </c>
    </row>
    <row r="655" spans="1:11" ht="15" hidden="1" customHeight="1" x14ac:dyDescent="0.3">
      <c r="A655" s="30" t="s">
        <v>25</v>
      </c>
      <c r="B655" s="31" t="s">
        <v>918</v>
      </c>
      <c r="C655" s="32" t="s">
        <v>890</v>
      </c>
      <c r="D655" s="33"/>
      <c r="E655" s="29">
        <v>3735000</v>
      </c>
      <c r="F655" s="34">
        <f t="shared" si="45"/>
        <v>298800</v>
      </c>
      <c r="G655" s="37">
        <f t="shared" si="44"/>
        <v>4033800</v>
      </c>
      <c r="H655" s="35">
        <v>4033800</v>
      </c>
      <c r="I655" s="36">
        <f t="shared" si="43"/>
        <v>0</v>
      </c>
      <c r="J655" s="9">
        <v>46122</v>
      </c>
    </row>
    <row r="656" spans="1:11" ht="15" hidden="1" customHeight="1" x14ac:dyDescent="0.3">
      <c r="A656" s="30" t="s">
        <v>48</v>
      </c>
      <c r="B656" s="31">
        <v>46098</v>
      </c>
      <c r="C656" s="33" t="s">
        <v>891</v>
      </c>
      <c r="D656" s="32" t="s">
        <v>955</v>
      </c>
      <c r="E656" s="29">
        <v>1770000</v>
      </c>
      <c r="F656" s="34">
        <f t="shared" si="45"/>
        <v>141600</v>
      </c>
      <c r="G656" s="37">
        <f t="shared" si="44"/>
        <v>1911600</v>
      </c>
      <c r="H656" s="35">
        <v>1911600</v>
      </c>
      <c r="I656" s="36">
        <f t="shared" si="43"/>
        <v>0</v>
      </c>
      <c r="J656" s="9">
        <v>46141</v>
      </c>
    </row>
    <row r="657" spans="1:10" ht="15" hidden="1" customHeight="1" x14ac:dyDescent="0.3">
      <c r="A657" s="30" t="s">
        <v>23</v>
      </c>
      <c r="B657" s="31" t="s">
        <v>919</v>
      </c>
      <c r="C657" s="32" t="s">
        <v>892</v>
      </c>
      <c r="D657" s="33"/>
      <c r="E657" s="29">
        <v>7485000</v>
      </c>
      <c r="F657" s="34">
        <f t="shared" si="45"/>
        <v>598800</v>
      </c>
      <c r="G657" s="37">
        <f t="shared" si="44"/>
        <v>8083800</v>
      </c>
      <c r="H657" s="35">
        <v>8083800</v>
      </c>
      <c r="I657" s="36">
        <f t="shared" si="43"/>
        <v>0</v>
      </c>
      <c r="J657" s="9">
        <v>46122</v>
      </c>
    </row>
    <row r="658" spans="1:10" ht="15" hidden="1" customHeight="1" x14ac:dyDescent="0.3">
      <c r="A658" s="30" t="s">
        <v>26</v>
      </c>
      <c r="B658" s="31" t="s">
        <v>919</v>
      </c>
      <c r="C658" s="32" t="s">
        <v>893</v>
      </c>
      <c r="D658" s="33"/>
      <c r="E658" s="29">
        <v>8370000</v>
      </c>
      <c r="F658" s="34">
        <f t="shared" si="45"/>
        <v>669600</v>
      </c>
      <c r="G658" s="37">
        <f t="shared" si="44"/>
        <v>9039600</v>
      </c>
      <c r="H658" s="35">
        <v>9039600</v>
      </c>
      <c r="I658" s="36">
        <f t="shared" si="43"/>
        <v>0</v>
      </c>
      <c r="J658" s="9">
        <v>46122</v>
      </c>
    </row>
    <row r="659" spans="1:10" ht="15" hidden="1" customHeight="1" x14ac:dyDescent="0.3">
      <c r="A659" s="30" t="s">
        <v>17</v>
      </c>
      <c r="B659" s="31" t="s">
        <v>919</v>
      </c>
      <c r="C659" s="32" t="s">
        <v>894</v>
      </c>
      <c r="D659" s="33"/>
      <c r="E659" s="29">
        <v>1920000</v>
      </c>
      <c r="F659" s="34">
        <f t="shared" si="45"/>
        <v>153600</v>
      </c>
      <c r="G659" s="37">
        <f t="shared" si="44"/>
        <v>2073600</v>
      </c>
      <c r="H659" s="35">
        <v>2073600</v>
      </c>
      <c r="I659" s="36">
        <f t="shared" si="43"/>
        <v>0</v>
      </c>
      <c r="J659" s="9">
        <v>46122</v>
      </c>
    </row>
    <row r="660" spans="1:10" ht="15" hidden="1" customHeight="1" x14ac:dyDescent="0.3">
      <c r="A660" s="30" t="s">
        <v>32</v>
      </c>
      <c r="B660" s="31" t="s">
        <v>919</v>
      </c>
      <c r="C660" s="32" t="s">
        <v>895</v>
      </c>
      <c r="D660" s="33"/>
      <c r="E660" s="29">
        <v>90822000</v>
      </c>
      <c r="F660" s="34">
        <f t="shared" si="45"/>
        <v>7265760</v>
      </c>
      <c r="G660" s="37">
        <f t="shared" si="44"/>
        <v>98087760</v>
      </c>
      <c r="H660" s="35">
        <v>98087760</v>
      </c>
      <c r="I660" s="36">
        <f t="shared" si="43"/>
        <v>0</v>
      </c>
      <c r="J660" s="9">
        <v>46122</v>
      </c>
    </row>
    <row r="661" spans="1:10" ht="15" hidden="1" customHeight="1" x14ac:dyDescent="0.3">
      <c r="A661" s="30" t="s">
        <v>19</v>
      </c>
      <c r="B661" s="31" t="s">
        <v>919</v>
      </c>
      <c r="C661" s="32" t="s">
        <v>896</v>
      </c>
      <c r="D661" s="33"/>
      <c r="E661" s="29">
        <v>3960000</v>
      </c>
      <c r="F661" s="34">
        <f t="shared" si="45"/>
        <v>316800</v>
      </c>
      <c r="G661" s="37">
        <f t="shared" si="44"/>
        <v>4276800</v>
      </c>
      <c r="H661" s="35">
        <v>4276800</v>
      </c>
      <c r="I661" s="36">
        <f t="shared" si="43"/>
        <v>0</v>
      </c>
      <c r="J661" s="9">
        <v>46122</v>
      </c>
    </row>
    <row r="662" spans="1:10" ht="15" hidden="1" customHeight="1" x14ac:dyDescent="0.3">
      <c r="A662" s="30" t="s">
        <v>21</v>
      </c>
      <c r="B662" s="31" t="s">
        <v>919</v>
      </c>
      <c r="C662" s="32" t="s">
        <v>897</v>
      </c>
      <c r="D662" s="33"/>
      <c r="E662" s="29">
        <v>9615000</v>
      </c>
      <c r="F662" s="34">
        <f t="shared" si="45"/>
        <v>769200</v>
      </c>
      <c r="G662" s="37">
        <f t="shared" si="44"/>
        <v>10384200</v>
      </c>
      <c r="H662" s="35">
        <v>10384200</v>
      </c>
      <c r="I662" s="36">
        <f t="shared" si="43"/>
        <v>0</v>
      </c>
      <c r="J662" s="9">
        <v>46122</v>
      </c>
    </row>
    <row r="663" spans="1:10" ht="15" hidden="1" customHeight="1" x14ac:dyDescent="0.3">
      <c r="A663" s="30" t="s">
        <v>22</v>
      </c>
      <c r="B663" s="31" t="s">
        <v>919</v>
      </c>
      <c r="C663" s="32" t="s">
        <v>898</v>
      </c>
      <c r="D663" s="33"/>
      <c r="E663" s="29">
        <v>9410000</v>
      </c>
      <c r="F663" s="34">
        <f t="shared" si="45"/>
        <v>752800</v>
      </c>
      <c r="G663" s="37">
        <f t="shared" si="44"/>
        <v>10162800</v>
      </c>
      <c r="H663" s="35">
        <v>10162800</v>
      </c>
      <c r="I663" s="36">
        <f t="shared" si="43"/>
        <v>0</v>
      </c>
      <c r="J663" s="9">
        <v>46122</v>
      </c>
    </row>
    <row r="664" spans="1:10" ht="15" hidden="1" customHeight="1" x14ac:dyDescent="0.3">
      <c r="A664" s="30" t="s">
        <v>28</v>
      </c>
      <c r="B664" s="31" t="s">
        <v>919</v>
      </c>
      <c r="C664" s="33" t="s">
        <v>899</v>
      </c>
      <c r="D664" s="32" t="s">
        <v>951</v>
      </c>
      <c r="E664" s="29">
        <v>6690000</v>
      </c>
      <c r="F664" s="34">
        <f t="shared" si="45"/>
        <v>535200</v>
      </c>
      <c r="G664" s="37">
        <f t="shared" si="44"/>
        <v>7225200</v>
      </c>
      <c r="H664" s="35">
        <v>7225200</v>
      </c>
      <c r="I664" s="36">
        <f t="shared" si="43"/>
        <v>0</v>
      </c>
      <c r="J664" s="9">
        <v>46141</v>
      </c>
    </row>
    <row r="665" spans="1:10" ht="15" hidden="1" customHeight="1" x14ac:dyDescent="0.3">
      <c r="A665" s="30" t="s">
        <v>19</v>
      </c>
      <c r="B665" s="31" t="s">
        <v>920</v>
      </c>
      <c r="C665" s="32" t="s">
        <v>900</v>
      </c>
      <c r="D665" s="33"/>
      <c r="E665" s="29">
        <v>1755000</v>
      </c>
      <c r="F665" s="34">
        <f t="shared" si="45"/>
        <v>140400</v>
      </c>
      <c r="G665" s="37">
        <f t="shared" si="44"/>
        <v>1895400</v>
      </c>
      <c r="H665" s="35">
        <v>1895400</v>
      </c>
      <c r="I665" s="36">
        <f t="shared" si="43"/>
        <v>0</v>
      </c>
      <c r="J665" s="9">
        <v>46122</v>
      </c>
    </row>
    <row r="666" spans="1:10" ht="15" hidden="1" customHeight="1" x14ac:dyDescent="0.3">
      <c r="A666" s="30" t="s">
        <v>17</v>
      </c>
      <c r="B666" s="31" t="s">
        <v>921</v>
      </c>
      <c r="C666" s="32" t="s">
        <v>901</v>
      </c>
      <c r="D666" s="33"/>
      <c r="E666" s="29">
        <v>36615000</v>
      </c>
      <c r="F666" s="34">
        <f t="shared" si="45"/>
        <v>2929200</v>
      </c>
      <c r="G666" s="37">
        <f t="shared" si="44"/>
        <v>39544200</v>
      </c>
      <c r="H666" s="35">
        <v>39544200</v>
      </c>
      <c r="I666" s="36">
        <f t="shared" si="43"/>
        <v>0</v>
      </c>
      <c r="J666" s="9">
        <v>46153</v>
      </c>
    </row>
    <row r="667" spans="1:10" ht="15" hidden="1" customHeight="1" x14ac:dyDescent="0.3">
      <c r="A667" s="30" t="s">
        <v>32</v>
      </c>
      <c r="B667" s="31" t="s">
        <v>922</v>
      </c>
      <c r="C667" s="32" t="s">
        <v>902</v>
      </c>
      <c r="D667" s="33"/>
      <c r="E667" s="29">
        <v>27416000</v>
      </c>
      <c r="F667" s="34">
        <f t="shared" si="45"/>
        <v>2193280</v>
      </c>
      <c r="G667" s="37">
        <f t="shared" si="44"/>
        <v>29609280</v>
      </c>
      <c r="H667" s="35">
        <v>29609280</v>
      </c>
      <c r="I667" s="36">
        <f t="shared" si="43"/>
        <v>0</v>
      </c>
      <c r="J667" s="9">
        <v>46153</v>
      </c>
    </row>
    <row r="668" spans="1:10" ht="15" hidden="1" customHeight="1" x14ac:dyDescent="0.3">
      <c r="A668" s="48" t="s">
        <v>32</v>
      </c>
      <c r="B668" s="49" t="s">
        <v>923</v>
      </c>
      <c r="C668" s="60" t="s">
        <v>903</v>
      </c>
      <c r="D668" s="50"/>
      <c r="E668" s="51">
        <v>960000</v>
      </c>
      <c r="F668" s="52">
        <f t="shared" si="45"/>
        <v>76800</v>
      </c>
      <c r="G668" s="53">
        <f t="shared" si="44"/>
        <v>1036800</v>
      </c>
      <c r="H668" s="54">
        <v>1036800</v>
      </c>
      <c r="I668" s="55">
        <f t="shared" si="43"/>
        <v>0</v>
      </c>
      <c r="J668" s="9">
        <v>46153</v>
      </c>
    </row>
    <row r="669" spans="1:10" ht="15" hidden="1" customHeight="1" x14ac:dyDescent="0.3">
      <c r="A669" s="30" t="s">
        <v>32</v>
      </c>
      <c r="B669" s="31">
        <v>46065</v>
      </c>
      <c r="C669" s="33" t="s">
        <v>904</v>
      </c>
      <c r="D669" s="32" t="s">
        <v>950</v>
      </c>
      <c r="E669" s="29">
        <v>54765000</v>
      </c>
      <c r="F669" s="34">
        <f t="shared" si="45"/>
        <v>4381200</v>
      </c>
      <c r="G669" s="37">
        <f t="shared" si="44"/>
        <v>59146200</v>
      </c>
      <c r="H669" s="35">
        <v>59146200</v>
      </c>
      <c r="I669" s="36">
        <f t="shared" si="43"/>
        <v>0</v>
      </c>
      <c r="J669" s="9">
        <v>46122</v>
      </c>
    </row>
    <row r="670" spans="1:10" ht="15" hidden="1" customHeight="1" x14ac:dyDescent="0.3">
      <c r="A670" s="30" t="s">
        <v>26</v>
      </c>
      <c r="B670" s="31" t="s">
        <v>946</v>
      </c>
      <c r="C670" s="32" t="s">
        <v>924</v>
      </c>
      <c r="D670" s="33"/>
      <c r="E670" s="29">
        <v>25360000</v>
      </c>
      <c r="F670" s="34">
        <f t="shared" si="45"/>
        <v>2028800</v>
      </c>
      <c r="G670" s="37">
        <f t="shared" si="44"/>
        <v>27388800</v>
      </c>
      <c r="H670" s="35">
        <v>27388800</v>
      </c>
      <c r="I670" s="36">
        <f t="shared" si="43"/>
        <v>0</v>
      </c>
      <c r="J670" s="9">
        <v>46122</v>
      </c>
    </row>
    <row r="671" spans="1:10" ht="15" hidden="1" customHeight="1" x14ac:dyDescent="0.3">
      <c r="A671" s="30" t="s">
        <v>48</v>
      </c>
      <c r="B671" s="31" t="s">
        <v>946</v>
      </c>
      <c r="C671" s="32" t="s">
        <v>925</v>
      </c>
      <c r="D671" s="33"/>
      <c r="E671" s="29">
        <v>22440000</v>
      </c>
      <c r="F671" s="34">
        <f t="shared" si="45"/>
        <v>1795200</v>
      </c>
      <c r="G671" s="37">
        <f t="shared" si="44"/>
        <v>24235200</v>
      </c>
      <c r="H671" s="35">
        <v>24235200</v>
      </c>
      <c r="I671" s="36">
        <f t="shared" si="43"/>
        <v>0</v>
      </c>
      <c r="J671" s="9">
        <v>46141</v>
      </c>
    </row>
    <row r="672" spans="1:10" ht="15" hidden="1" customHeight="1" x14ac:dyDescent="0.3">
      <c r="A672" s="30" t="s">
        <v>294</v>
      </c>
      <c r="B672" s="31" t="s">
        <v>946</v>
      </c>
      <c r="C672" s="32" t="s">
        <v>926</v>
      </c>
      <c r="D672" s="33"/>
      <c r="E672" s="29">
        <v>11445000</v>
      </c>
      <c r="F672" s="34">
        <f t="shared" si="45"/>
        <v>915600</v>
      </c>
      <c r="G672" s="37">
        <f t="shared" si="44"/>
        <v>12360600</v>
      </c>
      <c r="H672" s="35">
        <v>12360600</v>
      </c>
      <c r="I672" s="36">
        <f t="shared" si="43"/>
        <v>0</v>
      </c>
      <c r="J672" s="9">
        <v>46141</v>
      </c>
    </row>
    <row r="673" spans="1:10" ht="15" hidden="1" customHeight="1" x14ac:dyDescent="0.3">
      <c r="A673" s="30" t="s">
        <v>27</v>
      </c>
      <c r="B673" s="31" t="s">
        <v>946</v>
      </c>
      <c r="C673" s="32" t="s">
        <v>927</v>
      </c>
      <c r="D673" s="33"/>
      <c r="E673" s="29">
        <v>10685000</v>
      </c>
      <c r="F673" s="34">
        <f t="shared" si="45"/>
        <v>854800</v>
      </c>
      <c r="G673" s="37">
        <f t="shared" si="44"/>
        <v>11539800</v>
      </c>
      <c r="H673" s="35">
        <v>11539800</v>
      </c>
      <c r="I673" s="36">
        <f t="shared" si="43"/>
        <v>0</v>
      </c>
      <c r="J673" s="9">
        <v>46141</v>
      </c>
    </row>
    <row r="674" spans="1:10" ht="15" hidden="1" customHeight="1" x14ac:dyDescent="0.3">
      <c r="A674" s="48" t="s">
        <v>28</v>
      </c>
      <c r="B674" s="49">
        <v>46114</v>
      </c>
      <c r="C674" s="50" t="s">
        <v>928</v>
      </c>
      <c r="D674" s="60" t="s">
        <v>1062</v>
      </c>
      <c r="E674" s="51">
        <v>5580000</v>
      </c>
      <c r="F674" s="52">
        <f t="shared" si="45"/>
        <v>446400</v>
      </c>
      <c r="G674" s="53">
        <f t="shared" si="44"/>
        <v>6026400</v>
      </c>
      <c r="H674" s="54">
        <v>6026400</v>
      </c>
      <c r="I674" s="55">
        <f t="shared" si="43"/>
        <v>0</v>
      </c>
      <c r="J674" s="9">
        <v>46171</v>
      </c>
    </row>
    <row r="675" spans="1:10" ht="15" hidden="1" customHeight="1" x14ac:dyDescent="0.3">
      <c r="A675" s="30" t="s">
        <v>25</v>
      </c>
      <c r="B675" s="31" t="s">
        <v>946</v>
      </c>
      <c r="C675" s="32" t="s">
        <v>929</v>
      </c>
      <c r="D675" s="33"/>
      <c r="E675" s="29">
        <v>19815000</v>
      </c>
      <c r="F675" s="34">
        <f t="shared" si="45"/>
        <v>1585200</v>
      </c>
      <c r="G675" s="37">
        <f t="shared" si="44"/>
        <v>21400200</v>
      </c>
      <c r="H675" s="35">
        <v>21400200</v>
      </c>
      <c r="I675" s="36">
        <f t="shared" si="43"/>
        <v>0</v>
      </c>
      <c r="J675" s="9">
        <v>46141</v>
      </c>
    </row>
    <row r="676" spans="1:10" ht="15" hidden="1" customHeight="1" x14ac:dyDescent="0.3">
      <c r="A676" s="30" t="s">
        <v>23</v>
      </c>
      <c r="B676" s="31" t="s">
        <v>946</v>
      </c>
      <c r="C676" s="32" t="s">
        <v>930</v>
      </c>
      <c r="D676" s="33"/>
      <c r="E676" s="29">
        <v>38865000</v>
      </c>
      <c r="F676" s="34">
        <f t="shared" si="45"/>
        <v>3109200</v>
      </c>
      <c r="G676" s="37">
        <f t="shared" si="44"/>
        <v>41974200</v>
      </c>
      <c r="H676" s="35">
        <v>41974200</v>
      </c>
      <c r="I676" s="36">
        <f t="shared" si="43"/>
        <v>0</v>
      </c>
      <c r="J676" s="9">
        <v>46122</v>
      </c>
    </row>
    <row r="677" spans="1:10" ht="15" hidden="1" customHeight="1" x14ac:dyDescent="0.3">
      <c r="A677" s="30" t="s">
        <v>18</v>
      </c>
      <c r="B677" s="31" t="s">
        <v>946</v>
      </c>
      <c r="C677" s="32" t="s">
        <v>931</v>
      </c>
      <c r="D677" s="33"/>
      <c r="E677" s="29">
        <v>9485000</v>
      </c>
      <c r="F677" s="34">
        <f t="shared" si="45"/>
        <v>758800</v>
      </c>
      <c r="G677" s="37">
        <f t="shared" si="44"/>
        <v>10243800</v>
      </c>
      <c r="H677" s="35">
        <v>10243800</v>
      </c>
      <c r="I677" s="36">
        <f t="shared" si="43"/>
        <v>0</v>
      </c>
      <c r="J677" s="9">
        <v>46141</v>
      </c>
    </row>
    <row r="678" spans="1:10" ht="15" hidden="1" customHeight="1" x14ac:dyDescent="0.3">
      <c r="A678" s="30" t="s">
        <v>21</v>
      </c>
      <c r="B678" s="31" t="s">
        <v>946</v>
      </c>
      <c r="C678" s="32" t="s">
        <v>932</v>
      </c>
      <c r="D678" s="33"/>
      <c r="E678" s="29">
        <v>19205000</v>
      </c>
      <c r="F678" s="34">
        <f t="shared" si="45"/>
        <v>1536400</v>
      </c>
      <c r="G678" s="37">
        <f t="shared" si="44"/>
        <v>20741400</v>
      </c>
      <c r="H678" s="35">
        <v>20741400</v>
      </c>
      <c r="I678" s="36">
        <f t="shared" ref="I678:I741" si="46">G678-H678</f>
        <v>0</v>
      </c>
      <c r="J678" s="9">
        <v>46141</v>
      </c>
    </row>
    <row r="679" spans="1:10" ht="15" hidden="1" customHeight="1" x14ac:dyDescent="0.3">
      <c r="A679" s="30" t="s">
        <v>20</v>
      </c>
      <c r="B679" s="31" t="s">
        <v>946</v>
      </c>
      <c r="C679" s="32" t="s">
        <v>933</v>
      </c>
      <c r="D679" s="33"/>
      <c r="E679" s="29">
        <v>15990000</v>
      </c>
      <c r="F679" s="34">
        <f t="shared" si="45"/>
        <v>1279200</v>
      </c>
      <c r="G679" s="37">
        <f t="shared" si="44"/>
        <v>17269200</v>
      </c>
      <c r="H679" s="35">
        <v>17269200</v>
      </c>
      <c r="I679" s="36">
        <f t="shared" si="46"/>
        <v>0</v>
      </c>
      <c r="J679" s="9">
        <v>46141</v>
      </c>
    </row>
    <row r="680" spans="1:10" ht="15" hidden="1" customHeight="1" x14ac:dyDescent="0.3">
      <c r="A680" s="30" t="s">
        <v>17</v>
      </c>
      <c r="B680" s="31" t="s">
        <v>946</v>
      </c>
      <c r="C680" s="32" t="s">
        <v>93</v>
      </c>
      <c r="D680" s="33"/>
      <c r="E680" s="29">
        <v>48140000</v>
      </c>
      <c r="F680" s="34">
        <f t="shared" si="45"/>
        <v>3851200</v>
      </c>
      <c r="G680" s="37">
        <f t="shared" si="44"/>
        <v>51991200</v>
      </c>
      <c r="H680" s="35">
        <v>51991200</v>
      </c>
      <c r="I680" s="36">
        <f t="shared" si="46"/>
        <v>0</v>
      </c>
      <c r="J680" s="9">
        <v>46141</v>
      </c>
    </row>
    <row r="681" spans="1:10" ht="15" hidden="1" customHeight="1" x14ac:dyDescent="0.3">
      <c r="A681" s="30" t="s">
        <v>17</v>
      </c>
      <c r="B681" s="31" t="s">
        <v>946</v>
      </c>
      <c r="C681" s="32" t="s">
        <v>934</v>
      </c>
      <c r="D681" s="33"/>
      <c r="E681" s="29">
        <v>49575000</v>
      </c>
      <c r="F681" s="34">
        <f t="shared" si="45"/>
        <v>3966000</v>
      </c>
      <c r="G681" s="37">
        <f t="shared" si="44"/>
        <v>53541000</v>
      </c>
      <c r="H681" s="35">
        <v>53541000</v>
      </c>
      <c r="I681" s="36">
        <f t="shared" si="46"/>
        <v>0</v>
      </c>
      <c r="J681" s="9">
        <v>46141</v>
      </c>
    </row>
    <row r="682" spans="1:10" ht="15" hidden="1" customHeight="1" x14ac:dyDescent="0.3">
      <c r="A682" s="30" t="s">
        <v>19</v>
      </c>
      <c r="B682" s="31" t="s">
        <v>946</v>
      </c>
      <c r="C682" s="32" t="s">
        <v>935</v>
      </c>
      <c r="D682" s="33"/>
      <c r="E682" s="29">
        <v>12225000</v>
      </c>
      <c r="F682" s="34">
        <f t="shared" si="45"/>
        <v>978000</v>
      </c>
      <c r="G682" s="37">
        <f t="shared" si="44"/>
        <v>13203000</v>
      </c>
      <c r="H682" s="35">
        <v>13203000</v>
      </c>
      <c r="I682" s="36">
        <f t="shared" si="46"/>
        <v>0</v>
      </c>
      <c r="J682" s="9">
        <v>46141</v>
      </c>
    </row>
    <row r="683" spans="1:10" ht="15" hidden="1" customHeight="1" x14ac:dyDescent="0.3">
      <c r="A683" s="30" t="s">
        <v>22</v>
      </c>
      <c r="B683" s="31" t="s">
        <v>947</v>
      </c>
      <c r="C683" s="32" t="s">
        <v>936</v>
      </c>
      <c r="D683" s="33"/>
      <c r="E683" s="29">
        <v>8355000</v>
      </c>
      <c r="F683" s="34">
        <f t="shared" si="45"/>
        <v>668400</v>
      </c>
      <c r="G683" s="37">
        <f t="shared" si="44"/>
        <v>9023400</v>
      </c>
      <c r="H683" s="35">
        <v>9023400</v>
      </c>
      <c r="I683" s="36">
        <f t="shared" si="46"/>
        <v>0</v>
      </c>
      <c r="J683" s="9">
        <v>46141</v>
      </c>
    </row>
    <row r="684" spans="1:10" ht="15" hidden="1" customHeight="1" x14ac:dyDescent="0.3">
      <c r="A684" s="30" t="s">
        <v>295</v>
      </c>
      <c r="B684" s="31" t="s">
        <v>948</v>
      </c>
      <c r="C684" s="32" t="s">
        <v>937</v>
      </c>
      <c r="D684" s="33"/>
      <c r="E684" s="29">
        <v>1980000</v>
      </c>
      <c r="F684" s="34">
        <f t="shared" si="45"/>
        <v>158400</v>
      </c>
      <c r="G684" s="37">
        <f t="shared" ref="G684:G747" si="47">+F684+E684</f>
        <v>2138400</v>
      </c>
      <c r="H684" s="35">
        <v>2138400</v>
      </c>
      <c r="I684" s="36">
        <f t="shared" si="46"/>
        <v>0</v>
      </c>
      <c r="J684" s="9">
        <v>46141</v>
      </c>
    </row>
    <row r="685" spans="1:10" ht="15" hidden="1" customHeight="1" x14ac:dyDescent="0.3">
      <c r="A685" s="30" t="s">
        <v>28</v>
      </c>
      <c r="B685" s="31" t="s">
        <v>948</v>
      </c>
      <c r="C685" s="32" t="s">
        <v>938</v>
      </c>
      <c r="D685" s="33"/>
      <c r="E685" s="29">
        <v>4650000</v>
      </c>
      <c r="F685" s="34">
        <f t="shared" si="45"/>
        <v>372000</v>
      </c>
      <c r="G685" s="37">
        <f t="shared" si="47"/>
        <v>5022000</v>
      </c>
      <c r="H685" s="35">
        <v>5022000</v>
      </c>
      <c r="I685" s="36">
        <f t="shared" si="46"/>
        <v>0</v>
      </c>
      <c r="J685" s="9">
        <v>46141</v>
      </c>
    </row>
    <row r="686" spans="1:10" ht="15" hidden="1" customHeight="1" x14ac:dyDescent="0.3">
      <c r="A686" s="30" t="s">
        <v>32</v>
      </c>
      <c r="B686" s="31" t="s">
        <v>948</v>
      </c>
      <c r="C686" s="32" t="s">
        <v>939</v>
      </c>
      <c r="D686" s="33"/>
      <c r="E686" s="29">
        <v>1770000</v>
      </c>
      <c r="F686" s="34">
        <f t="shared" si="45"/>
        <v>141600</v>
      </c>
      <c r="G686" s="37">
        <f t="shared" si="47"/>
        <v>1911600</v>
      </c>
      <c r="H686" s="35">
        <v>1911600</v>
      </c>
      <c r="I686" s="36">
        <f t="shared" si="46"/>
        <v>0</v>
      </c>
      <c r="J686" s="9">
        <v>46141</v>
      </c>
    </row>
    <row r="687" spans="1:10" ht="15" hidden="1" customHeight="1" x14ac:dyDescent="0.3">
      <c r="A687" s="30" t="s">
        <v>32</v>
      </c>
      <c r="B687" s="31" t="s">
        <v>949</v>
      </c>
      <c r="C687" s="32" t="s">
        <v>940</v>
      </c>
      <c r="D687" s="33"/>
      <c r="E687" s="29">
        <v>2775000</v>
      </c>
      <c r="F687" s="34">
        <f t="shared" si="45"/>
        <v>222000</v>
      </c>
      <c r="G687" s="37">
        <f t="shared" si="47"/>
        <v>2997000</v>
      </c>
      <c r="H687" s="35">
        <v>2997000</v>
      </c>
      <c r="I687" s="36">
        <f t="shared" si="46"/>
        <v>0</v>
      </c>
      <c r="J687" s="9">
        <v>46141</v>
      </c>
    </row>
    <row r="688" spans="1:10" ht="15" hidden="1" customHeight="1" x14ac:dyDescent="0.3">
      <c r="A688" s="30" t="s">
        <v>26</v>
      </c>
      <c r="B688" s="31" t="s">
        <v>949</v>
      </c>
      <c r="C688" s="32" t="s">
        <v>941</v>
      </c>
      <c r="D688" s="33"/>
      <c r="E688" s="29">
        <v>6465000</v>
      </c>
      <c r="F688" s="34">
        <f t="shared" si="45"/>
        <v>517200</v>
      </c>
      <c r="G688" s="37">
        <f t="shared" si="47"/>
        <v>6982200</v>
      </c>
      <c r="H688" s="35">
        <v>6982200</v>
      </c>
      <c r="I688" s="36">
        <f t="shared" si="46"/>
        <v>0</v>
      </c>
      <c r="J688" s="9">
        <v>46141</v>
      </c>
    </row>
    <row r="689" spans="1:10" ht="15" hidden="1" customHeight="1" x14ac:dyDescent="0.3">
      <c r="A689" s="30" t="s">
        <v>25</v>
      </c>
      <c r="B689" s="31" t="s">
        <v>949</v>
      </c>
      <c r="C689" s="32" t="s">
        <v>942</v>
      </c>
      <c r="D689" s="33"/>
      <c r="E689" s="29">
        <v>1040000</v>
      </c>
      <c r="F689" s="34">
        <f t="shared" si="45"/>
        <v>83200</v>
      </c>
      <c r="G689" s="37">
        <f t="shared" si="47"/>
        <v>1123200</v>
      </c>
      <c r="H689" s="35">
        <v>1123200</v>
      </c>
      <c r="I689" s="36">
        <f t="shared" si="46"/>
        <v>0</v>
      </c>
      <c r="J689" s="9">
        <v>46171</v>
      </c>
    </row>
    <row r="690" spans="1:10" ht="15" hidden="1" customHeight="1" x14ac:dyDescent="0.3">
      <c r="A690" s="30" t="s">
        <v>23</v>
      </c>
      <c r="B690" s="31" t="s">
        <v>949</v>
      </c>
      <c r="C690" s="32" t="s">
        <v>943</v>
      </c>
      <c r="D690" s="33"/>
      <c r="E690" s="29">
        <v>4770000</v>
      </c>
      <c r="F690" s="34">
        <f t="shared" si="45"/>
        <v>381600</v>
      </c>
      <c r="G690" s="37">
        <f t="shared" si="47"/>
        <v>5151600</v>
      </c>
      <c r="H690" s="35">
        <v>5151600</v>
      </c>
      <c r="I690" s="36">
        <f t="shared" si="46"/>
        <v>0</v>
      </c>
      <c r="J690" s="9">
        <v>46141</v>
      </c>
    </row>
    <row r="691" spans="1:10" ht="15" hidden="1" customHeight="1" x14ac:dyDescent="0.3">
      <c r="A691" s="30" t="s">
        <v>21</v>
      </c>
      <c r="B691" s="31" t="s">
        <v>949</v>
      </c>
      <c r="C691" s="32" t="s">
        <v>944</v>
      </c>
      <c r="D691" s="33"/>
      <c r="E691" s="29">
        <v>13265000</v>
      </c>
      <c r="F691" s="34">
        <f t="shared" si="45"/>
        <v>1061200</v>
      </c>
      <c r="G691" s="37">
        <f t="shared" si="47"/>
        <v>14326200</v>
      </c>
      <c r="H691" s="35">
        <v>14326200</v>
      </c>
      <c r="I691" s="36">
        <f t="shared" si="46"/>
        <v>0</v>
      </c>
      <c r="J691" s="9">
        <v>46141</v>
      </c>
    </row>
    <row r="692" spans="1:10" ht="15" hidden="1" customHeight="1" x14ac:dyDescent="0.3">
      <c r="A692" s="30" t="s">
        <v>19</v>
      </c>
      <c r="B692" s="31" t="s">
        <v>949</v>
      </c>
      <c r="C692" s="32" t="s">
        <v>945</v>
      </c>
      <c r="D692" s="33"/>
      <c r="E692" s="29">
        <v>3080000</v>
      </c>
      <c r="F692" s="34">
        <f t="shared" si="45"/>
        <v>246400</v>
      </c>
      <c r="G692" s="37">
        <f t="shared" si="47"/>
        <v>3326400</v>
      </c>
      <c r="H692" s="35">
        <v>3326400</v>
      </c>
      <c r="I692" s="36">
        <f t="shared" si="46"/>
        <v>0</v>
      </c>
      <c r="J692" s="9">
        <v>46141</v>
      </c>
    </row>
    <row r="693" spans="1:10" ht="15" hidden="1" customHeight="1" x14ac:dyDescent="0.3">
      <c r="A693" s="30" t="s">
        <v>295</v>
      </c>
      <c r="B693" s="31">
        <v>46114</v>
      </c>
      <c r="C693" s="33" t="s">
        <v>129</v>
      </c>
      <c r="D693" s="32" t="s">
        <v>1063</v>
      </c>
      <c r="E693" s="29">
        <v>6795000</v>
      </c>
      <c r="F693" s="34">
        <f t="shared" si="45"/>
        <v>543600</v>
      </c>
      <c r="G693" s="37">
        <f t="shared" si="47"/>
        <v>7338600</v>
      </c>
      <c r="H693" s="35">
        <v>7338600</v>
      </c>
      <c r="I693" s="36">
        <f t="shared" si="46"/>
        <v>0</v>
      </c>
      <c r="J693" s="9">
        <v>46171</v>
      </c>
    </row>
    <row r="694" spans="1:10" ht="15" hidden="1" customHeight="1" x14ac:dyDescent="0.3">
      <c r="A694" s="30" t="s">
        <v>23</v>
      </c>
      <c r="B694" s="31" t="s">
        <v>998</v>
      </c>
      <c r="C694" s="32" t="s">
        <v>958</v>
      </c>
      <c r="D694" s="33"/>
      <c r="E694" s="29">
        <v>1980000</v>
      </c>
      <c r="F694" s="34">
        <f t="shared" si="45"/>
        <v>158400</v>
      </c>
      <c r="G694" s="37">
        <f t="shared" si="47"/>
        <v>2138400</v>
      </c>
      <c r="H694" s="35">
        <v>2138400</v>
      </c>
      <c r="I694" s="36">
        <f t="shared" si="46"/>
        <v>0</v>
      </c>
      <c r="J694" s="9">
        <v>46141</v>
      </c>
    </row>
    <row r="695" spans="1:10" ht="15" hidden="1" customHeight="1" x14ac:dyDescent="0.3">
      <c r="A695" s="30" t="s">
        <v>26</v>
      </c>
      <c r="B695" s="31" t="s">
        <v>999</v>
      </c>
      <c r="C695" s="32" t="s">
        <v>959</v>
      </c>
      <c r="D695" s="33"/>
      <c r="E695" s="29">
        <v>7530000</v>
      </c>
      <c r="F695" s="34">
        <f t="shared" si="45"/>
        <v>602400</v>
      </c>
      <c r="G695" s="37">
        <f t="shared" si="47"/>
        <v>8132400</v>
      </c>
      <c r="H695" s="35">
        <v>8132400</v>
      </c>
      <c r="I695" s="36">
        <f t="shared" si="46"/>
        <v>0</v>
      </c>
      <c r="J695" s="9">
        <v>46141</v>
      </c>
    </row>
    <row r="696" spans="1:10" ht="15" hidden="1" customHeight="1" x14ac:dyDescent="0.3">
      <c r="A696" s="30" t="s">
        <v>48</v>
      </c>
      <c r="B696" s="31" t="s">
        <v>999</v>
      </c>
      <c r="C696" s="32" t="s">
        <v>960</v>
      </c>
      <c r="D696" s="33"/>
      <c r="E696" s="29">
        <v>1965000</v>
      </c>
      <c r="F696" s="34">
        <f t="shared" si="45"/>
        <v>157200</v>
      </c>
      <c r="G696" s="37">
        <f t="shared" si="47"/>
        <v>2122200</v>
      </c>
      <c r="H696" s="35">
        <v>2122200</v>
      </c>
      <c r="I696" s="36">
        <f t="shared" si="46"/>
        <v>0</v>
      </c>
      <c r="J696" s="9">
        <v>46141</v>
      </c>
    </row>
    <row r="697" spans="1:10" ht="15" hidden="1" customHeight="1" x14ac:dyDescent="0.3">
      <c r="A697" s="30" t="s">
        <v>22</v>
      </c>
      <c r="B697" s="31" t="s">
        <v>999</v>
      </c>
      <c r="C697" s="32" t="s">
        <v>133</v>
      </c>
      <c r="D697" s="33"/>
      <c r="E697" s="29">
        <v>4715000</v>
      </c>
      <c r="F697" s="34">
        <f t="shared" si="45"/>
        <v>377200</v>
      </c>
      <c r="G697" s="37">
        <f t="shared" si="47"/>
        <v>5092200</v>
      </c>
      <c r="H697" s="35">
        <v>5092200</v>
      </c>
      <c r="I697" s="36">
        <f t="shared" si="46"/>
        <v>0</v>
      </c>
      <c r="J697" s="9">
        <v>46141</v>
      </c>
    </row>
    <row r="698" spans="1:10" ht="15" hidden="1" customHeight="1" x14ac:dyDescent="0.3">
      <c r="A698" s="30" t="s">
        <v>25</v>
      </c>
      <c r="B698" s="31" t="s">
        <v>999</v>
      </c>
      <c r="C698" s="32" t="s">
        <v>134</v>
      </c>
      <c r="D698" s="33"/>
      <c r="E698" s="29">
        <v>2925000</v>
      </c>
      <c r="F698" s="34">
        <f t="shared" si="45"/>
        <v>234000</v>
      </c>
      <c r="G698" s="37">
        <f t="shared" si="47"/>
        <v>3159000</v>
      </c>
      <c r="H698" s="35">
        <v>3159000</v>
      </c>
      <c r="I698" s="36">
        <f t="shared" si="46"/>
        <v>0</v>
      </c>
      <c r="J698" s="9">
        <v>46153</v>
      </c>
    </row>
    <row r="699" spans="1:10" ht="15" hidden="1" customHeight="1" x14ac:dyDescent="0.3">
      <c r="A699" s="30" t="s">
        <v>23</v>
      </c>
      <c r="B699" s="31" t="s">
        <v>999</v>
      </c>
      <c r="C699" s="32" t="s">
        <v>961</v>
      </c>
      <c r="D699" s="33"/>
      <c r="E699" s="29">
        <v>9300000</v>
      </c>
      <c r="F699" s="34">
        <f t="shared" si="45"/>
        <v>744000</v>
      </c>
      <c r="G699" s="37">
        <f t="shared" si="47"/>
        <v>10044000</v>
      </c>
      <c r="H699" s="35">
        <v>10044000</v>
      </c>
      <c r="I699" s="36">
        <f t="shared" si="46"/>
        <v>0</v>
      </c>
      <c r="J699" s="9">
        <v>46141</v>
      </c>
    </row>
    <row r="700" spans="1:10" ht="15" hidden="1" customHeight="1" x14ac:dyDescent="0.3">
      <c r="A700" s="30" t="s">
        <v>19</v>
      </c>
      <c r="B700" s="31" t="s">
        <v>999</v>
      </c>
      <c r="C700" s="32" t="s">
        <v>962</v>
      </c>
      <c r="D700" s="33"/>
      <c r="E700" s="29">
        <v>2880000</v>
      </c>
      <c r="F700" s="34">
        <f t="shared" si="45"/>
        <v>230400</v>
      </c>
      <c r="G700" s="37">
        <f t="shared" si="47"/>
        <v>3110400</v>
      </c>
      <c r="H700" s="35">
        <v>3110400</v>
      </c>
      <c r="I700" s="36">
        <f t="shared" si="46"/>
        <v>0</v>
      </c>
      <c r="J700" s="9">
        <v>46153</v>
      </c>
    </row>
    <row r="701" spans="1:10" ht="15" hidden="1" customHeight="1" x14ac:dyDescent="0.3">
      <c r="A701" s="30" t="s">
        <v>21</v>
      </c>
      <c r="B701" s="31" t="s">
        <v>999</v>
      </c>
      <c r="C701" s="32" t="s">
        <v>963</v>
      </c>
      <c r="D701" s="33"/>
      <c r="E701" s="29">
        <v>5970000</v>
      </c>
      <c r="F701" s="34">
        <f t="shared" si="45"/>
        <v>477600</v>
      </c>
      <c r="G701" s="37">
        <f t="shared" si="47"/>
        <v>6447600</v>
      </c>
      <c r="H701" s="35">
        <v>6447600</v>
      </c>
      <c r="I701" s="36">
        <f t="shared" si="46"/>
        <v>0</v>
      </c>
      <c r="J701" s="9">
        <v>46153</v>
      </c>
    </row>
    <row r="702" spans="1:10" ht="15" hidden="1" customHeight="1" x14ac:dyDescent="0.3">
      <c r="A702" s="30" t="s">
        <v>17</v>
      </c>
      <c r="B702" s="31" t="s">
        <v>999</v>
      </c>
      <c r="C702" s="32" t="s">
        <v>964</v>
      </c>
      <c r="D702" s="33"/>
      <c r="E702" s="29">
        <v>16345000</v>
      </c>
      <c r="F702" s="34">
        <f t="shared" si="45"/>
        <v>1307600</v>
      </c>
      <c r="G702" s="37">
        <f t="shared" si="47"/>
        <v>17652600</v>
      </c>
      <c r="H702" s="35">
        <v>17652600</v>
      </c>
      <c r="I702" s="36">
        <f t="shared" si="46"/>
        <v>0</v>
      </c>
      <c r="J702" s="9">
        <v>46153</v>
      </c>
    </row>
    <row r="703" spans="1:10" ht="15" hidden="1" customHeight="1" x14ac:dyDescent="0.3">
      <c r="A703" s="30" t="s">
        <v>20</v>
      </c>
      <c r="B703" s="31" t="s">
        <v>1000</v>
      </c>
      <c r="C703" s="32" t="s">
        <v>965</v>
      </c>
      <c r="D703" s="33"/>
      <c r="E703" s="29">
        <v>2855000</v>
      </c>
      <c r="F703" s="34">
        <f t="shared" si="45"/>
        <v>228400</v>
      </c>
      <c r="G703" s="37">
        <f t="shared" si="47"/>
        <v>3083400</v>
      </c>
      <c r="H703" s="35">
        <v>3083400</v>
      </c>
      <c r="I703" s="36">
        <f t="shared" si="46"/>
        <v>0</v>
      </c>
      <c r="J703" s="9">
        <v>46153</v>
      </c>
    </row>
    <row r="704" spans="1:10" ht="15" hidden="1" customHeight="1" x14ac:dyDescent="0.3">
      <c r="A704" s="30" t="s">
        <v>23</v>
      </c>
      <c r="B704" s="31" t="s">
        <v>1000</v>
      </c>
      <c r="C704" s="32" t="s">
        <v>966</v>
      </c>
      <c r="D704" s="33"/>
      <c r="E704" s="29">
        <v>5420000</v>
      </c>
      <c r="F704" s="34">
        <f t="shared" si="45"/>
        <v>433600</v>
      </c>
      <c r="G704" s="37">
        <f t="shared" si="47"/>
        <v>5853600</v>
      </c>
      <c r="H704" s="35">
        <v>5853600</v>
      </c>
      <c r="I704" s="36">
        <f t="shared" si="46"/>
        <v>0</v>
      </c>
      <c r="J704" s="9">
        <v>46153</v>
      </c>
    </row>
    <row r="705" spans="1:10" ht="15" hidden="1" customHeight="1" x14ac:dyDescent="0.3">
      <c r="A705" s="30" t="s">
        <v>27</v>
      </c>
      <c r="B705" s="31" t="s">
        <v>1000</v>
      </c>
      <c r="C705" s="32" t="s">
        <v>967</v>
      </c>
      <c r="D705" s="33"/>
      <c r="E705" s="29">
        <v>3630000</v>
      </c>
      <c r="F705" s="34">
        <f t="shared" si="45"/>
        <v>290400</v>
      </c>
      <c r="G705" s="37">
        <f t="shared" si="47"/>
        <v>3920400</v>
      </c>
      <c r="H705" s="35">
        <v>3920400</v>
      </c>
      <c r="I705" s="36">
        <f t="shared" si="46"/>
        <v>0</v>
      </c>
      <c r="J705" s="9">
        <v>46153</v>
      </c>
    </row>
    <row r="706" spans="1:10" ht="15" hidden="1" customHeight="1" x14ac:dyDescent="0.3">
      <c r="A706" s="30" t="s">
        <v>294</v>
      </c>
      <c r="B706" s="31" t="s">
        <v>1000</v>
      </c>
      <c r="C706" s="32" t="s">
        <v>968</v>
      </c>
      <c r="D706" s="33"/>
      <c r="E706" s="29">
        <v>5090000</v>
      </c>
      <c r="F706" s="34">
        <f t="shared" si="45"/>
        <v>407200</v>
      </c>
      <c r="G706" s="37">
        <f t="shared" si="47"/>
        <v>5497200</v>
      </c>
      <c r="H706" s="35">
        <v>5497200</v>
      </c>
      <c r="I706" s="36">
        <f t="shared" si="46"/>
        <v>0</v>
      </c>
      <c r="J706" s="9">
        <v>46153</v>
      </c>
    </row>
    <row r="707" spans="1:10" ht="15" hidden="1" customHeight="1" x14ac:dyDescent="0.3">
      <c r="A707" s="30" t="s">
        <v>28</v>
      </c>
      <c r="B707" s="31" t="s">
        <v>1001</v>
      </c>
      <c r="C707" s="32" t="s">
        <v>969</v>
      </c>
      <c r="D707" s="33"/>
      <c r="E707" s="29">
        <v>5670000</v>
      </c>
      <c r="F707" s="34">
        <f t="shared" ref="F707:F768" si="48">+E707*0.08</f>
        <v>453600</v>
      </c>
      <c r="G707" s="37">
        <f t="shared" si="47"/>
        <v>6123600</v>
      </c>
      <c r="H707" s="35">
        <v>6123600</v>
      </c>
      <c r="I707" s="36">
        <f t="shared" si="46"/>
        <v>0</v>
      </c>
      <c r="J707" s="9">
        <v>46153</v>
      </c>
    </row>
    <row r="708" spans="1:10" ht="15" hidden="1" customHeight="1" x14ac:dyDescent="0.3">
      <c r="A708" s="30" t="s">
        <v>18</v>
      </c>
      <c r="B708" s="31" t="s">
        <v>1002</v>
      </c>
      <c r="C708" s="32" t="s">
        <v>970</v>
      </c>
      <c r="D708" s="33"/>
      <c r="E708" s="29">
        <v>1005000</v>
      </c>
      <c r="F708" s="34">
        <f t="shared" si="48"/>
        <v>80400</v>
      </c>
      <c r="G708" s="37">
        <f t="shared" si="47"/>
        <v>1085400</v>
      </c>
      <c r="H708" s="35">
        <v>1085400</v>
      </c>
      <c r="I708" s="36">
        <f t="shared" si="46"/>
        <v>0</v>
      </c>
      <c r="J708" s="9">
        <v>46153</v>
      </c>
    </row>
    <row r="709" spans="1:10" ht="15" hidden="1" customHeight="1" x14ac:dyDescent="0.3">
      <c r="A709" s="30" t="s">
        <v>48</v>
      </c>
      <c r="B709" s="31" t="s">
        <v>1002</v>
      </c>
      <c r="C709" s="32" t="s">
        <v>971</v>
      </c>
      <c r="D709" s="33"/>
      <c r="E709" s="29">
        <v>4890000</v>
      </c>
      <c r="F709" s="34">
        <f t="shared" si="48"/>
        <v>391200</v>
      </c>
      <c r="G709" s="37">
        <f t="shared" si="47"/>
        <v>5281200</v>
      </c>
      <c r="H709" s="35">
        <v>5281200</v>
      </c>
      <c r="I709" s="36">
        <f t="shared" si="46"/>
        <v>0</v>
      </c>
      <c r="J709" s="9">
        <v>46153</v>
      </c>
    </row>
    <row r="710" spans="1:10" ht="15" hidden="1" customHeight="1" x14ac:dyDescent="0.3">
      <c r="A710" s="30" t="s">
        <v>22</v>
      </c>
      <c r="B710" s="31" t="s">
        <v>1002</v>
      </c>
      <c r="C710" s="32" t="s">
        <v>972</v>
      </c>
      <c r="D710" s="33"/>
      <c r="E710" s="29">
        <v>1965000</v>
      </c>
      <c r="F710" s="34">
        <f t="shared" si="48"/>
        <v>157200</v>
      </c>
      <c r="G710" s="37">
        <f t="shared" si="47"/>
        <v>2122200</v>
      </c>
      <c r="H710" s="35">
        <v>2122200</v>
      </c>
      <c r="I710" s="36">
        <f t="shared" si="46"/>
        <v>0</v>
      </c>
      <c r="J710" s="9">
        <v>46153</v>
      </c>
    </row>
    <row r="711" spans="1:10" ht="15" hidden="1" customHeight="1" x14ac:dyDescent="0.3">
      <c r="A711" s="30" t="s">
        <v>23</v>
      </c>
      <c r="B711" s="31" t="s">
        <v>1002</v>
      </c>
      <c r="C711" s="32" t="s">
        <v>973</v>
      </c>
      <c r="D711" s="33"/>
      <c r="E711" s="29">
        <v>11005000</v>
      </c>
      <c r="F711" s="34">
        <f t="shared" si="48"/>
        <v>880400</v>
      </c>
      <c r="G711" s="37">
        <f t="shared" si="47"/>
        <v>11885400</v>
      </c>
      <c r="H711" s="35">
        <v>11885400</v>
      </c>
      <c r="I711" s="36">
        <f t="shared" si="46"/>
        <v>0</v>
      </c>
      <c r="J711" s="9">
        <v>46153</v>
      </c>
    </row>
    <row r="712" spans="1:10" ht="15" hidden="1" customHeight="1" x14ac:dyDescent="0.3">
      <c r="A712" s="30" t="s">
        <v>21</v>
      </c>
      <c r="B712" s="31" t="s">
        <v>1002</v>
      </c>
      <c r="C712" s="32" t="s">
        <v>974</v>
      </c>
      <c r="D712" s="33"/>
      <c r="E712" s="29">
        <v>3045000</v>
      </c>
      <c r="F712" s="34">
        <f t="shared" si="48"/>
        <v>243600</v>
      </c>
      <c r="G712" s="37">
        <f t="shared" si="47"/>
        <v>3288600</v>
      </c>
      <c r="H712" s="35">
        <v>3288600</v>
      </c>
      <c r="I712" s="36">
        <f t="shared" si="46"/>
        <v>0</v>
      </c>
      <c r="J712" s="9">
        <v>46153</v>
      </c>
    </row>
    <row r="713" spans="1:10" ht="15" hidden="1" customHeight="1" x14ac:dyDescent="0.3">
      <c r="A713" s="30" t="s">
        <v>20</v>
      </c>
      <c r="B713" s="31" t="s">
        <v>1002</v>
      </c>
      <c r="C713" s="32" t="s">
        <v>975</v>
      </c>
      <c r="D713" s="33"/>
      <c r="E713" s="29">
        <v>990000</v>
      </c>
      <c r="F713" s="34">
        <f t="shared" si="48"/>
        <v>79200</v>
      </c>
      <c r="G713" s="37">
        <f t="shared" si="47"/>
        <v>1069200</v>
      </c>
      <c r="H713" s="35">
        <v>1069200</v>
      </c>
      <c r="I713" s="36">
        <f t="shared" si="46"/>
        <v>0</v>
      </c>
      <c r="J713" s="9">
        <v>46153</v>
      </c>
    </row>
    <row r="714" spans="1:10" ht="15" hidden="1" customHeight="1" x14ac:dyDescent="0.3">
      <c r="A714" s="30" t="s">
        <v>295</v>
      </c>
      <c r="B714" s="31" t="s">
        <v>1002</v>
      </c>
      <c r="C714" s="32" t="s">
        <v>976</v>
      </c>
      <c r="D714" s="33"/>
      <c r="E714" s="29">
        <v>2010000</v>
      </c>
      <c r="F714" s="34">
        <f t="shared" si="48"/>
        <v>160800</v>
      </c>
      <c r="G714" s="37">
        <f t="shared" si="47"/>
        <v>2170800</v>
      </c>
      <c r="H714" s="35">
        <v>2170800</v>
      </c>
      <c r="I714" s="36">
        <f t="shared" si="46"/>
        <v>0</v>
      </c>
      <c r="J714" s="9">
        <v>46153</v>
      </c>
    </row>
    <row r="715" spans="1:10" ht="15" hidden="1" customHeight="1" x14ac:dyDescent="0.3">
      <c r="A715" s="30" t="s">
        <v>32</v>
      </c>
      <c r="B715" s="31" t="s">
        <v>1002</v>
      </c>
      <c r="C715" s="32" t="s">
        <v>977</v>
      </c>
      <c r="D715" s="33"/>
      <c r="E715" s="29">
        <v>4010000</v>
      </c>
      <c r="F715" s="34">
        <f t="shared" si="48"/>
        <v>320800</v>
      </c>
      <c r="G715" s="37">
        <f t="shared" si="47"/>
        <v>4330800</v>
      </c>
      <c r="H715" s="35">
        <v>4330800</v>
      </c>
      <c r="I715" s="36">
        <f t="shared" si="46"/>
        <v>0</v>
      </c>
      <c r="J715" s="9">
        <v>46153</v>
      </c>
    </row>
    <row r="716" spans="1:10" ht="15" hidden="1" customHeight="1" x14ac:dyDescent="0.3">
      <c r="A716" s="30" t="s">
        <v>25</v>
      </c>
      <c r="B716" s="31" t="s">
        <v>1003</v>
      </c>
      <c r="C716" s="32" t="s">
        <v>978</v>
      </c>
      <c r="D716" s="33"/>
      <c r="E716" s="29">
        <v>2925000</v>
      </c>
      <c r="F716" s="34">
        <f t="shared" si="48"/>
        <v>234000</v>
      </c>
      <c r="G716" s="37">
        <f t="shared" si="47"/>
        <v>3159000</v>
      </c>
      <c r="H716" s="35">
        <v>3159000</v>
      </c>
      <c r="I716" s="36">
        <f t="shared" si="46"/>
        <v>0</v>
      </c>
      <c r="J716" s="9">
        <v>46153</v>
      </c>
    </row>
    <row r="717" spans="1:10" ht="15" hidden="1" customHeight="1" x14ac:dyDescent="0.3">
      <c r="A717" s="30" t="s">
        <v>21</v>
      </c>
      <c r="B717" s="31" t="s">
        <v>1003</v>
      </c>
      <c r="C717" s="32" t="s">
        <v>979</v>
      </c>
      <c r="D717" s="33"/>
      <c r="E717" s="29">
        <v>990000</v>
      </c>
      <c r="F717" s="34">
        <f t="shared" si="48"/>
        <v>79200</v>
      </c>
      <c r="G717" s="37">
        <f t="shared" si="47"/>
        <v>1069200</v>
      </c>
      <c r="H717" s="35">
        <v>1069200</v>
      </c>
      <c r="I717" s="36">
        <f t="shared" si="46"/>
        <v>0</v>
      </c>
      <c r="J717" s="9">
        <v>46153</v>
      </c>
    </row>
    <row r="718" spans="1:10" ht="15" hidden="1" customHeight="1" x14ac:dyDescent="0.3">
      <c r="A718" s="30" t="s">
        <v>25</v>
      </c>
      <c r="B718" s="31" t="s">
        <v>1003</v>
      </c>
      <c r="C718" s="32" t="s">
        <v>980</v>
      </c>
      <c r="D718" s="33"/>
      <c r="E718" s="29">
        <v>990000</v>
      </c>
      <c r="F718" s="34">
        <f t="shared" si="48"/>
        <v>79200</v>
      </c>
      <c r="G718" s="37">
        <f t="shared" si="47"/>
        <v>1069200</v>
      </c>
      <c r="H718" s="35">
        <v>1069200</v>
      </c>
      <c r="I718" s="36">
        <f t="shared" si="46"/>
        <v>0</v>
      </c>
      <c r="J718" s="9">
        <v>46153</v>
      </c>
    </row>
    <row r="719" spans="1:10" ht="15" hidden="1" customHeight="1" x14ac:dyDescent="0.3">
      <c r="A719" s="30" t="s">
        <v>21</v>
      </c>
      <c r="B719" s="31" t="s">
        <v>1004</v>
      </c>
      <c r="C719" s="32" t="s">
        <v>167</v>
      </c>
      <c r="D719" s="33"/>
      <c r="E719" s="29">
        <v>990000</v>
      </c>
      <c r="F719" s="34">
        <f t="shared" si="48"/>
        <v>79200</v>
      </c>
      <c r="G719" s="37">
        <f t="shared" si="47"/>
        <v>1069200</v>
      </c>
      <c r="H719" s="35">
        <v>1069200</v>
      </c>
      <c r="I719" s="36">
        <f t="shared" si="46"/>
        <v>0</v>
      </c>
      <c r="J719" s="9">
        <v>46153</v>
      </c>
    </row>
    <row r="720" spans="1:10" ht="15" hidden="1" customHeight="1" x14ac:dyDescent="0.3">
      <c r="A720" s="30" t="s">
        <v>21</v>
      </c>
      <c r="B720" s="31" t="s">
        <v>1005</v>
      </c>
      <c r="C720" s="32" t="s">
        <v>981</v>
      </c>
      <c r="D720" s="33"/>
      <c r="E720" s="29">
        <v>6440000</v>
      </c>
      <c r="F720" s="34">
        <f t="shared" si="48"/>
        <v>515200</v>
      </c>
      <c r="G720" s="37">
        <f t="shared" si="47"/>
        <v>6955200</v>
      </c>
      <c r="H720" s="35">
        <v>6955200</v>
      </c>
      <c r="I720" s="36">
        <f t="shared" si="46"/>
        <v>0</v>
      </c>
      <c r="J720" s="9">
        <v>46153</v>
      </c>
    </row>
    <row r="721" spans="1:10" ht="15" hidden="1" customHeight="1" x14ac:dyDescent="0.3">
      <c r="A721" s="30" t="s">
        <v>19</v>
      </c>
      <c r="B721" s="31" t="s">
        <v>1005</v>
      </c>
      <c r="C721" s="32" t="s">
        <v>982</v>
      </c>
      <c r="D721" s="33"/>
      <c r="E721" s="29">
        <v>1005000</v>
      </c>
      <c r="F721" s="34">
        <f t="shared" si="48"/>
        <v>80400</v>
      </c>
      <c r="G721" s="37">
        <f t="shared" si="47"/>
        <v>1085400</v>
      </c>
      <c r="H721" s="35">
        <v>1085400</v>
      </c>
      <c r="I721" s="36">
        <f t="shared" si="46"/>
        <v>0</v>
      </c>
      <c r="J721" s="9">
        <v>46153</v>
      </c>
    </row>
    <row r="722" spans="1:10" ht="15" hidden="1" customHeight="1" x14ac:dyDescent="0.3">
      <c r="A722" s="30" t="s">
        <v>23</v>
      </c>
      <c r="B722" s="31" t="s">
        <v>1005</v>
      </c>
      <c r="C722" s="32" t="s">
        <v>983</v>
      </c>
      <c r="D722" s="33"/>
      <c r="E722" s="29">
        <v>7890000</v>
      </c>
      <c r="F722" s="34">
        <f t="shared" si="48"/>
        <v>631200</v>
      </c>
      <c r="G722" s="37">
        <f t="shared" si="47"/>
        <v>8521200</v>
      </c>
      <c r="H722" s="35">
        <v>8521200</v>
      </c>
      <c r="I722" s="36">
        <f t="shared" si="46"/>
        <v>0</v>
      </c>
      <c r="J722" s="9">
        <v>46153</v>
      </c>
    </row>
    <row r="723" spans="1:10" s="57" customFormat="1" ht="15" hidden="1" customHeight="1" x14ac:dyDescent="0.3">
      <c r="A723" s="48" t="s">
        <v>25</v>
      </c>
      <c r="B723" s="49" t="s">
        <v>1005</v>
      </c>
      <c r="C723" s="60" t="s">
        <v>984</v>
      </c>
      <c r="D723" s="50"/>
      <c r="E723" s="51">
        <v>2040000</v>
      </c>
      <c r="F723" s="52">
        <f t="shared" si="48"/>
        <v>163200</v>
      </c>
      <c r="G723" s="53">
        <f t="shared" si="47"/>
        <v>2203200</v>
      </c>
      <c r="H723" s="54">
        <v>2203200</v>
      </c>
      <c r="I723" s="55">
        <f t="shared" si="46"/>
        <v>0</v>
      </c>
      <c r="J723" s="56">
        <v>46183</v>
      </c>
    </row>
    <row r="724" spans="1:10" ht="15" hidden="1" customHeight="1" x14ac:dyDescent="0.3">
      <c r="A724" s="30" t="s">
        <v>27</v>
      </c>
      <c r="B724" s="31" t="s">
        <v>1005</v>
      </c>
      <c r="C724" s="32" t="s">
        <v>985</v>
      </c>
      <c r="D724" s="33"/>
      <c r="E724" s="29">
        <v>7845000</v>
      </c>
      <c r="F724" s="34">
        <f t="shared" si="48"/>
        <v>627600</v>
      </c>
      <c r="G724" s="37">
        <f t="shared" si="47"/>
        <v>8472600</v>
      </c>
      <c r="H724" s="35">
        <v>8472600</v>
      </c>
      <c r="I724" s="36">
        <f t="shared" si="46"/>
        <v>0</v>
      </c>
      <c r="J724" s="9">
        <v>46153</v>
      </c>
    </row>
    <row r="725" spans="1:10" ht="15" hidden="1" customHeight="1" x14ac:dyDescent="0.3">
      <c r="A725" s="30" t="s">
        <v>48</v>
      </c>
      <c r="B725" s="31" t="s">
        <v>1005</v>
      </c>
      <c r="C725" s="32" t="s">
        <v>986</v>
      </c>
      <c r="D725" s="33"/>
      <c r="E725" s="29">
        <v>2970000</v>
      </c>
      <c r="F725" s="34">
        <f t="shared" si="48"/>
        <v>237600</v>
      </c>
      <c r="G725" s="37">
        <f t="shared" si="47"/>
        <v>3207600</v>
      </c>
      <c r="H725" s="35">
        <v>3207600</v>
      </c>
      <c r="I725" s="36">
        <f t="shared" si="46"/>
        <v>0</v>
      </c>
      <c r="J725" s="9">
        <v>46153</v>
      </c>
    </row>
    <row r="726" spans="1:10" ht="15" hidden="1" customHeight="1" x14ac:dyDescent="0.3">
      <c r="A726" s="30" t="s">
        <v>32</v>
      </c>
      <c r="B726" s="31" t="s">
        <v>1005</v>
      </c>
      <c r="C726" s="32" t="s">
        <v>987</v>
      </c>
      <c r="D726" s="33"/>
      <c r="E726" s="29">
        <v>12120000</v>
      </c>
      <c r="F726" s="34">
        <f t="shared" si="48"/>
        <v>969600</v>
      </c>
      <c r="G726" s="37">
        <f t="shared" si="47"/>
        <v>13089600</v>
      </c>
      <c r="H726" s="35">
        <v>13089600</v>
      </c>
      <c r="I726" s="36">
        <f t="shared" si="46"/>
        <v>0</v>
      </c>
      <c r="J726" s="9">
        <v>46153</v>
      </c>
    </row>
    <row r="727" spans="1:10" ht="15" hidden="1" customHeight="1" x14ac:dyDescent="0.3">
      <c r="A727" s="30" t="s">
        <v>23</v>
      </c>
      <c r="B727" s="31" t="s">
        <v>1006</v>
      </c>
      <c r="C727" s="32" t="s">
        <v>988</v>
      </c>
      <c r="D727" s="33"/>
      <c r="E727" s="29">
        <v>3770000</v>
      </c>
      <c r="F727" s="34">
        <f t="shared" si="48"/>
        <v>301600</v>
      </c>
      <c r="G727" s="37">
        <f t="shared" si="47"/>
        <v>4071600</v>
      </c>
      <c r="H727" s="35">
        <v>4071600</v>
      </c>
      <c r="I727" s="36">
        <f t="shared" si="46"/>
        <v>0</v>
      </c>
      <c r="J727" s="9">
        <v>46153</v>
      </c>
    </row>
    <row r="728" spans="1:10" ht="15" hidden="1" customHeight="1" x14ac:dyDescent="0.3">
      <c r="A728" s="30" t="s">
        <v>17</v>
      </c>
      <c r="B728" s="31" t="s">
        <v>1007</v>
      </c>
      <c r="C728" s="32" t="s">
        <v>989</v>
      </c>
      <c r="D728" s="33"/>
      <c r="E728" s="29">
        <v>28305000</v>
      </c>
      <c r="F728" s="34">
        <f t="shared" si="48"/>
        <v>2264400</v>
      </c>
      <c r="G728" s="37">
        <f t="shared" si="47"/>
        <v>30569400</v>
      </c>
      <c r="H728" s="35">
        <v>30569400</v>
      </c>
      <c r="I728" s="36">
        <f t="shared" si="46"/>
        <v>0</v>
      </c>
      <c r="J728" s="9">
        <v>46171</v>
      </c>
    </row>
    <row r="729" spans="1:10" ht="15" hidden="1" customHeight="1" x14ac:dyDescent="0.3">
      <c r="A729" s="30" t="s">
        <v>26</v>
      </c>
      <c r="B729" s="31" t="s">
        <v>1008</v>
      </c>
      <c r="C729" s="32" t="s">
        <v>990</v>
      </c>
      <c r="D729" s="33"/>
      <c r="E729" s="29">
        <v>5700000</v>
      </c>
      <c r="F729" s="34">
        <f t="shared" si="48"/>
        <v>456000</v>
      </c>
      <c r="G729" s="37">
        <f t="shared" si="47"/>
        <v>6156000</v>
      </c>
      <c r="H729" s="35">
        <v>6156000</v>
      </c>
      <c r="I729" s="36">
        <f t="shared" si="46"/>
        <v>0</v>
      </c>
      <c r="J729" s="9">
        <v>46171</v>
      </c>
    </row>
    <row r="730" spans="1:10" ht="15" hidden="1" customHeight="1" x14ac:dyDescent="0.3">
      <c r="A730" s="30" t="s">
        <v>32</v>
      </c>
      <c r="B730" s="31" t="s">
        <v>1008</v>
      </c>
      <c r="C730" s="32" t="s">
        <v>991</v>
      </c>
      <c r="D730" s="33"/>
      <c r="E730" s="29">
        <v>18560000</v>
      </c>
      <c r="F730" s="34">
        <f t="shared" si="48"/>
        <v>1484800</v>
      </c>
      <c r="G730" s="37">
        <f t="shared" si="47"/>
        <v>20044800</v>
      </c>
      <c r="H730" s="35">
        <v>20044800</v>
      </c>
      <c r="I730" s="36">
        <f t="shared" si="46"/>
        <v>0</v>
      </c>
      <c r="J730" s="9">
        <v>46171</v>
      </c>
    </row>
    <row r="731" spans="1:10" ht="15" hidden="1" customHeight="1" x14ac:dyDescent="0.3">
      <c r="A731" s="30" t="s">
        <v>48</v>
      </c>
      <c r="B731" s="31" t="s">
        <v>1008</v>
      </c>
      <c r="C731" s="32" t="s">
        <v>992</v>
      </c>
      <c r="D731" s="33"/>
      <c r="E731" s="29">
        <v>6540000</v>
      </c>
      <c r="F731" s="34">
        <f t="shared" si="48"/>
        <v>523200</v>
      </c>
      <c r="G731" s="37">
        <f t="shared" si="47"/>
        <v>7063200</v>
      </c>
      <c r="H731" s="35">
        <v>7063200</v>
      </c>
      <c r="I731" s="36">
        <f t="shared" si="46"/>
        <v>0</v>
      </c>
      <c r="J731" s="9">
        <v>46183</v>
      </c>
    </row>
    <row r="732" spans="1:10" ht="15" hidden="1" customHeight="1" x14ac:dyDescent="0.3">
      <c r="A732" s="30" t="s">
        <v>27</v>
      </c>
      <c r="B732" s="31" t="s">
        <v>1008</v>
      </c>
      <c r="C732" s="32" t="s">
        <v>993</v>
      </c>
      <c r="D732" s="33"/>
      <c r="E732" s="29">
        <v>1850000</v>
      </c>
      <c r="F732" s="34">
        <f t="shared" si="48"/>
        <v>148000</v>
      </c>
      <c r="G732" s="37">
        <f t="shared" si="47"/>
        <v>1998000</v>
      </c>
      <c r="H732" s="35">
        <v>1998000</v>
      </c>
      <c r="I732" s="36">
        <f t="shared" si="46"/>
        <v>0</v>
      </c>
      <c r="J732" s="9">
        <v>46171</v>
      </c>
    </row>
    <row r="733" spans="1:10" ht="15" hidden="1" customHeight="1" x14ac:dyDescent="0.3">
      <c r="A733" s="30" t="s">
        <v>25</v>
      </c>
      <c r="B733" s="31" t="s">
        <v>1008</v>
      </c>
      <c r="C733" s="32" t="s">
        <v>994</v>
      </c>
      <c r="D733" s="33"/>
      <c r="E733" s="29">
        <v>3045000</v>
      </c>
      <c r="F733" s="34">
        <f t="shared" si="48"/>
        <v>243600</v>
      </c>
      <c r="G733" s="37">
        <f t="shared" si="47"/>
        <v>3288600</v>
      </c>
      <c r="H733" s="35">
        <v>3288600</v>
      </c>
      <c r="I733" s="36">
        <f t="shared" si="46"/>
        <v>0</v>
      </c>
      <c r="J733" s="9">
        <v>46171</v>
      </c>
    </row>
    <row r="734" spans="1:10" ht="15" hidden="1" customHeight="1" x14ac:dyDescent="0.3">
      <c r="A734" s="30" t="s">
        <v>21</v>
      </c>
      <c r="B734" s="31" t="s">
        <v>1008</v>
      </c>
      <c r="C734" s="32" t="s">
        <v>995</v>
      </c>
      <c r="D734" s="33"/>
      <c r="E734" s="29">
        <v>5960000</v>
      </c>
      <c r="F734" s="34">
        <f t="shared" si="48"/>
        <v>476800</v>
      </c>
      <c r="G734" s="37">
        <f t="shared" si="47"/>
        <v>6436800</v>
      </c>
      <c r="H734" s="35">
        <v>6436800</v>
      </c>
      <c r="I734" s="36">
        <f t="shared" si="46"/>
        <v>0</v>
      </c>
      <c r="J734" s="9">
        <v>46171</v>
      </c>
    </row>
    <row r="735" spans="1:10" ht="15" hidden="1" customHeight="1" x14ac:dyDescent="0.3">
      <c r="A735" s="30" t="s">
        <v>295</v>
      </c>
      <c r="B735" s="31" t="s">
        <v>1009</v>
      </c>
      <c r="C735" s="32" t="s">
        <v>996</v>
      </c>
      <c r="D735" s="33"/>
      <c r="E735" s="29">
        <v>5100000</v>
      </c>
      <c r="F735" s="34">
        <f t="shared" si="48"/>
        <v>408000</v>
      </c>
      <c r="G735" s="37">
        <f t="shared" si="47"/>
        <v>5508000</v>
      </c>
      <c r="H735" s="35">
        <v>5508000</v>
      </c>
      <c r="I735" s="36">
        <f t="shared" si="46"/>
        <v>0</v>
      </c>
      <c r="J735" s="9">
        <v>46171</v>
      </c>
    </row>
    <row r="736" spans="1:10" ht="15" hidden="1" customHeight="1" x14ac:dyDescent="0.3">
      <c r="A736" s="30" t="s">
        <v>18</v>
      </c>
      <c r="B736" s="31" t="s">
        <v>1009</v>
      </c>
      <c r="C736" s="32" t="s">
        <v>997</v>
      </c>
      <c r="D736" s="33"/>
      <c r="E736" s="29">
        <v>7005000</v>
      </c>
      <c r="F736" s="34">
        <f t="shared" si="48"/>
        <v>560400</v>
      </c>
      <c r="G736" s="37">
        <f t="shared" si="47"/>
        <v>7565400</v>
      </c>
      <c r="H736" s="35">
        <v>7565400</v>
      </c>
      <c r="I736" s="36">
        <f t="shared" si="46"/>
        <v>0</v>
      </c>
      <c r="J736" s="9">
        <v>46171</v>
      </c>
    </row>
    <row r="737" spans="1:10" ht="15" hidden="1" customHeight="1" x14ac:dyDescent="0.3">
      <c r="A737" s="30" t="s">
        <v>48</v>
      </c>
      <c r="B737" s="31" t="s">
        <v>1004</v>
      </c>
      <c r="C737" s="33" t="s">
        <v>1010</v>
      </c>
      <c r="D737" s="33"/>
      <c r="E737" s="29">
        <v>-46590500</v>
      </c>
      <c r="F737" s="34">
        <f t="shared" si="48"/>
        <v>-3727240</v>
      </c>
      <c r="G737" s="37">
        <f t="shared" si="47"/>
        <v>-50317740</v>
      </c>
      <c r="H737" s="35">
        <v>-50317740</v>
      </c>
      <c r="I737" s="36">
        <f t="shared" si="46"/>
        <v>0</v>
      </c>
      <c r="J737" s="9">
        <v>46122</v>
      </c>
    </row>
    <row r="738" spans="1:10" ht="15" hidden="1" customHeight="1" x14ac:dyDescent="0.3">
      <c r="A738" s="30" t="s">
        <v>48</v>
      </c>
      <c r="B738" s="31" t="s">
        <v>1004</v>
      </c>
      <c r="C738" s="33" t="s">
        <v>1011</v>
      </c>
      <c r="D738" s="33"/>
      <c r="E738" s="29">
        <v>-11440000</v>
      </c>
      <c r="F738" s="34">
        <f t="shared" si="48"/>
        <v>-915200</v>
      </c>
      <c r="G738" s="37">
        <f t="shared" si="47"/>
        <v>-12355200</v>
      </c>
      <c r="H738" s="35">
        <v>-12355200</v>
      </c>
      <c r="I738" s="36">
        <f t="shared" si="46"/>
        <v>0</v>
      </c>
      <c r="J738" s="9">
        <v>46122</v>
      </c>
    </row>
    <row r="739" spans="1:10" ht="15" hidden="1" customHeight="1" x14ac:dyDescent="0.3">
      <c r="A739" s="30" t="s">
        <v>48</v>
      </c>
      <c r="B739" s="31" t="s">
        <v>1004</v>
      </c>
      <c r="C739" s="33" t="s">
        <v>1012</v>
      </c>
      <c r="D739" s="33"/>
      <c r="E739" s="29">
        <v>-627000</v>
      </c>
      <c r="F739" s="34">
        <f t="shared" si="48"/>
        <v>-50160</v>
      </c>
      <c r="G739" s="37">
        <f t="shared" si="47"/>
        <v>-677160</v>
      </c>
      <c r="H739" s="35">
        <v>-677160</v>
      </c>
      <c r="I739" s="36">
        <f t="shared" si="46"/>
        <v>0</v>
      </c>
      <c r="J739" s="9">
        <v>46122</v>
      </c>
    </row>
    <row r="740" spans="1:10" ht="15" hidden="1" customHeight="1" x14ac:dyDescent="0.3">
      <c r="A740" s="30" t="s">
        <v>25</v>
      </c>
      <c r="B740" s="31" t="s">
        <v>1004</v>
      </c>
      <c r="C740" s="33" t="s">
        <v>1013</v>
      </c>
      <c r="D740" s="33"/>
      <c r="E740" s="29">
        <v>-837500</v>
      </c>
      <c r="F740" s="34">
        <f t="shared" si="48"/>
        <v>-67000</v>
      </c>
      <c r="G740" s="37">
        <f t="shared" si="47"/>
        <v>-904500</v>
      </c>
      <c r="H740" s="35">
        <v>-904500</v>
      </c>
      <c r="I740" s="36">
        <f t="shared" si="46"/>
        <v>0</v>
      </c>
      <c r="J740" s="9">
        <v>46122</v>
      </c>
    </row>
    <row r="741" spans="1:10" ht="15" hidden="1" customHeight="1" x14ac:dyDescent="0.3">
      <c r="A741" s="30" t="s">
        <v>25</v>
      </c>
      <c r="B741" s="31" t="s">
        <v>1004</v>
      </c>
      <c r="C741" s="33" t="s">
        <v>1014</v>
      </c>
      <c r="D741" s="33"/>
      <c r="E741" s="29">
        <v>-5768400</v>
      </c>
      <c r="F741" s="34">
        <f t="shared" si="48"/>
        <v>-461472</v>
      </c>
      <c r="G741" s="37">
        <f t="shared" si="47"/>
        <v>-6229872</v>
      </c>
      <c r="H741" s="35">
        <v>-6229872</v>
      </c>
      <c r="I741" s="36">
        <f t="shared" si="46"/>
        <v>0</v>
      </c>
      <c r="J741" s="9">
        <v>46122</v>
      </c>
    </row>
    <row r="742" spans="1:10" ht="15" hidden="1" customHeight="1" x14ac:dyDescent="0.3">
      <c r="A742" s="30" t="s">
        <v>25</v>
      </c>
      <c r="B742" s="31" t="s">
        <v>1004</v>
      </c>
      <c r="C742" s="33" t="s">
        <v>1015</v>
      </c>
      <c r="D742" s="33"/>
      <c r="E742" s="29">
        <v>-2906500</v>
      </c>
      <c r="F742" s="34">
        <f t="shared" si="48"/>
        <v>-232520</v>
      </c>
      <c r="G742" s="37">
        <f t="shared" si="47"/>
        <v>-3139020</v>
      </c>
      <c r="H742" s="35">
        <v>-3139020</v>
      </c>
      <c r="I742" s="36">
        <f t="shared" ref="I742:I803" si="49">G742-H742</f>
        <v>0</v>
      </c>
      <c r="J742" s="9">
        <v>46122</v>
      </c>
    </row>
    <row r="743" spans="1:10" ht="15" hidden="1" customHeight="1" x14ac:dyDescent="0.3">
      <c r="A743" s="30" t="s">
        <v>18</v>
      </c>
      <c r="B743" s="31" t="s">
        <v>1004</v>
      </c>
      <c r="C743" s="33" t="s">
        <v>1016</v>
      </c>
      <c r="D743" s="33"/>
      <c r="E743" s="29">
        <v>-10645000</v>
      </c>
      <c r="F743" s="34">
        <f t="shared" si="48"/>
        <v>-851600</v>
      </c>
      <c r="G743" s="37">
        <f t="shared" si="47"/>
        <v>-11496600</v>
      </c>
      <c r="H743" s="35">
        <v>-11496600</v>
      </c>
      <c r="I743" s="36">
        <f t="shared" si="49"/>
        <v>0</v>
      </c>
      <c r="J743" s="9">
        <v>46122</v>
      </c>
    </row>
    <row r="744" spans="1:10" ht="15" hidden="1" customHeight="1" x14ac:dyDescent="0.3">
      <c r="A744" s="30" t="s">
        <v>18</v>
      </c>
      <c r="B744" s="31" t="s">
        <v>1004</v>
      </c>
      <c r="C744" s="33" t="s">
        <v>1017</v>
      </c>
      <c r="D744" s="33"/>
      <c r="E744" s="29">
        <v>-2175000</v>
      </c>
      <c r="F744" s="34">
        <f t="shared" si="48"/>
        <v>-174000</v>
      </c>
      <c r="G744" s="37">
        <f t="shared" si="47"/>
        <v>-2349000</v>
      </c>
      <c r="H744" s="35">
        <v>-2349000</v>
      </c>
      <c r="I744" s="36">
        <f t="shared" si="49"/>
        <v>0</v>
      </c>
      <c r="J744" s="9">
        <v>46122</v>
      </c>
    </row>
    <row r="745" spans="1:10" ht="15" hidden="1" customHeight="1" x14ac:dyDescent="0.3">
      <c r="A745" s="30" t="s">
        <v>18</v>
      </c>
      <c r="B745" s="31" t="s">
        <v>1004</v>
      </c>
      <c r="C745" s="33" t="s">
        <v>1018</v>
      </c>
      <c r="D745" s="33"/>
      <c r="E745" s="29">
        <v>-3312000</v>
      </c>
      <c r="F745" s="34">
        <f t="shared" si="48"/>
        <v>-264960</v>
      </c>
      <c r="G745" s="37">
        <f t="shared" si="47"/>
        <v>-3576960</v>
      </c>
      <c r="H745" s="35">
        <v>-3576960</v>
      </c>
      <c r="I745" s="36">
        <f t="shared" si="49"/>
        <v>0</v>
      </c>
      <c r="J745" s="9">
        <v>46122</v>
      </c>
    </row>
    <row r="746" spans="1:10" ht="15" hidden="1" customHeight="1" x14ac:dyDescent="0.3">
      <c r="A746" s="30" t="s">
        <v>18</v>
      </c>
      <c r="B746" s="31" t="s">
        <v>1004</v>
      </c>
      <c r="C746" s="33" t="s">
        <v>1019</v>
      </c>
      <c r="D746" s="33"/>
      <c r="E746" s="29">
        <v>-880000</v>
      </c>
      <c r="F746" s="34">
        <f t="shared" si="48"/>
        <v>-70400</v>
      </c>
      <c r="G746" s="37">
        <f t="shared" si="47"/>
        <v>-950400</v>
      </c>
      <c r="H746" s="35">
        <v>-950400</v>
      </c>
      <c r="I746" s="36">
        <f t="shared" si="49"/>
        <v>0</v>
      </c>
      <c r="J746" s="9">
        <v>46122</v>
      </c>
    </row>
    <row r="747" spans="1:10" ht="15" hidden="1" customHeight="1" x14ac:dyDescent="0.3">
      <c r="A747" s="30" t="s">
        <v>20</v>
      </c>
      <c r="B747" s="31" t="s">
        <v>1004</v>
      </c>
      <c r="C747" s="33" t="s">
        <v>1020</v>
      </c>
      <c r="D747" s="33"/>
      <c r="E747" s="29">
        <v>-400000</v>
      </c>
      <c r="F747" s="34">
        <f t="shared" si="48"/>
        <v>-32000</v>
      </c>
      <c r="G747" s="37">
        <f t="shared" si="47"/>
        <v>-432000</v>
      </c>
      <c r="H747" s="35">
        <v>-432000</v>
      </c>
      <c r="I747" s="36">
        <f t="shared" si="49"/>
        <v>0</v>
      </c>
      <c r="J747" s="9">
        <v>46122</v>
      </c>
    </row>
    <row r="748" spans="1:10" ht="15" hidden="1" customHeight="1" x14ac:dyDescent="0.3">
      <c r="A748" s="30" t="s">
        <v>20</v>
      </c>
      <c r="B748" s="31" t="s">
        <v>1004</v>
      </c>
      <c r="C748" s="33" t="s">
        <v>1021</v>
      </c>
      <c r="D748" s="33"/>
      <c r="E748" s="29">
        <v>-634700</v>
      </c>
      <c r="F748" s="34">
        <f t="shared" si="48"/>
        <v>-50776</v>
      </c>
      <c r="G748" s="37">
        <f t="shared" ref="G748:G809" si="50">+F748+E748</f>
        <v>-685476</v>
      </c>
      <c r="H748" s="35">
        <v>-685476</v>
      </c>
      <c r="I748" s="36">
        <f t="shared" si="49"/>
        <v>0</v>
      </c>
      <c r="J748" s="9">
        <v>46122</v>
      </c>
    </row>
    <row r="749" spans="1:10" ht="15" hidden="1" customHeight="1" x14ac:dyDescent="0.3">
      <c r="A749" s="30" t="s">
        <v>294</v>
      </c>
      <c r="B749" s="31" t="s">
        <v>1004</v>
      </c>
      <c r="C749" s="33" t="s">
        <v>1022</v>
      </c>
      <c r="D749" s="33"/>
      <c r="E749" s="29">
        <v>-162273100</v>
      </c>
      <c r="F749" s="34">
        <f t="shared" si="48"/>
        <v>-12981848</v>
      </c>
      <c r="G749" s="37">
        <f t="shared" si="50"/>
        <v>-175254948</v>
      </c>
      <c r="H749" s="35">
        <v>-175254948</v>
      </c>
      <c r="I749" s="36">
        <f t="shared" si="49"/>
        <v>0</v>
      </c>
      <c r="J749" s="9">
        <v>46122</v>
      </c>
    </row>
    <row r="750" spans="1:10" ht="15" hidden="1" customHeight="1" x14ac:dyDescent="0.3">
      <c r="A750" s="30" t="s">
        <v>294</v>
      </c>
      <c r="B750" s="31" t="s">
        <v>1004</v>
      </c>
      <c r="C750" s="33" t="s">
        <v>1023</v>
      </c>
      <c r="D750" s="33"/>
      <c r="E750" s="29">
        <v>-6090000</v>
      </c>
      <c r="F750" s="34">
        <f t="shared" si="48"/>
        <v>-487200</v>
      </c>
      <c r="G750" s="37">
        <f t="shared" si="50"/>
        <v>-6577200</v>
      </c>
      <c r="H750" s="35">
        <v>-6577200</v>
      </c>
      <c r="I750" s="36">
        <f t="shared" si="49"/>
        <v>0</v>
      </c>
      <c r="J750" s="9">
        <v>46122</v>
      </c>
    </row>
    <row r="751" spans="1:10" ht="15" hidden="1" customHeight="1" x14ac:dyDescent="0.3">
      <c r="A751" s="30" t="s">
        <v>22</v>
      </c>
      <c r="B751" s="31" t="s">
        <v>1004</v>
      </c>
      <c r="C751" s="33" t="s">
        <v>1024</v>
      </c>
      <c r="D751" s="33"/>
      <c r="E751" s="29">
        <v>-3289000</v>
      </c>
      <c r="F751" s="34">
        <f t="shared" si="48"/>
        <v>-263120</v>
      </c>
      <c r="G751" s="37">
        <f t="shared" si="50"/>
        <v>-3552120</v>
      </c>
      <c r="H751" s="35">
        <v>-3552120</v>
      </c>
      <c r="I751" s="36">
        <f t="shared" si="49"/>
        <v>0</v>
      </c>
      <c r="J751" s="9">
        <v>46122</v>
      </c>
    </row>
    <row r="752" spans="1:10" ht="15" hidden="1" customHeight="1" x14ac:dyDescent="0.3">
      <c r="A752" s="30" t="s">
        <v>22</v>
      </c>
      <c r="B752" s="31" t="s">
        <v>1004</v>
      </c>
      <c r="C752" s="33" t="s">
        <v>1025</v>
      </c>
      <c r="D752" s="33"/>
      <c r="E752" s="29">
        <v>-1972000</v>
      </c>
      <c r="F752" s="34">
        <f t="shared" si="48"/>
        <v>-157760</v>
      </c>
      <c r="G752" s="37">
        <f t="shared" si="50"/>
        <v>-2129760</v>
      </c>
      <c r="H752" s="35">
        <v>-2129760</v>
      </c>
      <c r="I752" s="36">
        <f t="shared" si="49"/>
        <v>0</v>
      </c>
      <c r="J752" s="9">
        <v>46122</v>
      </c>
    </row>
    <row r="753" spans="1:10" ht="15" hidden="1" customHeight="1" x14ac:dyDescent="0.3">
      <c r="A753" s="30" t="s">
        <v>23</v>
      </c>
      <c r="B753" s="31" t="s">
        <v>1004</v>
      </c>
      <c r="C753" s="33" t="s">
        <v>1026</v>
      </c>
      <c r="D753" s="33"/>
      <c r="E753" s="29">
        <v>-44768900</v>
      </c>
      <c r="F753" s="34">
        <f t="shared" si="48"/>
        <v>-3581512</v>
      </c>
      <c r="G753" s="37">
        <f t="shared" si="50"/>
        <v>-48350412</v>
      </c>
      <c r="H753" s="35">
        <v>-48350412</v>
      </c>
      <c r="I753" s="36">
        <f t="shared" si="49"/>
        <v>0</v>
      </c>
      <c r="J753" s="9">
        <v>46122</v>
      </c>
    </row>
    <row r="754" spans="1:10" ht="15" hidden="1" customHeight="1" x14ac:dyDescent="0.3">
      <c r="A754" s="30" t="s">
        <v>23</v>
      </c>
      <c r="B754" s="31" t="s">
        <v>1004</v>
      </c>
      <c r="C754" s="33" t="s">
        <v>1027</v>
      </c>
      <c r="D754" s="33"/>
      <c r="E754" s="29">
        <v>-58500000</v>
      </c>
      <c r="F754" s="34">
        <f t="shared" si="48"/>
        <v>-4680000</v>
      </c>
      <c r="G754" s="37">
        <f t="shared" si="50"/>
        <v>-63180000</v>
      </c>
      <c r="H754" s="35">
        <v>-63180000</v>
      </c>
      <c r="I754" s="36">
        <f t="shared" si="49"/>
        <v>0</v>
      </c>
      <c r="J754" s="9">
        <v>46122</v>
      </c>
    </row>
    <row r="755" spans="1:10" ht="15" hidden="1" customHeight="1" x14ac:dyDescent="0.3">
      <c r="A755" s="30" t="s">
        <v>21</v>
      </c>
      <c r="B755" s="31" t="s">
        <v>1004</v>
      </c>
      <c r="C755" s="33" t="s">
        <v>1028</v>
      </c>
      <c r="D755" s="33"/>
      <c r="E755" s="29">
        <v>-2630300</v>
      </c>
      <c r="F755" s="34">
        <f t="shared" si="48"/>
        <v>-210424</v>
      </c>
      <c r="G755" s="37">
        <f t="shared" si="50"/>
        <v>-2840724</v>
      </c>
      <c r="H755" s="35">
        <v>-2840724</v>
      </c>
      <c r="I755" s="36">
        <f t="shared" si="49"/>
        <v>0</v>
      </c>
      <c r="J755" s="9">
        <v>46122</v>
      </c>
    </row>
    <row r="756" spans="1:10" ht="15" hidden="1" customHeight="1" x14ac:dyDescent="0.3">
      <c r="A756" s="30" t="s">
        <v>21</v>
      </c>
      <c r="B756" s="31" t="s">
        <v>1004</v>
      </c>
      <c r="C756" s="33" t="s">
        <v>1029</v>
      </c>
      <c r="D756" s="33"/>
      <c r="E756" s="29">
        <v>-39093120</v>
      </c>
      <c r="F756" s="34">
        <f t="shared" si="48"/>
        <v>-3127449.6000000001</v>
      </c>
      <c r="G756" s="37">
        <f t="shared" si="50"/>
        <v>-42220569.600000001</v>
      </c>
      <c r="H756" s="35">
        <v>-42220569.600000001</v>
      </c>
      <c r="I756" s="36">
        <f t="shared" si="49"/>
        <v>0</v>
      </c>
      <c r="J756" s="9">
        <v>46122</v>
      </c>
    </row>
    <row r="757" spans="1:10" ht="15" hidden="1" customHeight="1" x14ac:dyDescent="0.3">
      <c r="A757" s="30" t="s">
        <v>27</v>
      </c>
      <c r="B757" s="31" t="s">
        <v>1004</v>
      </c>
      <c r="C757" s="33" t="s">
        <v>1030</v>
      </c>
      <c r="D757" s="33"/>
      <c r="E757" s="29">
        <v>-36727500</v>
      </c>
      <c r="F757" s="34">
        <f t="shared" si="48"/>
        <v>-2938200</v>
      </c>
      <c r="G757" s="37">
        <f t="shared" si="50"/>
        <v>-39665700</v>
      </c>
      <c r="H757" s="35">
        <v>-39665700</v>
      </c>
      <c r="I757" s="36">
        <f t="shared" si="49"/>
        <v>0</v>
      </c>
      <c r="J757" s="9">
        <v>46122</v>
      </c>
    </row>
    <row r="758" spans="1:10" ht="15" hidden="1" customHeight="1" x14ac:dyDescent="0.3">
      <c r="A758" s="30" t="s">
        <v>295</v>
      </c>
      <c r="B758" s="31" t="s">
        <v>1037</v>
      </c>
      <c r="C758" s="33" t="s">
        <v>1031</v>
      </c>
      <c r="D758" s="33"/>
      <c r="E758" s="29">
        <v>-31958900</v>
      </c>
      <c r="F758" s="34">
        <f t="shared" si="48"/>
        <v>-2556712</v>
      </c>
      <c r="G758" s="37">
        <f t="shared" si="50"/>
        <v>-34515612</v>
      </c>
      <c r="H758" s="35">
        <v>-34515612</v>
      </c>
      <c r="I758" s="36">
        <f t="shared" si="49"/>
        <v>0</v>
      </c>
      <c r="J758" s="9">
        <v>46122</v>
      </c>
    </row>
    <row r="759" spans="1:10" ht="15" hidden="1" customHeight="1" x14ac:dyDescent="0.3">
      <c r="A759" s="30" t="s">
        <v>295</v>
      </c>
      <c r="B759" s="31" t="s">
        <v>1037</v>
      </c>
      <c r="C759" s="33" t="s">
        <v>184</v>
      </c>
      <c r="D759" s="33"/>
      <c r="E759" s="29">
        <v>-2345000</v>
      </c>
      <c r="F759" s="34">
        <f t="shared" si="48"/>
        <v>-187600</v>
      </c>
      <c r="G759" s="37">
        <f t="shared" si="50"/>
        <v>-2532600</v>
      </c>
      <c r="H759" s="35">
        <v>-2532600</v>
      </c>
      <c r="I759" s="36">
        <f t="shared" si="49"/>
        <v>0</v>
      </c>
      <c r="J759" s="9">
        <v>46122</v>
      </c>
    </row>
    <row r="760" spans="1:10" ht="15" hidden="1" customHeight="1" x14ac:dyDescent="0.3">
      <c r="A760" s="30" t="s">
        <v>28</v>
      </c>
      <c r="B760" s="31" t="s">
        <v>1037</v>
      </c>
      <c r="C760" s="33" t="s">
        <v>1032</v>
      </c>
      <c r="D760" s="33"/>
      <c r="E760" s="29">
        <v>-11389100</v>
      </c>
      <c r="F760" s="34">
        <f t="shared" si="48"/>
        <v>-911128</v>
      </c>
      <c r="G760" s="37">
        <f t="shared" si="50"/>
        <v>-12300228</v>
      </c>
      <c r="H760" s="35">
        <v>-12300228</v>
      </c>
      <c r="I760" s="36">
        <f t="shared" si="49"/>
        <v>0</v>
      </c>
      <c r="J760" s="9">
        <v>46122</v>
      </c>
    </row>
    <row r="761" spans="1:10" ht="15" hidden="1" customHeight="1" x14ac:dyDescent="0.3">
      <c r="A761" s="30" t="s">
        <v>28</v>
      </c>
      <c r="B761" s="31" t="s">
        <v>1037</v>
      </c>
      <c r="C761" s="33" t="s">
        <v>1033</v>
      </c>
      <c r="D761" s="33"/>
      <c r="E761" s="29">
        <v>-9197000</v>
      </c>
      <c r="F761" s="34">
        <f t="shared" si="48"/>
        <v>-735760</v>
      </c>
      <c r="G761" s="37">
        <f t="shared" si="50"/>
        <v>-9932760</v>
      </c>
      <c r="H761" s="35">
        <v>-9932760</v>
      </c>
      <c r="I761" s="36">
        <f t="shared" si="49"/>
        <v>0</v>
      </c>
      <c r="J761" s="9">
        <v>46122</v>
      </c>
    </row>
    <row r="762" spans="1:10" ht="15" hidden="1" customHeight="1" x14ac:dyDescent="0.3">
      <c r="A762" s="30" t="s">
        <v>19</v>
      </c>
      <c r="B762" s="31">
        <v>46135</v>
      </c>
      <c r="C762" s="33" t="s">
        <v>1034</v>
      </c>
      <c r="D762" s="33" t="s">
        <v>1108</v>
      </c>
      <c r="E762" s="29">
        <v>0</v>
      </c>
      <c r="F762" s="34">
        <f t="shared" si="48"/>
        <v>0</v>
      </c>
      <c r="G762" s="37">
        <f t="shared" si="50"/>
        <v>0</v>
      </c>
      <c r="H762" s="35"/>
      <c r="I762" s="36">
        <f t="shared" si="49"/>
        <v>0</v>
      </c>
    </row>
    <row r="763" spans="1:10" ht="15" hidden="1" customHeight="1" x14ac:dyDescent="0.3">
      <c r="A763" s="30" t="s">
        <v>19</v>
      </c>
      <c r="B763" s="31">
        <v>46135</v>
      </c>
      <c r="C763" s="33" t="s">
        <v>1035</v>
      </c>
      <c r="D763" s="33" t="s">
        <v>1109</v>
      </c>
      <c r="E763" s="29">
        <v>0</v>
      </c>
      <c r="F763" s="34">
        <f t="shared" si="48"/>
        <v>0</v>
      </c>
      <c r="G763" s="37">
        <f t="shared" si="50"/>
        <v>0</v>
      </c>
      <c r="H763" s="35"/>
      <c r="I763" s="36">
        <f t="shared" si="49"/>
        <v>0</v>
      </c>
    </row>
    <row r="764" spans="1:10" ht="15" hidden="1" customHeight="1" x14ac:dyDescent="0.3">
      <c r="A764" s="30" t="s">
        <v>32</v>
      </c>
      <c r="B764" s="31" t="s">
        <v>1008</v>
      </c>
      <c r="C764" s="33" t="s">
        <v>1036</v>
      </c>
      <c r="D764" s="33"/>
      <c r="E764" s="29">
        <v>-3827000</v>
      </c>
      <c r="F764" s="34">
        <f t="shared" si="48"/>
        <v>-306160</v>
      </c>
      <c r="G764" s="37">
        <f t="shared" si="50"/>
        <v>-4133160</v>
      </c>
      <c r="H764" s="35">
        <v>-4133160</v>
      </c>
      <c r="I764" s="36">
        <f t="shared" si="49"/>
        <v>0</v>
      </c>
      <c r="J764" s="9">
        <v>46122</v>
      </c>
    </row>
    <row r="765" spans="1:10" ht="15" hidden="1" customHeight="1" x14ac:dyDescent="0.3">
      <c r="A765" s="30" t="s">
        <v>32</v>
      </c>
      <c r="B765" s="31" t="s">
        <v>1008</v>
      </c>
      <c r="C765" s="33" t="s">
        <v>197</v>
      </c>
      <c r="D765" s="33"/>
      <c r="E765" s="29">
        <v>-36000</v>
      </c>
      <c r="F765" s="34">
        <f t="shared" si="48"/>
        <v>-2880</v>
      </c>
      <c r="G765" s="37">
        <f t="shared" si="50"/>
        <v>-38880</v>
      </c>
      <c r="H765" s="35">
        <v>-38880</v>
      </c>
      <c r="I765" s="36">
        <f t="shared" si="49"/>
        <v>0</v>
      </c>
      <c r="J765" s="9">
        <v>46122</v>
      </c>
    </row>
    <row r="766" spans="1:10" ht="15" hidden="1" customHeight="1" x14ac:dyDescent="0.3">
      <c r="A766" s="30" t="s">
        <v>23</v>
      </c>
      <c r="B766" s="31" t="s">
        <v>1056</v>
      </c>
      <c r="C766" s="32" t="s">
        <v>1039</v>
      </c>
      <c r="D766" s="33"/>
      <c r="E766" s="29">
        <v>8690000</v>
      </c>
      <c r="F766" s="34">
        <f t="shared" si="48"/>
        <v>695200</v>
      </c>
      <c r="G766" s="37">
        <f t="shared" si="50"/>
        <v>9385200</v>
      </c>
      <c r="H766" s="35">
        <v>9385200</v>
      </c>
      <c r="I766" s="36">
        <f t="shared" si="49"/>
        <v>0</v>
      </c>
      <c r="J766" s="9">
        <v>46171</v>
      </c>
    </row>
    <row r="767" spans="1:10" ht="15" hidden="1" customHeight="1" x14ac:dyDescent="0.3">
      <c r="A767" s="30" t="s">
        <v>32</v>
      </c>
      <c r="B767" s="31" t="s">
        <v>1056</v>
      </c>
      <c r="C767" s="32" t="s">
        <v>1040</v>
      </c>
      <c r="D767" s="33"/>
      <c r="E767" s="29">
        <v>10535000</v>
      </c>
      <c r="F767" s="34">
        <f t="shared" si="48"/>
        <v>842800</v>
      </c>
      <c r="G767" s="37">
        <f t="shared" si="50"/>
        <v>11377800</v>
      </c>
      <c r="H767" s="35">
        <v>11377800</v>
      </c>
      <c r="I767" s="36">
        <f t="shared" si="49"/>
        <v>0</v>
      </c>
      <c r="J767" s="9">
        <v>46171</v>
      </c>
    </row>
    <row r="768" spans="1:10" ht="15" hidden="1" customHeight="1" x14ac:dyDescent="0.3">
      <c r="A768" s="30" t="s">
        <v>23</v>
      </c>
      <c r="B768" s="31" t="s">
        <v>1057</v>
      </c>
      <c r="C768" s="32" t="s">
        <v>1041</v>
      </c>
      <c r="D768" s="33"/>
      <c r="E768" s="29">
        <v>1005000</v>
      </c>
      <c r="F768" s="34">
        <f t="shared" si="48"/>
        <v>80400</v>
      </c>
      <c r="G768" s="37">
        <f t="shared" si="50"/>
        <v>1085400</v>
      </c>
      <c r="H768" s="35">
        <v>1085400</v>
      </c>
      <c r="I768" s="36">
        <f t="shared" si="49"/>
        <v>0</v>
      </c>
      <c r="J768" s="9">
        <v>46171</v>
      </c>
    </row>
    <row r="769" spans="1:10" ht="15" hidden="1" customHeight="1" x14ac:dyDescent="0.3">
      <c r="A769" s="30" t="s">
        <v>20</v>
      </c>
      <c r="B769" s="31" t="s">
        <v>1057</v>
      </c>
      <c r="C769" s="32" t="s">
        <v>1042</v>
      </c>
      <c r="D769" s="33"/>
      <c r="E769" s="29">
        <v>1980000</v>
      </c>
      <c r="F769" s="34">
        <f t="shared" ref="F769:F830" si="51">+E769*0.08</f>
        <v>158400</v>
      </c>
      <c r="G769" s="37">
        <f t="shared" si="50"/>
        <v>2138400</v>
      </c>
      <c r="H769" s="35">
        <v>2138400</v>
      </c>
      <c r="I769" s="36">
        <f t="shared" si="49"/>
        <v>0</v>
      </c>
      <c r="J769" s="9">
        <v>46171</v>
      </c>
    </row>
    <row r="770" spans="1:10" ht="15" hidden="1" customHeight="1" x14ac:dyDescent="0.3">
      <c r="A770" s="30" t="s">
        <v>28</v>
      </c>
      <c r="B770" s="31" t="s">
        <v>1057</v>
      </c>
      <c r="C770" s="32" t="s">
        <v>1043</v>
      </c>
      <c r="D770" s="33"/>
      <c r="E770" s="29">
        <v>3960000</v>
      </c>
      <c r="F770" s="34">
        <f t="shared" si="51"/>
        <v>316800</v>
      </c>
      <c r="G770" s="37">
        <f t="shared" si="50"/>
        <v>4276800</v>
      </c>
      <c r="H770" s="35">
        <v>4276800</v>
      </c>
      <c r="I770" s="36">
        <f t="shared" si="49"/>
        <v>0</v>
      </c>
      <c r="J770" s="9">
        <v>46171</v>
      </c>
    </row>
    <row r="771" spans="1:10" ht="15" hidden="1" customHeight="1" x14ac:dyDescent="0.3">
      <c r="A771" s="30" t="s">
        <v>48</v>
      </c>
      <c r="B771" s="31" t="s">
        <v>1057</v>
      </c>
      <c r="C771" s="32" t="s">
        <v>1044</v>
      </c>
      <c r="D771" s="33"/>
      <c r="E771" s="29">
        <v>5505000</v>
      </c>
      <c r="F771" s="34">
        <f t="shared" si="51"/>
        <v>440400</v>
      </c>
      <c r="G771" s="37">
        <f t="shared" si="50"/>
        <v>5945400</v>
      </c>
      <c r="H771" s="35">
        <v>5945400</v>
      </c>
      <c r="I771" s="36">
        <f t="shared" si="49"/>
        <v>0</v>
      </c>
      <c r="J771" s="9">
        <v>46171</v>
      </c>
    </row>
    <row r="772" spans="1:10" ht="15" hidden="1" customHeight="1" x14ac:dyDescent="0.3">
      <c r="A772" s="30" t="s">
        <v>17</v>
      </c>
      <c r="B772" s="31" t="s">
        <v>1058</v>
      </c>
      <c r="C772" s="32" t="s">
        <v>1045</v>
      </c>
      <c r="D772" s="33"/>
      <c r="E772" s="29">
        <v>22210000</v>
      </c>
      <c r="F772" s="34">
        <f t="shared" si="51"/>
        <v>1776800</v>
      </c>
      <c r="G772" s="37">
        <f t="shared" si="50"/>
        <v>23986800</v>
      </c>
      <c r="H772" s="35">
        <v>23986800</v>
      </c>
      <c r="I772" s="36">
        <f t="shared" si="49"/>
        <v>0</v>
      </c>
      <c r="J772" s="9">
        <v>46171</v>
      </c>
    </row>
    <row r="773" spans="1:10" ht="15" hidden="1" customHeight="1" x14ac:dyDescent="0.3">
      <c r="A773" s="30" t="s">
        <v>21</v>
      </c>
      <c r="B773" s="31" t="s">
        <v>1058</v>
      </c>
      <c r="C773" s="32" t="s">
        <v>1046</v>
      </c>
      <c r="D773" s="33"/>
      <c r="E773" s="29">
        <v>1920000</v>
      </c>
      <c r="F773" s="34">
        <f t="shared" si="51"/>
        <v>153600</v>
      </c>
      <c r="G773" s="37">
        <f t="shared" si="50"/>
        <v>2073600</v>
      </c>
      <c r="H773" s="35">
        <v>2073600</v>
      </c>
      <c r="I773" s="36">
        <f t="shared" si="49"/>
        <v>0</v>
      </c>
      <c r="J773" s="9">
        <v>46171</v>
      </c>
    </row>
    <row r="774" spans="1:10" ht="15" hidden="1" customHeight="1" x14ac:dyDescent="0.3">
      <c r="A774" s="30" t="s">
        <v>19</v>
      </c>
      <c r="B774" s="31" t="s">
        <v>1058</v>
      </c>
      <c r="C774" s="32" t="s">
        <v>1047</v>
      </c>
      <c r="D774" s="33"/>
      <c r="E774" s="29">
        <v>960000</v>
      </c>
      <c r="F774" s="34">
        <f t="shared" si="51"/>
        <v>76800</v>
      </c>
      <c r="G774" s="37">
        <f t="shared" si="50"/>
        <v>1036800</v>
      </c>
      <c r="H774" s="35">
        <v>1036800</v>
      </c>
      <c r="I774" s="36">
        <f t="shared" si="49"/>
        <v>0</v>
      </c>
      <c r="J774" s="9">
        <v>46171</v>
      </c>
    </row>
    <row r="775" spans="1:10" ht="15" hidden="1" customHeight="1" x14ac:dyDescent="0.3">
      <c r="A775" s="30" t="s">
        <v>23</v>
      </c>
      <c r="B775" s="31" t="s">
        <v>1058</v>
      </c>
      <c r="C775" s="32" t="s">
        <v>1048</v>
      </c>
      <c r="D775" s="33"/>
      <c r="E775" s="29">
        <v>8015000</v>
      </c>
      <c r="F775" s="34">
        <f t="shared" si="51"/>
        <v>641200</v>
      </c>
      <c r="G775" s="37">
        <f t="shared" si="50"/>
        <v>8656200</v>
      </c>
      <c r="H775" s="35">
        <v>8656200</v>
      </c>
      <c r="I775" s="36">
        <f t="shared" si="49"/>
        <v>0</v>
      </c>
      <c r="J775" s="9">
        <v>46171</v>
      </c>
    </row>
    <row r="776" spans="1:10" ht="15" hidden="1" customHeight="1" x14ac:dyDescent="0.3">
      <c r="A776" s="30" t="s">
        <v>48</v>
      </c>
      <c r="B776" s="31" t="s">
        <v>1058</v>
      </c>
      <c r="C776" s="32" t="s">
        <v>1049</v>
      </c>
      <c r="D776" s="33"/>
      <c r="E776" s="29">
        <v>3975000</v>
      </c>
      <c r="F776" s="34">
        <f t="shared" si="51"/>
        <v>318000</v>
      </c>
      <c r="G776" s="37">
        <f t="shared" si="50"/>
        <v>4293000</v>
      </c>
      <c r="H776" s="35">
        <v>4293000</v>
      </c>
      <c r="I776" s="36">
        <f t="shared" si="49"/>
        <v>0</v>
      </c>
      <c r="J776" s="9">
        <v>46203</v>
      </c>
    </row>
    <row r="777" spans="1:10" ht="15" hidden="1" customHeight="1" x14ac:dyDescent="0.3">
      <c r="A777" s="30" t="s">
        <v>32</v>
      </c>
      <c r="B777" s="31" t="s">
        <v>1058</v>
      </c>
      <c r="C777" s="32" t="s">
        <v>1050</v>
      </c>
      <c r="D777" s="33"/>
      <c r="E777" s="29">
        <v>7775000</v>
      </c>
      <c r="F777" s="34">
        <f t="shared" si="51"/>
        <v>622000</v>
      </c>
      <c r="G777" s="37">
        <f t="shared" si="50"/>
        <v>8397000</v>
      </c>
      <c r="H777" s="35">
        <v>8397000</v>
      </c>
      <c r="I777" s="36">
        <f t="shared" si="49"/>
        <v>0</v>
      </c>
      <c r="J777" s="9">
        <v>46141</v>
      </c>
    </row>
    <row r="778" spans="1:10" ht="15" hidden="1" customHeight="1" x14ac:dyDescent="0.3">
      <c r="A778" s="30" t="s">
        <v>17</v>
      </c>
      <c r="B778" s="31">
        <v>46150</v>
      </c>
      <c r="C778" s="33" t="s">
        <v>1051</v>
      </c>
      <c r="D778" s="33" t="s">
        <v>1134</v>
      </c>
      <c r="E778" s="29">
        <v>0</v>
      </c>
      <c r="F778" s="34">
        <f t="shared" si="51"/>
        <v>0</v>
      </c>
      <c r="G778" s="37">
        <f t="shared" si="50"/>
        <v>0</v>
      </c>
      <c r="H778" s="35"/>
      <c r="I778" s="36">
        <f t="shared" si="49"/>
        <v>0</v>
      </c>
      <c r="J778" s="9" t="s">
        <v>108</v>
      </c>
    </row>
    <row r="779" spans="1:10" ht="15" hidden="1" customHeight="1" x14ac:dyDescent="0.3">
      <c r="A779" s="30" t="s">
        <v>17</v>
      </c>
      <c r="B779" s="31" t="s">
        <v>1059</v>
      </c>
      <c r="C779" s="32" t="s">
        <v>1052</v>
      </c>
      <c r="D779" s="33"/>
      <c r="E779" s="29">
        <v>1980000</v>
      </c>
      <c r="F779" s="34">
        <f t="shared" si="51"/>
        <v>158400</v>
      </c>
      <c r="G779" s="37">
        <f t="shared" si="50"/>
        <v>2138400</v>
      </c>
      <c r="H779" s="35">
        <v>2138400</v>
      </c>
      <c r="I779" s="36">
        <f t="shared" si="49"/>
        <v>0</v>
      </c>
      <c r="J779" s="9">
        <v>46183</v>
      </c>
    </row>
    <row r="780" spans="1:10" ht="15" hidden="1" customHeight="1" x14ac:dyDescent="0.3">
      <c r="A780" s="30" t="s">
        <v>23</v>
      </c>
      <c r="B780" s="31" t="s">
        <v>1060</v>
      </c>
      <c r="C780" s="32" t="s">
        <v>1053</v>
      </c>
      <c r="D780" s="33"/>
      <c r="E780" s="29">
        <v>10725000</v>
      </c>
      <c r="F780" s="34">
        <f t="shared" si="51"/>
        <v>858000</v>
      </c>
      <c r="G780" s="37">
        <f t="shared" si="50"/>
        <v>11583000</v>
      </c>
      <c r="H780" s="35">
        <v>11583000</v>
      </c>
      <c r="I780" s="36">
        <f t="shared" si="49"/>
        <v>0</v>
      </c>
      <c r="J780" s="9">
        <v>46171</v>
      </c>
    </row>
    <row r="781" spans="1:10" ht="15" hidden="1" customHeight="1" x14ac:dyDescent="0.3">
      <c r="A781" s="30" t="s">
        <v>18</v>
      </c>
      <c r="B781" s="31" t="s">
        <v>1061</v>
      </c>
      <c r="C781" s="32" t="s">
        <v>1054</v>
      </c>
      <c r="D781" s="33"/>
      <c r="E781" s="29">
        <v>2565000</v>
      </c>
      <c r="F781" s="34">
        <f t="shared" si="51"/>
        <v>205200</v>
      </c>
      <c r="G781" s="37">
        <f t="shared" si="50"/>
        <v>2770200</v>
      </c>
      <c r="H781" s="35">
        <v>2770200</v>
      </c>
      <c r="I781" s="36">
        <f t="shared" si="49"/>
        <v>0</v>
      </c>
      <c r="J781" s="9">
        <v>46183</v>
      </c>
    </row>
    <row r="782" spans="1:10" ht="15" hidden="1" customHeight="1" x14ac:dyDescent="0.3">
      <c r="A782" s="30" t="s">
        <v>17</v>
      </c>
      <c r="B782" s="31" t="s">
        <v>1061</v>
      </c>
      <c r="C782" s="32" t="s">
        <v>1055</v>
      </c>
      <c r="D782" s="33"/>
      <c r="E782" s="29">
        <v>23725000</v>
      </c>
      <c r="F782" s="34">
        <f t="shared" si="51"/>
        <v>1898000</v>
      </c>
      <c r="G782" s="37">
        <f t="shared" si="50"/>
        <v>25623000</v>
      </c>
      <c r="H782" s="35">
        <v>25623000</v>
      </c>
      <c r="I782" s="36">
        <f t="shared" si="49"/>
        <v>0</v>
      </c>
      <c r="J782" s="9">
        <v>46183</v>
      </c>
    </row>
    <row r="783" spans="1:10" ht="15" hidden="1" customHeight="1" x14ac:dyDescent="0.3">
      <c r="A783" s="30" t="s">
        <v>19</v>
      </c>
      <c r="B783" s="31" t="s">
        <v>1099</v>
      </c>
      <c r="C783" s="33" t="s">
        <v>1064</v>
      </c>
      <c r="D783" s="33"/>
      <c r="E783" s="29">
        <v>-4120269</v>
      </c>
      <c r="F783" s="34">
        <f t="shared" si="51"/>
        <v>-329621.52</v>
      </c>
      <c r="G783" s="37">
        <f t="shared" si="50"/>
        <v>-4449890.5199999996</v>
      </c>
      <c r="H783" s="35">
        <v>-4449890.5199999996</v>
      </c>
      <c r="I783" s="36">
        <f t="shared" si="49"/>
        <v>0</v>
      </c>
      <c r="J783" s="9">
        <v>46122</v>
      </c>
    </row>
    <row r="784" spans="1:10" ht="15" hidden="1" customHeight="1" x14ac:dyDescent="0.3">
      <c r="A784" s="30" t="s">
        <v>20</v>
      </c>
      <c r="B784" s="31" t="s">
        <v>1099</v>
      </c>
      <c r="C784" s="32" t="s">
        <v>1065</v>
      </c>
      <c r="D784" s="33"/>
      <c r="E784" s="29">
        <v>1965000</v>
      </c>
      <c r="F784" s="34">
        <f t="shared" si="51"/>
        <v>157200</v>
      </c>
      <c r="G784" s="37">
        <f t="shared" si="50"/>
        <v>2122200</v>
      </c>
      <c r="H784" s="35">
        <v>2122200</v>
      </c>
      <c r="I784" s="36">
        <f t="shared" si="49"/>
        <v>0</v>
      </c>
      <c r="J784" s="9">
        <v>46183</v>
      </c>
    </row>
    <row r="785" spans="1:11" ht="15" hidden="1" customHeight="1" x14ac:dyDescent="0.3">
      <c r="A785" s="30" t="s">
        <v>21</v>
      </c>
      <c r="B785" s="31" t="s">
        <v>1099</v>
      </c>
      <c r="C785" s="32" t="s">
        <v>1066</v>
      </c>
      <c r="D785" s="33"/>
      <c r="E785" s="29">
        <v>1920000</v>
      </c>
      <c r="F785" s="34">
        <f t="shared" si="51"/>
        <v>153600</v>
      </c>
      <c r="G785" s="37">
        <f t="shared" si="50"/>
        <v>2073600</v>
      </c>
      <c r="H785" s="35">
        <v>2073600</v>
      </c>
      <c r="I785" s="36">
        <f t="shared" si="49"/>
        <v>0</v>
      </c>
      <c r="J785" s="9">
        <v>46183</v>
      </c>
    </row>
    <row r="786" spans="1:11" ht="15" hidden="1" customHeight="1" x14ac:dyDescent="0.3">
      <c r="A786" s="30" t="s">
        <v>19</v>
      </c>
      <c r="B786" s="31" t="s">
        <v>1099</v>
      </c>
      <c r="C786" s="32" t="s">
        <v>1067</v>
      </c>
      <c r="D786" s="33"/>
      <c r="E786" s="29">
        <v>810000</v>
      </c>
      <c r="F786" s="34">
        <f t="shared" si="51"/>
        <v>64800</v>
      </c>
      <c r="G786" s="37">
        <f t="shared" si="50"/>
        <v>874800</v>
      </c>
      <c r="H786" s="35">
        <v>874800</v>
      </c>
      <c r="I786" s="36">
        <f t="shared" si="49"/>
        <v>0</v>
      </c>
      <c r="J786" s="9">
        <v>46183</v>
      </c>
    </row>
    <row r="787" spans="1:11" ht="15" hidden="1" customHeight="1" x14ac:dyDescent="0.3">
      <c r="A787" s="30" t="s">
        <v>23</v>
      </c>
      <c r="B787" s="31" t="s">
        <v>1099</v>
      </c>
      <c r="C787" s="32" t="s">
        <v>1068</v>
      </c>
      <c r="D787" s="33"/>
      <c r="E787" s="29">
        <v>16240000</v>
      </c>
      <c r="F787" s="34">
        <f t="shared" si="51"/>
        <v>1299200</v>
      </c>
      <c r="G787" s="37">
        <f t="shared" si="50"/>
        <v>17539200</v>
      </c>
      <c r="H787" s="35">
        <v>17539200</v>
      </c>
      <c r="I787" s="36">
        <f t="shared" si="49"/>
        <v>0</v>
      </c>
      <c r="J787" s="9">
        <v>46183</v>
      </c>
    </row>
    <row r="788" spans="1:11" ht="15" hidden="1" customHeight="1" x14ac:dyDescent="0.3">
      <c r="A788" s="30" t="s">
        <v>32</v>
      </c>
      <c r="B788" s="31">
        <v>46150</v>
      </c>
      <c r="C788" s="33" t="s">
        <v>1069</v>
      </c>
      <c r="D788" s="32" t="s">
        <v>1133</v>
      </c>
      <c r="E788" s="29">
        <v>24895000</v>
      </c>
      <c r="F788" s="34">
        <f t="shared" si="51"/>
        <v>1991600</v>
      </c>
      <c r="G788" s="37">
        <f t="shared" si="50"/>
        <v>26886600</v>
      </c>
      <c r="H788" s="35"/>
      <c r="I788" s="36">
        <f t="shared" si="49"/>
        <v>26886600</v>
      </c>
    </row>
    <row r="789" spans="1:11" ht="15" hidden="1" customHeight="1" x14ac:dyDescent="0.3">
      <c r="A789" s="30" t="s">
        <v>45</v>
      </c>
      <c r="B789" s="31" t="s">
        <v>1099</v>
      </c>
      <c r="C789" s="32" t="s">
        <v>1070</v>
      </c>
      <c r="D789" s="33"/>
      <c r="E789" s="29">
        <v>13025000</v>
      </c>
      <c r="F789" s="34">
        <f t="shared" si="51"/>
        <v>1042000</v>
      </c>
      <c r="G789" s="37">
        <f t="shared" si="50"/>
        <v>14067000</v>
      </c>
      <c r="H789" s="35">
        <v>14067000</v>
      </c>
      <c r="I789" s="36">
        <f t="shared" si="49"/>
        <v>0</v>
      </c>
      <c r="J789" s="9">
        <v>46183</v>
      </c>
      <c r="K789" s="2" t="s">
        <v>1230</v>
      </c>
    </row>
    <row r="790" spans="1:11" ht="15" hidden="1" customHeight="1" x14ac:dyDescent="0.3">
      <c r="A790" s="30" t="s">
        <v>48</v>
      </c>
      <c r="B790" s="31" t="s">
        <v>1099</v>
      </c>
      <c r="C790" s="32" t="s">
        <v>1071</v>
      </c>
      <c r="D790" s="33"/>
      <c r="E790" s="29">
        <v>5625000</v>
      </c>
      <c r="F790" s="34">
        <f t="shared" si="51"/>
        <v>450000</v>
      </c>
      <c r="G790" s="37">
        <f t="shared" si="50"/>
        <v>6075000</v>
      </c>
      <c r="H790" s="35">
        <v>6075000</v>
      </c>
      <c r="I790" s="36">
        <f t="shared" si="49"/>
        <v>0</v>
      </c>
      <c r="J790" s="9">
        <v>46203</v>
      </c>
    </row>
    <row r="791" spans="1:11" ht="15" hidden="1" customHeight="1" x14ac:dyDescent="0.3">
      <c r="A791" s="30" t="s">
        <v>17</v>
      </c>
      <c r="B791" s="31" t="s">
        <v>1100</v>
      </c>
      <c r="C791" s="33" t="s">
        <v>1072</v>
      </c>
      <c r="D791" s="33"/>
      <c r="E791" s="29">
        <v>-1287000</v>
      </c>
      <c r="F791" s="34">
        <f t="shared" si="51"/>
        <v>-102960</v>
      </c>
      <c r="G791" s="37">
        <f t="shared" si="50"/>
        <v>-1389960</v>
      </c>
      <c r="H791" s="35">
        <v>-1389960</v>
      </c>
      <c r="I791" s="36">
        <f t="shared" si="49"/>
        <v>0</v>
      </c>
      <c r="J791" s="9">
        <v>46122</v>
      </c>
    </row>
    <row r="792" spans="1:11" ht="15" hidden="1" customHeight="1" x14ac:dyDescent="0.3">
      <c r="A792" s="30" t="s">
        <v>17</v>
      </c>
      <c r="B792" s="31" t="s">
        <v>1101</v>
      </c>
      <c r="C792" s="32" t="s">
        <v>1073</v>
      </c>
      <c r="D792" s="33"/>
      <c r="E792" s="29">
        <v>4925000</v>
      </c>
      <c r="F792" s="34">
        <f t="shared" si="51"/>
        <v>394000</v>
      </c>
      <c r="G792" s="37">
        <f t="shared" si="50"/>
        <v>5319000</v>
      </c>
      <c r="H792" s="35">
        <v>5319000</v>
      </c>
      <c r="I792" s="36">
        <f t="shared" si="49"/>
        <v>0</v>
      </c>
      <c r="J792" s="9">
        <v>46183</v>
      </c>
    </row>
    <row r="793" spans="1:11" ht="15" hidden="1" customHeight="1" x14ac:dyDescent="0.3">
      <c r="A793" s="30" t="s">
        <v>32</v>
      </c>
      <c r="B793" s="31" t="s">
        <v>1102</v>
      </c>
      <c r="C793" s="32" t="s">
        <v>1074</v>
      </c>
      <c r="D793" s="33"/>
      <c r="E793" s="29">
        <v>24800000</v>
      </c>
      <c r="F793" s="34">
        <f t="shared" si="51"/>
        <v>1984000</v>
      </c>
      <c r="G793" s="37">
        <f t="shared" si="50"/>
        <v>26784000</v>
      </c>
      <c r="H793" s="35">
        <v>26784000</v>
      </c>
      <c r="I793" s="36">
        <f t="shared" si="49"/>
        <v>0</v>
      </c>
      <c r="J793" s="9">
        <v>46183</v>
      </c>
    </row>
    <row r="794" spans="1:11" ht="15" hidden="1" customHeight="1" x14ac:dyDescent="0.3">
      <c r="A794" s="30" t="s">
        <v>22</v>
      </c>
      <c r="B794" s="31" t="s">
        <v>1103</v>
      </c>
      <c r="C794" s="33" t="s">
        <v>1075</v>
      </c>
      <c r="D794" s="33"/>
      <c r="E794" s="29">
        <v>-162000</v>
      </c>
      <c r="F794" s="34">
        <f t="shared" si="51"/>
        <v>-12960</v>
      </c>
      <c r="G794" s="37">
        <f t="shared" si="50"/>
        <v>-174960</v>
      </c>
      <c r="H794" s="35">
        <v>-174960</v>
      </c>
      <c r="I794" s="36">
        <f t="shared" si="49"/>
        <v>0</v>
      </c>
    </row>
    <row r="795" spans="1:11" ht="15" hidden="1" customHeight="1" x14ac:dyDescent="0.3">
      <c r="A795" s="30" t="s">
        <v>17</v>
      </c>
      <c r="B795" s="31">
        <v>46150</v>
      </c>
      <c r="C795" s="33" t="s">
        <v>1076</v>
      </c>
      <c r="D795" s="32" t="s">
        <v>1132</v>
      </c>
      <c r="E795" s="29">
        <v>4920000</v>
      </c>
      <c r="F795" s="34">
        <f t="shared" si="51"/>
        <v>393600</v>
      </c>
      <c r="G795" s="37">
        <f>+F795+E795</f>
        <v>5313600</v>
      </c>
      <c r="H795" s="35">
        <v>5313600</v>
      </c>
      <c r="I795" s="36">
        <f>G795-H795</f>
        <v>0</v>
      </c>
      <c r="J795" s="9">
        <v>46203</v>
      </c>
    </row>
    <row r="796" spans="1:11" ht="15" hidden="1" customHeight="1" x14ac:dyDescent="0.3">
      <c r="A796" s="30" t="s">
        <v>18</v>
      </c>
      <c r="B796" s="31" t="s">
        <v>1103</v>
      </c>
      <c r="C796" s="32" t="s">
        <v>259</v>
      </c>
      <c r="D796" s="33"/>
      <c r="E796" s="29">
        <v>1560000</v>
      </c>
      <c r="F796" s="34">
        <f t="shared" si="51"/>
        <v>124800</v>
      </c>
      <c r="G796" s="37">
        <f t="shared" si="50"/>
        <v>1684800</v>
      </c>
      <c r="H796" s="35">
        <v>1684800</v>
      </c>
      <c r="I796" s="36">
        <f t="shared" si="49"/>
        <v>0</v>
      </c>
      <c r="J796" s="9">
        <v>46183</v>
      </c>
    </row>
    <row r="797" spans="1:11" ht="15" hidden="1" customHeight="1" x14ac:dyDescent="0.3">
      <c r="A797" s="30" t="s">
        <v>32</v>
      </c>
      <c r="B797" s="31">
        <v>46157</v>
      </c>
      <c r="C797" s="33" t="s">
        <v>1077</v>
      </c>
      <c r="D797" s="33" t="s">
        <v>1135</v>
      </c>
      <c r="E797" s="29">
        <v>0</v>
      </c>
      <c r="F797" s="34">
        <f t="shared" si="51"/>
        <v>0</v>
      </c>
      <c r="G797" s="37">
        <f t="shared" si="50"/>
        <v>0</v>
      </c>
      <c r="H797" s="35"/>
      <c r="I797" s="36">
        <f t="shared" si="49"/>
        <v>0</v>
      </c>
      <c r="J797" s="9" t="s">
        <v>108</v>
      </c>
    </row>
    <row r="798" spans="1:11" ht="15" hidden="1" customHeight="1" x14ac:dyDescent="0.3">
      <c r="A798" s="30" t="s">
        <v>45</v>
      </c>
      <c r="B798" s="31" t="s">
        <v>1104</v>
      </c>
      <c r="C798" s="33" t="s">
        <v>1078</v>
      </c>
      <c r="D798" s="33"/>
      <c r="E798" s="29">
        <v>-2016000</v>
      </c>
      <c r="F798" s="34">
        <f t="shared" si="51"/>
        <v>-161280</v>
      </c>
      <c r="G798" s="37">
        <f t="shared" si="50"/>
        <v>-2177280</v>
      </c>
      <c r="H798" s="35">
        <v>-2177280</v>
      </c>
      <c r="I798" s="36">
        <f t="shared" si="49"/>
        <v>0</v>
      </c>
    </row>
    <row r="799" spans="1:11" ht="15" hidden="1" customHeight="1" x14ac:dyDescent="0.3">
      <c r="A799" s="30" t="s">
        <v>27</v>
      </c>
      <c r="B799" s="31" t="s">
        <v>1104</v>
      </c>
      <c r="C799" s="32" t="s">
        <v>1079</v>
      </c>
      <c r="D799" s="33"/>
      <c r="E799" s="29">
        <v>6780000</v>
      </c>
      <c r="F799" s="34">
        <f t="shared" si="51"/>
        <v>542400</v>
      </c>
      <c r="G799" s="37">
        <f t="shared" si="50"/>
        <v>7322400</v>
      </c>
      <c r="H799" s="35">
        <v>7322400</v>
      </c>
      <c r="I799" s="36">
        <f t="shared" si="49"/>
        <v>0</v>
      </c>
      <c r="J799" s="9">
        <v>46183</v>
      </c>
    </row>
    <row r="800" spans="1:11" ht="15" hidden="1" customHeight="1" x14ac:dyDescent="0.3">
      <c r="A800" s="30" t="s">
        <v>23</v>
      </c>
      <c r="B800" s="31" t="s">
        <v>1104</v>
      </c>
      <c r="C800" s="32" t="s">
        <v>1080</v>
      </c>
      <c r="D800" s="33"/>
      <c r="E800" s="29">
        <v>10465000</v>
      </c>
      <c r="F800" s="34">
        <f t="shared" si="51"/>
        <v>837200</v>
      </c>
      <c r="G800" s="37">
        <f t="shared" si="50"/>
        <v>11302200</v>
      </c>
      <c r="H800" s="35">
        <v>11302200</v>
      </c>
      <c r="I800" s="36">
        <f t="shared" si="49"/>
        <v>0</v>
      </c>
      <c r="J800" s="9">
        <v>46183</v>
      </c>
    </row>
    <row r="801" spans="1:10" ht="15" hidden="1" customHeight="1" x14ac:dyDescent="0.3">
      <c r="A801" s="30" t="s">
        <v>25</v>
      </c>
      <c r="B801" s="31" t="s">
        <v>1104</v>
      </c>
      <c r="C801" s="32" t="s">
        <v>1081</v>
      </c>
      <c r="D801" s="33"/>
      <c r="E801" s="29">
        <v>8925000</v>
      </c>
      <c r="F801" s="34">
        <f t="shared" si="51"/>
        <v>714000</v>
      </c>
      <c r="G801" s="37">
        <f t="shared" si="50"/>
        <v>9639000</v>
      </c>
      <c r="H801" s="35">
        <v>9639000</v>
      </c>
      <c r="I801" s="36">
        <f t="shared" si="49"/>
        <v>0</v>
      </c>
      <c r="J801" s="9">
        <v>46183</v>
      </c>
    </row>
    <row r="802" spans="1:10" ht="15" hidden="1" customHeight="1" x14ac:dyDescent="0.3">
      <c r="A802" s="30" t="s">
        <v>26</v>
      </c>
      <c r="B802" s="31" t="s">
        <v>1104</v>
      </c>
      <c r="C802" s="32" t="s">
        <v>1082</v>
      </c>
      <c r="D802" s="33"/>
      <c r="E802" s="29">
        <v>3855000</v>
      </c>
      <c r="F802" s="34">
        <f t="shared" si="51"/>
        <v>308400</v>
      </c>
      <c r="G802" s="37">
        <f t="shared" si="50"/>
        <v>4163400</v>
      </c>
      <c r="H802" s="35">
        <v>4163400</v>
      </c>
      <c r="I802" s="36">
        <f t="shared" si="49"/>
        <v>0</v>
      </c>
      <c r="J802" s="9">
        <v>46183</v>
      </c>
    </row>
    <row r="803" spans="1:10" ht="15" hidden="1" customHeight="1" x14ac:dyDescent="0.3">
      <c r="A803" s="30" t="s">
        <v>32</v>
      </c>
      <c r="B803" s="31" t="s">
        <v>1104</v>
      </c>
      <c r="C803" s="32" t="s">
        <v>1083</v>
      </c>
      <c r="D803" s="33"/>
      <c r="E803" s="29">
        <v>18125000</v>
      </c>
      <c r="F803" s="34">
        <f t="shared" si="51"/>
        <v>1450000</v>
      </c>
      <c r="G803" s="37">
        <f t="shared" si="50"/>
        <v>19575000</v>
      </c>
      <c r="H803" s="35">
        <v>19575000</v>
      </c>
      <c r="I803" s="36">
        <f t="shared" si="49"/>
        <v>0</v>
      </c>
      <c r="J803" s="9">
        <v>46183</v>
      </c>
    </row>
    <row r="804" spans="1:10" ht="15" hidden="1" customHeight="1" x14ac:dyDescent="0.3">
      <c r="A804" s="30" t="s">
        <v>48</v>
      </c>
      <c r="B804" s="31" t="s">
        <v>1104</v>
      </c>
      <c r="C804" s="32" t="s">
        <v>1084</v>
      </c>
      <c r="D804" s="33"/>
      <c r="E804" s="29">
        <v>3885000</v>
      </c>
      <c r="F804" s="34">
        <f t="shared" si="51"/>
        <v>310800</v>
      </c>
      <c r="G804" s="37">
        <f t="shared" si="50"/>
        <v>4195800</v>
      </c>
      <c r="H804" s="35">
        <v>4195800</v>
      </c>
      <c r="I804" s="36">
        <f t="shared" ref="I804:I867" si="52">G804-H804</f>
        <v>0</v>
      </c>
      <c r="J804" s="9">
        <v>46213</v>
      </c>
    </row>
    <row r="805" spans="1:10" ht="15" hidden="1" customHeight="1" x14ac:dyDescent="0.3">
      <c r="A805" s="30" t="s">
        <v>21</v>
      </c>
      <c r="B805" s="31" t="s">
        <v>1104</v>
      </c>
      <c r="C805" s="32" t="s">
        <v>1085</v>
      </c>
      <c r="D805" s="33"/>
      <c r="E805" s="29">
        <v>6885000</v>
      </c>
      <c r="F805" s="34">
        <f t="shared" si="51"/>
        <v>550800</v>
      </c>
      <c r="G805" s="37">
        <f t="shared" si="50"/>
        <v>7435800</v>
      </c>
      <c r="H805" s="35">
        <v>7435800</v>
      </c>
      <c r="I805" s="36">
        <f t="shared" si="52"/>
        <v>0</v>
      </c>
      <c r="J805" s="9">
        <v>46183</v>
      </c>
    </row>
    <row r="806" spans="1:10" ht="15" hidden="1" customHeight="1" x14ac:dyDescent="0.3">
      <c r="A806" s="30" t="s">
        <v>28</v>
      </c>
      <c r="B806" s="31" t="s">
        <v>1105</v>
      </c>
      <c r="C806" s="32" t="s">
        <v>1086</v>
      </c>
      <c r="D806" s="33"/>
      <c r="E806" s="29">
        <v>1815000</v>
      </c>
      <c r="F806" s="34">
        <f t="shared" si="51"/>
        <v>145200</v>
      </c>
      <c r="G806" s="37">
        <f t="shared" si="50"/>
        <v>1960200</v>
      </c>
      <c r="H806" s="35">
        <v>1960200</v>
      </c>
      <c r="I806" s="36">
        <f t="shared" si="52"/>
        <v>0</v>
      </c>
      <c r="J806" s="9">
        <v>46183</v>
      </c>
    </row>
    <row r="807" spans="1:10" ht="15" hidden="1" customHeight="1" x14ac:dyDescent="0.3">
      <c r="A807" s="30" t="s">
        <v>17</v>
      </c>
      <c r="B807" s="31" t="s">
        <v>1105</v>
      </c>
      <c r="C807" s="32" t="s">
        <v>1087</v>
      </c>
      <c r="D807" s="33"/>
      <c r="E807" s="29">
        <v>3045000</v>
      </c>
      <c r="F807" s="34">
        <f t="shared" si="51"/>
        <v>243600</v>
      </c>
      <c r="G807" s="37">
        <f t="shared" si="50"/>
        <v>3288600</v>
      </c>
      <c r="H807" s="35">
        <v>3288600</v>
      </c>
      <c r="I807" s="36">
        <f t="shared" si="52"/>
        <v>0</v>
      </c>
      <c r="J807" s="9">
        <v>46183</v>
      </c>
    </row>
    <row r="808" spans="1:10" ht="15" hidden="1" customHeight="1" x14ac:dyDescent="0.3">
      <c r="A808" s="30" t="s">
        <v>22</v>
      </c>
      <c r="B808" s="31" t="s">
        <v>1106</v>
      </c>
      <c r="C808" s="32" t="s">
        <v>1088</v>
      </c>
      <c r="D808" s="33"/>
      <c r="E808" s="29">
        <v>1815000</v>
      </c>
      <c r="F808" s="34">
        <f t="shared" si="51"/>
        <v>145200</v>
      </c>
      <c r="G808" s="37">
        <f t="shared" si="50"/>
        <v>1960200</v>
      </c>
      <c r="H808" s="35">
        <v>1960200</v>
      </c>
      <c r="I808" s="36">
        <f t="shared" si="52"/>
        <v>0</v>
      </c>
      <c r="J808" s="9">
        <v>46183</v>
      </c>
    </row>
    <row r="809" spans="1:10" ht="15" hidden="1" customHeight="1" x14ac:dyDescent="0.3">
      <c r="A809" s="30" t="s">
        <v>48</v>
      </c>
      <c r="B809" s="31" t="s">
        <v>1106</v>
      </c>
      <c r="C809" s="32" t="s">
        <v>1089</v>
      </c>
      <c r="D809" s="33"/>
      <c r="E809" s="29">
        <v>5730000</v>
      </c>
      <c r="F809" s="34">
        <f t="shared" si="51"/>
        <v>458400</v>
      </c>
      <c r="G809" s="37">
        <f t="shared" si="50"/>
        <v>6188400</v>
      </c>
      <c r="H809" s="35">
        <v>6188400</v>
      </c>
      <c r="I809" s="36">
        <f t="shared" si="52"/>
        <v>0</v>
      </c>
      <c r="J809" s="9">
        <v>46213</v>
      </c>
    </row>
    <row r="810" spans="1:10" ht="15" hidden="1" customHeight="1" x14ac:dyDescent="0.3">
      <c r="A810" s="30" t="s">
        <v>32</v>
      </c>
      <c r="B810" s="31" t="s">
        <v>1107</v>
      </c>
      <c r="C810" s="32" t="s">
        <v>1090</v>
      </c>
      <c r="D810" s="33"/>
      <c r="E810" s="29">
        <v>13595000</v>
      </c>
      <c r="F810" s="34">
        <f t="shared" si="51"/>
        <v>1087600</v>
      </c>
      <c r="G810" s="37">
        <f t="shared" ref="G810:G873" si="53">+F810+E810</f>
        <v>14682600</v>
      </c>
      <c r="H810" s="35">
        <v>14682600</v>
      </c>
      <c r="I810" s="36">
        <f t="shared" si="52"/>
        <v>0</v>
      </c>
      <c r="J810" s="9">
        <v>46203</v>
      </c>
    </row>
    <row r="811" spans="1:10" ht="15" hidden="1" customHeight="1" x14ac:dyDescent="0.3">
      <c r="A811" s="30" t="s">
        <v>28</v>
      </c>
      <c r="B811" s="31" t="s">
        <v>1107</v>
      </c>
      <c r="C811" s="32" t="s">
        <v>1091</v>
      </c>
      <c r="D811" s="33"/>
      <c r="E811" s="29">
        <v>5730000</v>
      </c>
      <c r="F811" s="34">
        <f t="shared" si="51"/>
        <v>458400</v>
      </c>
      <c r="G811" s="37">
        <f t="shared" si="53"/>
        <v>6188400</v>
      </c>
      <c r="H811" s="35">
        <v>6188400</v>
      </c>
      <c r="I811" s="36">
        <f t="shared" si="52"/>
        <v>0</v>
      </c>
      <c r="J811" s="9">
        <v>46203</v>
      </c>
    </row>
    <row r="812" spans="1:10" ht="15" hidden="1" customHeight="1" x14ac:dyDescent="0.3">
      <c r="A812" s="30" t="s">
        <v>28</v>
      </c>
      <c r="B812" s="31" t="s">
        <v>1107</v>
      </c>
      <c r="C812" s="32" t="s">
        <v>1092</v>
      </c>
      <c r="D812" s="33"/>
      <c r="E812" s="29">
        <v>960000</v>
      </c>
      <c r="F812" s="34">
        <f t="shared" si="51"/>
        <v>76800</v>
      </c>
      <c r="G812" s="37">
        <f t="shared" si="53"/>
        <v>1036800</v>
      </c>
      <c r="H812" s="35">
        <v>1036800</v>
      </c>
      <c r="I812" s="36">
        <f t="shared" si="52"/>
        <v>0</v>
      </c>
      <c r="J812" s="9">
        <v>46203</v>
      </c>
    </row>
    <row r="813" spans="1:10" ht="15" hidden="1" customHeight="1" x14ac:dyDescent="0.3">
      <c r="A813" s="30" t="s">
        <v>27</v>
      </c>
      <c r="B813" s="31" t="s">
        <v>1107</v>
      </c>
      <c r="C813" s="32" t="s">
        <v>1093</v>
      </c>
      <c r="D813" s="33"/>
      <c r="E813" s="29">
        <v>3015000</v>
      </c>
      <c r="F813" s="34">
        <f t="shared" si="51"/>
        <v>241200</v>
      </c>
      <c r="G813" s="37">
        <f t="shared" si="53"/>
        <v>3256200</v>
      </c>
      <c r="H813" s="35">
        <v>3256200</v>
      </c>
      <c r="I813" s="36">
        <f t="shared" si="52"/>
        <v>0</v>
      </c>
      <c r="J813" s="9">
        <v>46203</v>
      </c>
    </row>
    <row r="814" spans="1:10" ht="15" hidden="1" customHeight="1" x14ac:dyDescent="0.3">
      <c r="A814" s="30" t="s">
        <v>25</v>
      </c>
      <c r="B814" s="31" t="s">
        <v>1107</v>
      </c>
      <c r="C814" s="32" t="s">
        <v>1094</v>
      </c>
      <c r="D814" s="33"/>
      <c r="E814" s="29">
        <v>1755000</v>
      </c>
      <c r="F814" s="34">
        <f t="shared" si="51"/>
        <v>140400</v>
      </c>
      <c r="G814" s="37">
        <f t="shared" si="53"/>
        <v>1895400</v>
      </c>
      <c r="H814" s="35">
        <v>1895400</v>
      </c>
      <c r="I814" s="36">
        <f t="shared" si="52"/>
        <v>0</v>
      </c>
      <c r="J814" s="9">
        <v>46213</v>
      </c>
    </row>
    <row r="815" spans="1:10" ht="15" hidden="1" customHeight="1" x14ac:dyDescent="0.3">
      <c r="A815" s="30" t="s">
        <v>23</v>
      </c>
      <c r="B815" s="31" t="s">
        <v>1107</v>
      </c>
      <c r="C815" s="32" t="s">
        <v>1095</v>
      </c>
      <c r="D815" s="33"/>
      <c r="E815" s="29">
        <v>990000</v>
      </c>
      <c r="F815" s="34">
        <f t="shared" si="51"/>
        <v>79200</v>
      </c>
      <c r="G815" s="37">
        <f t="shared" si="53"/>
        <v>1069200</v>
      </c>
      <c r="H815" s="35">
        <v>1069200</v>
      </c>
      <c r="I815" s="36">
        <f t="shared" si="52"/>
        <v>0</v>
      </c>
      <c r="J815" s="9">
        <v>46203</v>
      </c>
    </row>
    <row r="816" spans="1:10" ht="15" hidden="1" customHeight="1" x14ac:dyDescent="0.3">
      <c r="A816" s="30" t="s">
        <v>23</v>
      </c>
      <c r="B816" s="31" t="s">
        <v>1107</v>
      </c>
      <c r="C816" s="32" t="s">
        <v>1096</v>
      </c>
      <c r="D816" s="33"/>
      <c r="E816" s="29">
        <v>8125000</v>
      </c>
      <c r="F816" s="34">
        <f t="shared" si="51"/>
        <v>650000</v>
      </c>
      <c r="G816" s="37">
        <f t="shared" si="53"/>
        <v>8775000</v>
      </c>
      <c r="H816" s="35">
        <v>8775000</v>
      </c>
      <c r="I816" s="36">
        <f t="shared" si="52"/>
        <v>0</v>
      </c>
      <c r="J816" s="9">
        <v>46203</v>
      </c>
    </row>
    <row r="817" spans="1:11" ht="15" hidden="1" customHeight="1" x14ac:dyDescent="0.3">
      <c r="A817" s="30" t="s">
        <v>19</v>
      </c>
      <c r="B817" s="31" t="s">
        <v>1107</v>
      </c>
      <c r="C817" s="32" t="s">
        <v>297</v>
      </c>
      <c r="D817" s="33"/>
      <c r="E817" s="29">
        <v>990000</v>
      </c>
      <c r="F817" s="34">
        <f t="shared" si="51"/>
        <v>79200</v>
      </c>
      <c r="G817" s="37">
        <f t="shared" si="53"/>
        <v>1069200</v>
      </c>
      <c r="H817" s="35">
        <v>1069200</v>
      </c>
      <c r="I817" s="36">
        <f t="shared" si="52"/>
        <v>0</v>
      </c>
      <c r="J817" s="9">
        <v>46203</v>
      </c>
    </row>
    <row r="818" spans="1:11" ht="15" hidden="1" customHeight="1" x14ac:dyDescent="0.3">
      <c r="A818" s="30" t="s">
        <v>45</v>
      </c>
      <c r="B818" s="31" t="s">
        <v>1107</v>
      </c>
      <c r="C818" s="32" t="s">
        <v>1097</v>
      </c>
      <c r="D818" s="33"/>
      <c r="E818" s="29">
        <v>10680000</v>
      </c>
      <c r="F818" s="34">
        <f t="shared" si="51"/>
        <v>854400</v>
      </c>
      <c r="G818" s="37">
        <f t="shared" si="53"/>
        <v>11534400</v>
      </c>
      <c r="H818" s="35">
        <v>11534400</v>
      </c>
      <c r="I818" s="36">
        <f t="shared" si="52"/>
        <v>0</v>
      </c>
      <c r="J818" s="9">
        <v>46203</v>
      </c>
      <c r="K818" s="2" t="s">
        <v>1229</v>
      </c>
    </row>
    <row r="819" spans="1:11" ht="15" hidden="1" customHeight="1" x14ac:dyDescent="0.3">
      <c r="A819" s="30" t="s">
        <v>21</v>
      </c>
      <c r="B819" s="31" t="s">
        <v>1107</v>
      </c>
      <c r="C819" s="32" t="s">
        <v>1098</v>
      </c>
      <c r="D819" s="33"/>
      <c r="E819" s="29">
        <v>5015000</v>
      </c>
      <c r="F819" s="34">
        <f t="shared" si="51"/>
        <v>401200</v>
      </c>
      <c r="G819" s="37">
        <f t="shared" si="53"/>
        <v>5416200</v>
      </c>
      <c r="H819" s="35">
        <v>5416200</v>
      </c>
      <c r="I819" s="36">
        <f t="shared" si="52"/>
        <v>0</v>
      </c>
      <c r="J819" s="9">
        <v>46203</v>
      </c>
    </row>
    <row r="820" spans="1:11" ht="15" hidden="1" customHeight="1" x14ac:dyDescent="0.3">
      <c r="A820" s="30" t="s">
        <v>17</v>
      </c>
      <c r="B820" s="31" t="s">
        <v>1127</v>
      </c>
      <c r="C820" s="32" t="s">
        <v>1110</v>
      </c>
      <c r="D820" s="33"/>
      <c r="E820" s="29">
        <v>12630000</v>
      </c>
      <c r="F820" s="34">
        <f t="shared" si="51"/>
        <v>1010400</v>
      </c>
      <c r="G820" s="37">
        <f t="shared" si="53"/>
        <v>13640400</v>
      </c>
      <c r="H820" s="35">
        <v>13640400</v>
      </c>
      <c r="I820" s="36">
        <f t="shared" si="52"/>
        <v>0</v>
      </c>
      <c r="J820" s="9">
        <v>46203</v>
      </c>
    </row>
    <row r="821" spans="1:11" ht="15" hidden="1" customHeight="1" x14ac:dyDescent="0.3">
      <c r="A821" s="30" t="s">
        <v>20</v>
      </c>
      <c r="B821" s="31" t="s">
        <v>1127</v>
      </c>
      <c r="C821" s="32" t="s">
        <v>1111</v>
      </c>
      <c r="D821" s="33"/>
      <c r="E821" s="29">
        <v>3015000</v>
      </c>
      <c r="F821" s="34">
        <f t="shared" si="51"/>
        <v>241200</v>
      </c>
      <c r="G821" s="37">
        <f t="shared" si="53"/>
        <v>3256200</v>
      </c>
      <c r="H821" s="35">
        <v>3256200</v>
      </c>
      <c r="I821" s="36">
        <f t="shared" si="52"/>
        <v>0</v>
      </c>
      <c r="J821" s="9">
        <v>46213</v>
      </c>
    </row>
    <row r="822" spans="1:11" ht="15" hidden="1" customHeight="1" x14ac:dyDescent="0.3">
      <c r="A822" s="30" t="s">
        <v>23</v>
      </c>
      <c r="B822" s="31" t="s">
        <v>1127</v>
      </c>
      <c r="C822" s="32" t="s">
        <v>1112</v>
      </c>
      <c r="D822" s="33"/>
      <c r="E822" s="29">
        <v>8970000</v>
      </c>
      <c r="F822" s="34">
        <f t="shared" si="51"/>
        <v>717600</v>
      </c>
      <c r="G822" s="37">
        <f t="shared" si="53"/>
        <v>9687600</v>
      </c>
      <c r="H822" s="35">
        <v>9687600</v>
      </c>
      <c r="I822" s="36">
        <f t="shared" si="52"/>
        <v>0</v>
      </c>
      <c r="J822" s="9">
        <v>46203</v>
      </c>
    </row>
    <row r="823" spans="1:11" ht="15" hidden="1" customHeight="1" x14ac:dyDescent="0.3">
      <c r="A823" s="30" t="s">
        <v>32</v>
      </c>
      <c r="B823" s="31" t="s">
        <v>1127</v>
      </c>
      <c r="C823" s="32" t="s">
        <v>1113</v>
      </c>
      <c r="D823" s="33"/>
      <c r="E823" s="29">
        <v>4550000</v>
      </c>
      <c r="F823" s="34">
        <f t="shared" si="51"/>
        <v>364000</v>
      </c>
      <c r="G823" s="37">
        <f t="shared" si="53"/>
        <v>4914000</v>
      </c>
      <c r="H823" s="35">
        <v>4914000</v>
      </c>
      <c r="I823" s="36">
        <f t="shared" si="52"/>
        <v>0</v>
      </c>
      <c r="J823" s="9">
        <v>46203</v>
      </c>
    </row>
    <row r="824" spans="1:11" ht="15" hidden="1" customHeight="1" x14ac:dyDescent="0.3">
      <c r="A824" s="30" t="s">
        <v>20</v>
      </c>
      <c r="B824" s="31" t="s">
        <v>1127</v>
      </c>
      <c r="C824" s="32" t="s">
        <v>1114</v>
      </c>
      <c r="D824" s="33"/>
      <c r="E824" s="29">
        <v>1980000</v>
      </c>
      <c r="F824" s="34">
        <f t="shared" si="51"/>
        <v>158400</v>
      </c>
      <c r="G824" s="37">
        <f t="shared" si="53"/>
        <v>2138400</v>
      </c>
      <c r="H824" s="35">
        <v>2138400</v>
      </c>
      <c r="I824" s="36">
        <f t="shared" si="52"/>
        <v>0</v>
      </c>
      <c r="J824" s="9">
        <v>46213</v>
      </c>
    </row>
    <row r="825" spans="1:11" ht="15" hidden="1" customHeight="1" x14ac:dyDescent="0.3">
      <c r="A825" s="30" t="s">
        <v>21</v>
      </c>
      <c r="B825" s="31" t="s">
        <v>1127</v>
      </c>
      <c r="C825" s="32" t="s">
        <v>317</v>
      </c>
      <c r="D825" s="33"/>
      <c r="E825" s="29">
        <v>5715000</v>
      </c>
      <c r="F825" s="34">
        <f t="shared" si="51"/>
        <v>457200</v>
      </c>
      <c r="G825" s="37">
        <f t="shared" si="53"/>
        <v>6172200</v>
      </c>
      <c r="H825" s="35">
        <v>6172200</v>
      </c>
      <c r="I825" s="36">
        <f t="shared" si="52"/>
        <v>0</v>
      </c>
      <c r="J825" s="9">
        <v>46203</v>
      </c>
    </row>
    <row r="826" spans="1:11" ht="15" hidden="1" customHeight="1" x14ac:dyDescent="0.3">
      <c r="A826" s="30" t="s">
        <v>48</v>
      </c>
      <c r="B826" s="31" t="s">
        <v>1127</v>
      </c>
      <c r="C826" s="32" t="s">
        <v>1115</v>
      </c>
      <c r="D826" s="33"/>
      <c r="E826" s="29">
        <v>12135000</v>
      </c>
      <c r="F826" s="34">
        <f t="shared" si="51"/>
        <v>970800</v>
      </c>
      <c r="G826" s="37">
        <f t="shared" si="53"/>
        <v>13105800</v>
      </c>
      <c r="H826" s="35">
        <v>13105800</v>
      </c>
      <c r="I826" s="36">
        <f t="shared" si="52"/>
        <v>0</v>
      </c>
      <c r="J826" s="9">
        <v>46203</v>
      </c>
    </row>
    <row r="827" spans="1:11" ht="15" hidden="1" customHeight="1" x14ac:dyDescent="0.3">
      <c r="A827" s="30" t="s">
        <v>22</v>
      </c>
      <c r="B827" s="31" t="s">
        <v>1128</v>
      </c>
      <c r="C827" s="32" t="s">
        <v>1116</v>
      </c>
      <c r="D827" s="33"/>
      <c r="E827" s="29">
        <v>2960000</v>
      </c>
      <c r="F827" s="34">
        <f t="shared" si="51"/>
        <v>236800</v>
      </c>
      <c r="G827" s="37">
        <f t="shared" si="53"/>
        <v>3196800</v>
      </c>
      <c r="H827" s="35">
        <v>3196800</v>
      </c>
      <c r="I827" s="36">
        <f t="shared" si="52"/>
        <v>0</v>
      </c>
      <c r="J827" s="9">
        <v>46203</v>
      </c>
    </row>
    <row r="828" spans="1:11" ht="15" hidden="1" customHeight="1" x14ac:dyDescent="0.3">
      <c r="A828" s="30" t="s">
        <v>17</v>
      </c>
      <c r="B828" s="31" t="s">
        <v>1128</v>
      </c>
      <c r="C828" s="32" t="s">
        <v>1117</v>
      </c>
      <c r="D828" s="33"/>
      <c r="E828" s="29">
        <v>5805000</v>
      </c>
      <c r="F828" s="34">
        <f t="shared" si="51"/>
        <v>464400</v>
      </c>
      <c r="G828" s="37">
        <f t="shared" si="53"/>
        <v>6269400</v>
      </c>
      <c r="H828" s="35">
        <v>6269400</v>
      </c>
      <c r="I828" s="36">
        <f t="shared" si="52"/>
        <v>0</v>
      </c>
      <c r="J828" s="9">
        <v>46203</v>
      </c>
    </row>
    <row r="829" spans="1:11" ht="15" customHeight="1" x14ac:dyDescent="0.3">
      <c r="A829" s="30" t="s">
        <v>25</v>
      </c>
      <c r="B829" s="31" t="s">
        <v>1129</v>
      </c>
      <c r="C829" s="32" t="s">
        <v>345</v>
      </c>
      <c r="D829" s="33"/>
      <c r="E829" s="29">
        <v>3885000</v>
      </c>
      <c r="F829" s="34">
        <f t="shared" si="51"/>
        <v>310800</v>
      </c>
      <c r="G829" s="37">
        <f t="shared" si="53"/>
        <v>4195800</v>
      </c>
      <c r="H829" s="35">
        <v>4195800</v>
      </c>
      <c r="I829" s="36">
        <f t="shared" si="52"/>
        <v>0</v>
      </c>
      <c r="J829" s="9">
        <v>46244</v>
      </c>
      <c r="K829" s="2" t="s">
        <v>1200</v>
      </c>
    </row>
    <row r="830" spans="1:11" ht="15" hidden="1" customHeight="1" x14ac:dyDescent="0.3">
      <c r="A830" s="30" t="s">
        <v>21</v>
      </c>
      <c r="B830" s="31" t="s">
        <v>1129</v>
      </c>
      <c r="C830" s="32" t="s">
        <v>346</v>
      </c>
      <c r="D830" s="33"/>
      <c r="E830" s="29">
        <v>8445000</v>
      </c>
      <c r="F830" s="34">
        <f t="shared" si="51"/>
        <v>675600</v>
      </c>
      <c r="G830" s="37">
        <f t="shared" si="53"/>
        <v>9120600</v>
      </c>
      <c r="H830" s="35">
        <v>9120600</v>
      </c>
      <c r="I830" s="36">
        <f t="shared" si="52"/>
        <v>0</v>
      </c>
      <c r="J830" s="9">
        <v>46203</v>
      </c>
    </row>
    <row r="831" spans="1:11" ht="15" hidden="1" customHeight="1" x14ac:dyDescent="0.3">
      <c r="A831" s="30" t="s">
        <v>17</v>
      </c>
      <c r="B831" s="31">
        <v>46160</v>
      </c>
      <c r="C831" s="33" t="s">
        <v>347</v>
      </c>
      <c r="D831" s="32" t="s">
        <v>1136</v>
      </c>
      <c r="E831" s="29">
        <v>750000</v>
      </c>
      <c r="F831" s="34">
        <f t="shared" ref="F831:F879" si="54">+E831*0.08</f>
        <v>60000</v>
      </c>
      <c r="G831" s="37">
        <f t="shared" si="53"/>
        <v>810000</v>
      </c>
      <c r="H831" s="35">
        <v>810000</v>
      </c>
      <c r="I831" s="36">
        <f t="shared" si="52"/>
        <v>0</v>
      </c>
      <c r="J831" s="9">
        <v>46213</v>
      </c>
    </row>
    <row r="832" spans="1:11" ht="15" hidden="1" customHeight="1" x14ac:dyDescent="0.3">
      <c r="A832" s="30" t="s">
        <v>48</v>
      </c>
      <c r="B832" s="31" t="s">
        <v>1130</v>
      </c>
      <c r="C832" s="32" t="s">
        <v>1118</v>
      </c>
      <c r="D832" s="33"/>
      <c r="E832" s="29">
        <v>9510000</v>
      </c>
      <c r="F832" s="34">
        <f t="shared" si="54"/>
        <v>760800</v>
      </c>
      <c r="G832" s="37">
        <f t="shared" si="53"/>
        <v>10270800</v>
      </c>
      <c r="H832" s="35">
        <v>10270800</v>
      </c>
      <c r="I832" s="36">
        <f t="shared" si="52"/>
        <v>0</v>
      </c>
      <c r="J832" s="9">
        <v>46203</v>
      </c>
    </row>
    <row r="833" spans="1:10" ht="15" hidden="1" customHeight="1" x14ac:dyDescent="0.3">
      <c r="A833" s="30" t="s">
        <v>32</v>
      </c>
      <c r="B833" s="31" t="s">
        <v>1130</v>
      </c>
      <c r="C833" s="32" t="s">
        <v>1119</v>
      </c>
      <c r="D833" s="33"/>
      <c r="E833" s="29">
        <v>4785000</v>
      </c>
      <c r="F833" s="34">
        <f t="shared" si="54"/>
        <v>382800</v>
      </c>
      <c r="G833" s="37">
        <f t="shared" si="53"/>
        <v>5167800</v>
      </c>
      <c r="H833" s="35">
        <v>5167800</v>
      </c>
      <c r="I833" s="36">
        <f t="shared" si="52"/>
        <v>0</v>
      </c>
      <c r="J833" s="9">
        <v>46203</v>
      </c>
    </row>
    <row r="834" spans="1:10" ht="15" hidden="1" customHeight="1" x14ac:dyDescent="0.3">
      <c r="A834" s="30" t="s">
        <v>19</v>
      </c>
      <c r="B834" s="31" t="s">
        <v>1130</v>
      </c>
      <c r="C834" s="32" t="s">
        <v>1120</v>
      </c>
      <c r="D834" s="33"/>
      <c r="E834" s="29">
        <v>2855000</v>
      </c>
      <c r="F834" s="34">
        <f t="shared" si="54"/>
        <v>228400</v>
      </c>
      <c r="G834" s="37">
        <f t="shared" si="53"/>
        <v>3083400</v>
      </c>
      <c r="H834" s="35">
        <v>3083400</v>
      </c>
      <c r="I834" s="36">
        <f t="shared" si="52"/>
        <v>0</v>
      </c>
      <c r="J834" s="9">
        <v>46203</v>
      </c>
    </row>
    <row r="835" spans="1:10" ht="15" hidden="1" customHeight="1" x14ac:dyDescent="0.3">
      <c r="A835" s="30" t="s">
        <v>21</v>
      </c>
      <c r="B835" s="31" t="s">
        <v>1130</v>
      </c>
      <c r="C835" s="32" t="s">
        <v>1121</v>
      </c>
      <c r="D835" s="33"/>
      <c r="E835" s="29">
        <v>8415000</v>
      </c>
      <c r="F835" s="34">
        <f t="shared" si="54"/>
        <v>673200</v>
      </c>
      <c r="G835" s="37">
        <f t="shared" si="53"/>
        <v>9088200</v>
      </c>
      <c r="H835" s="35">
        <v>9088200</v>
      </c>
      <c r="I835" s="36">
        <f t="shared" si="52"/>
        <v>0</v>
      </c>
      <c r="J835" s="9">
        <v>46213</v>
      </c>
    </row>
    <row r="836" spans="1:10" ht="15" hidden="1" customHeight="1" x14ac:dyDescent="0.3">
      <c r="A836" s="30" t="s">
        <v>23</v>
      </c>
      <c r="B836" s="31" t="s">
        <v>1130</v>
      </c>
      <c r="C836" s="32" t="s">
        <v>1122</v>
      </c>
      <c r="D836" s="33"/>
      <c r="E836" s="29">
        <v>8885000</v>
      </c>
      <c r="F836" s="34">
        <f t="shared" si="54"/>
        <v>710800</v>
      </c>
      <c r="G836" s="37">
        <f t="shared" si="53"/>
        <v>9595800</v>
      </c>
      <c r="H836" s="35">
        <v>9595800</v>
      </c>
      <c r="I836" s="36">
        <f t="shared" si="52"/>
        <v>0</v>
      </c>
      <c r="J836" s="9">
        <v>46203</v>
      </c>
    </row>
    <row r="837" spans="1:10" ht="15" hidden="1" customHeight="1" x14ac:dyDescent="0.3">
      <c r="A837" s="30" t="s">
        <v>27</v>
      </c>
      <c r="B837" s="31" t="s">
        <v>1130</v>
      </c>
      <c r="C837" s="32" t="s">
        <v>1123</v>
      </c>
      <c r="D837" s="33"/>
      <c r="E837" s="29">
        <v>5565000</v>
      </c>
      <c r="F837" s="34">
        <f t="shared" si="54"/>
        <v>445200</v>
      </c>
      <c r="G837" s="37">
        <f t="shared" si="53"/>
        <v>6010200</v>
      </c>
      <c r="H837" s="35">
        <v>6010200</v>
      </c>
      <c r="I837" s="36">
        <f t="shared" si="52"/>
        <v>0</v>
      </c>
      <c r="J837" s="9">
        <v>46213</v>
      </c>
    </row>
    <row r="838" spans="1:10" ht="15" hidden="1" customHeight="1" x14ac:dyDescent="0.3">
      <c r="A838" s="30" t="s">
        <v>17</v>
      </c>
      <c r="B838" s="31" t="s">
        <v>1130</v>
      </c>
      <c r="C838" s="32" t="s">
        <v>1124</v>
      </c>
      <c r="D838" s="33"/>
      <c r="E838" s="29">
        <v>15645000</v>
      </c>
      <c r="F838" s="34">
        <f t="shared" si="54"/>
        <v>1251600</v>
      </c>
      <c r="G838" s="37">
        <f t="shared" si="53"/>
        <v>16896600</v>
      </c>
      <c r="H838" s="35">
        <v>16896600</v>
      </c>
      <c r="I838" s="36">
        <f t="shared" si="52"/>
        <v>0</v>
      </c>
      <c r="J838" s="9">
        <v>46213</v>
      </c>
    </row>
    <row r="839" spans="1:10" ht="15" hidden="1" customHeight="1" x14ac:dyDescent="0.3">
      <c r="A839" s="30" t="s">
        <v>18</v>
      </c>
      <c r="B839" s="31" t="s">
        <v>1130</v>
      </c>
      <c r="C839" s="32" t="s">
        <v>1125</v>
      </c>
      <c r="D839" s="33"/>
      <c r="E839" s="29">
        <v>1005000</v>
      </c>
      <c r="F839" s="34">
        <f t="shared" si="54"/>
        <v>80400</v>
      </c>
      <c r="G839" s="37">
        <f t="shared" si="53"/>
        <v>1085400</v>
      </c>
      <c r="H839" s="35">
        <v>1085400</v>
      </c>
      <c r="I839" s="36">
        <f t="shared" si="52"/>
        <v>0</v>
      </c>
      <c r="J839" s="9">
        <v>46213</v>
      </c>
    </row>
    <row r="840" spans="1:10" ht="15" hidden="1" customHeight="1" x14ac:dyDescent="0.3">
      <c r="A840" s="30" t="s">
        <v>295</v>
      </c>
      <c r="B840" s="31" t="s">
        <v>1131</v>
      </c>
      <c r="C840" s="32" t="s">
        <v>1126</v>
      </c>
      <c r="D840" s="33"/>
      <c r="E840" s="29">
        <v>4715000</v>
      </c>
      <c r="F840" s="34">
        <f t="shared" si="54"/>
        <v>377200</v>
      </c>
      <c r="G840" s="37">
        <f t="shared" si="53"/>
        <v>5092200</v>
      </c>
      <c r="H840" s="35">
        <v>5092200</v>
      </c>
      <c r="I840" s="36">
        <f t="shared" si="52"/>
        <v>0</v>
      </c>
      <c r="J840" s="9">
        <v>46213</v>
      </c>
    </row>
    <row r="841" spans="1:10" ht="15" hidden="1" customHeight="1" x14ac:dyDescent="0.3">
      <c r="A841" s="30" t="s">
        <v>17</v>
      </c>
      <c r="B841" s="31" t="s">
        <v>1147</v>
      </c>
      <c r="C841" s="32" t="s">
        <v>1137</v>
      </c>
      <c r="D841" s="33"/>
      <c r="E841" s="29">
        <v>3965000</v>
      </c>
      <c r="F841" s="34">
        <f t="shared" si="54"/>
        <v>317200</v>
      </c>
      <c r="G841" s="37">
        <f t="shared" si="53"/>
        <v>4282200</v>
      </c>
      <c r="H841" s="35">
        <v>4282200</v>
      </c>
      <c r="I841" s="36">
        <f t="shared" si="52"/>
        <v>0</v>
      </c>
      <c r="J841" s="9">
        <v>46213</v>
      </c>
    </row>
    <row r="842" spans="1:10" ht="15" hidden="1" customHeight="1" x14ac:dyDescent="0.3">
      <c r="A842" s="30" t="s">
        <v>21</v>
      </c>
      <c r="B842" s="31" t="s">
        <v>1148</v>
      </c>
      <c r="C842" s="32" t="s">
        <v>1255</v>
      </c>
      <c r="D842" s="33"/>
      <c r="E842" s="29">
        <v>2855000</v>
      </c>
      <c r="F842" s="34">
        <f t="shared" si="54"/>
        <v>228400</v>
      </c>
      <c r="G842" s="37">
        <f t="shared" si="53"/>
        <v>3083400</v>
      </c>
      <c r="H842" s="35">
        <v>3083400</v>
      </c>
      <c r="I842" s="36">
        <f t="shared" si="52"/>
        <v>0</v>
      </c>
      <c r="J842" s="9">
        <v>46213</v>
      </c>
    </row>
    <row r="843" spans="1:10" ht="15" hidden="1" customHeight="1" x14ac:dyDescent="0.3">
      <c r="A843" s="30" t="s">
        <v>19</v>
      </c>
      <c r="B843" s="31" t="s">
        <v>1148</v>
      </c>
      <c r="C843" s="32" t="s">
        <v>1138</v>
      </c>
      <c r="D843" s="33"/>
      <c r="E843" s="29">
        <v>2730000</v>
      </c>
      <c r="F843" s="34">
        <f t="shared" si="54"/>
        <v>218400</v>
      </c>
      <c r="G843" s="37">
        <f t="shared" si="53"/>
        <v>2948400</v>
      </c>
      <c r="H843" s="35">
        <v>2948400</v>
      </c>
      <c r="I843" s="36">
        <f t="shared" si="52"/>
        <v>0</v>
      </c>
      <c r="J843" s="9">
        <v>46213</v>
      </c>
    </row>
    <row r="844" spans="1:10" ht="15" hidden="1" customHeight="1" x14ac:dyDescent="0.3">
      <c r="A844" s="30" t="s">
        <v>26</v>
      </c>
      <c r="B844" s="31" t="s">
        <v>1148</v>
      </c>
      <c r="C844" s="32" t="s">
        <v>1139</v>
      </c>
      <c r="D844" s="33"/>
      <c r="E844" s="29">
        <v>4605000</v>
      </c>
      <c r="F844" s="34">
        <f t="shared" si="54"/>
        <v>368400</v>
      </c>
      <c r="G844" s="37">
        <f t="shared" si="53"/>
        <v>4973400</v>
      </c>
      <c r="H844" s="35">
        <v>4973400</v>
      </c>
      <c r="I844" s="36">
        <f t="shared" si="52"/>
        <v>0</v>
      </c>
      <c r="J844" s="9">
        <v>46213</v>
      </c>
    </row>
    <row r="845" spans="1:10" ht="15" hidden="1" customHeight="1" x14ac:dyDescent="0.3">
      <c r="A845" s="30" t="s">
        <v>48</v>
      </c>
      <c r="B845" s="31" t="s">
        <v>1148</v>
      </c>
      <c r="C845" s="32" t="s">
        <v>1140</v>
      </c>
      <c r="D845" s="33"/>
      <c r="E845" s="29">
        <v>5625000</v>
      </c>
      <c r="F845" s="34">
        <f t="shared" si="54"/>
        <v>450000</v>
      </c>
      <c r="G845" s="37">
        <f t="shared" si="53"/>
        <v>6075000</v>
      </c>
      <c r="H845" s="35">
        <v>6075000</v>
      </c>
      <c r="I845" s="36">
        <f t="shared" si="52"/>
        <v>0</v>
      </c>
      <c r="J845" s="9">
        <v>46213</v>
      </c>
    </row>
    <row r="846" spans="1:10" ht="15" hidden="1" customHeight="1" x14ac:dyDescent="0.3">
      <c r="A846" s="30" t="s">
        <v>23</v>
      </c>
      <c r="B846" s="31" t="s">
        <v>1148</v>
      </c>
      <c r="C846" s="32" t="s">
        <v>1141</v>
      </c>
      <c r="D846" s="33"/>
      <c r="E846" s="29">
        <v>10370000</v>
      </c>
      <c r="F846" s="34">
        <f t="shared" si="54"/>
        <v>829600</v>
      </c>
      <c r="G846" s="37">
        <f t="shared" si="53"/>
        <v>11199600</v>
      </c>
      <c r="H846" s="35"/>
      <c r="I846" s="36">
        <f t="shared" si="52"/>
        <v>11199600</v>
      </c>
    </row>
    <row r="847" spans="1:10" ht="15" hidden="1" customHeight="1" x14ac:dyDescent="0.3">
      <c r="A847" s="30" t="s">
        <v>32</v>
      </c>
      <c r="B847" s="31" t="s">
        <v>1148</v>
      </c>
      <c r="C847" s="32" t="s">
        <v>1142</v>
      </c>
      <c r="D847" s="33"/>
      <c r="E847" s="29">
        <v>12365000</v>
      </c>
      <c r="F847" s="34">
        <f t="shared" si="54"/>
        <v>989200</v>
      </c>
      <c r="G847" s="37">
        <f t="shared" si="53"/>
        <v>13354200</v>
      </c>
      <c r="H847" s="35">
        <v>13354200</v>
      </c>
      <c r="I847" s="36">
        <f t="shared" si="52"/>
        <v>0</v>
      </c>
      <c r="J847" s="9">
        <v>46213</v>
      </c>
    </row>
    <row r="848" spans="1:10" ht="15" hidden="1" customHeight="1" x14ac:dyDescent="0.3">
      <c r="A848" s="30" t="s">
        <v>25</v>
      </c>
      <c r="B848" s="31" t="s">
        <v>1149</v>
      </c>
      <c r="C848" s="32" t="s">
        <v>1143</v>
      </c>
      <c r="D848" s="33"/>
      <c r="E848" s="29">
        <v>1850000</v>
      </c>
      <c r="F848" s="34">
        <f t="shared" si="54"/>
        <v>148000</v>
      </c>
      <c r="G848" s="37">
        <f t="shared" si="53"/>
        <v>1998000</v>
      </c>
      <c r="H848" s="35">
        <v>1998000</v>
      </c>
      <c r="I848" s="36">
        <f t="shared" si="52"/>
        <v>0</v>
      </c>
      <c r="J848" s="9">
        <v>46213</v>
      </c>
    </row>
    <row r="849" spans="1:11" ht="15" hidden="1" customHeight="1" x14ac:dyDescent="0.3">
      <c r="A849" s="30" t="s">
        <v>27</v>
      </c>
      <c r="B849" s="31" t="s">
        <v>1149</v>
      </c>
      <c r="C849" s="32" t="s">
        <v>1144</v>
      </c>
      <c r="D849" s="33"/>
      <c r="E849" s="29">
        <v>3050000</v>
      </c>
      <c r="F849" s="34">
        <f t="shared" si="54"/>
        <v>244000</v>
      </c>
      <c r="G849" s="37">
        <f t="shared" si="53"/>
        <v>3294000</v>
      </c>
      <c r="H849" s="35">
        <v>3294000</v>
      </c>
      <c r="I849" s="36">
        <f t="shared" si="52"/>
        <v>0</v>
      </c>
      <c r="J849" s="9">
        <v>46213</v>
      </c>
    </row>
    <row r="850" spans="1:11" ht="15" hidden="1" customHeight="1" x14ac:dyDescent="0.3">
      <c r="A850" s="30" t="s">
        <v>32</v>
      </c>
      <c r="B850" s="31" t="s">
        <v>1149</v>
      </c>
      <c r="C850" s="32" t="s">
        <v>1145</v>
      </c>
      <c r="D850" s="33"/>
      <c r="E850" s="29">
        <v>3510000</v>
      </c>
      <c r="F850" s="34">
        <f t="shared" si="54"/>
        <v>280800</v>
      </c>
      <c r="G850" s="37">
        <f t="shared" si="53"/>
        <v>3790800</v>
      </c>
      <c r="H850" s="35">
        <v>3790800</v>
      </c>
      <c r="I850" s="36">
        <f t="shared" si="52"/>
        <v>0</v>
      </c>
      <c r="J850" s="9">
        <v>46213</v>
      </c>
    </row>
    <row r="851" spans="1:11" ht="15" hidden="1" customHeight="1" x14ac:dyDescent="0.3">
      <c r="A851" s="30" t="s">
        <v>45</v>
      </c>
      <c r="B851" s="31" t="s">
        <v>1150</v>
      </c>
      <c r="C851" s="32" t="s">
        <v>384</v>
      </c>
      <c r="D851" s="33"/>
      <c r="E851" s="29">
        <v>1005000</v>
      </c>
      <c r="F851" s="34">
        <f t="shared" si="54"/>
        <v>80400</v>
      </c>
      <c r="G851" s="37">
        <f t="shared" si="53"/>
        <v>1085400</v>
      </c>
      <c r="H851" s="35">
        <v>1085400</v>
      </c>
      <c r="I851" s="36">
        <f t="shared" si="52"/>
        <v>0</v>
      </c>
      <c r="J851" s="9">
        <v>46213</v>
      </c>
      <c r="K851" s="2" t="s">
        <v>1229</v>
      </c>
    </row>
    <row r="852" spans="1:11" ht="15" hidden="1" customHeight="1" x14ac:dyDescent="0.3">
      <c r="A852" s="30" t="s">
        <v>26</v>
      </c>
      <c r="B852" s="31" t="s">
        <v>1150</v>
      </c>
      <c r="C852" s="33" t="s">
        <v>1146</v>
      </c>
      <c r="D852" s="33"/>
      <c r="E852" s="29">
        <v>-1911000</v>
      </c>
      <c r="F852" s="34">
        <f t="shared" si="54"/>
        <v>-152880</v>
      </c>
      <c r="G852" s="37">
        <f t="shared" si="53"/>
        <v>-2063880</v>
      </c>
      <c r="H852" s="35">
        <v>-2063880</v>
      </c>
      <c r="I852" s="36">
        <f t="shared" si="52"/>
        <v>0</v>
      </c>
    </row>
    <row r="853" spans="1:11" ht="15" hidden="1" customHeight="1" x14ac:dyDescent="0.3">
      <c r="A853" s="30" t="s">
        <v>17</v>
      </c>
      <c r="B853" s="31" t="s">
        <v>1158</v>
      </c>
      <c r="C853" s="32" t="s">
        <v>1151</v>
      </c>
      <c r="D853" s="33"/>
      <c r="E853" s="29">
        <v>11625000</v>
      </c>
      <c r="F853" s="34">
        <f t="shared" si="54"/>
        <v>930000</v>
      </c>
      <c r="G853" s="37">
        <f t="shared" si="53"/>
        <v>12555000</v>
      </c>
      <c r="H853" s="35">
        <v>12555000</v>
      </c>
      <c r="I853" s="36">
        <f t="shared" si="52"/>
        <v>0</v>
      </c>
      <c r="J853" s="9">
        <v>46213</v>
      </c>
    </row>
    <row r="854" spans="1:11" ht="15" hidden="1" customHeight="1" x14ac:dyDescent="0.3">
      <c r="A854" s="30" t="s">
        <v>32</v>
      </c>
      <c r="B854" s="31" t="s">
        <v>1159</v>
      </c>
      <c r="C854" s="32" t="s">
        <v>1152</v>
      </c>
      <c r="D854" s="33"/>
      <c r="E854" s="29">
        <v>7845000</v>
      </c>
      <c r="F854" s="34">
        <f t="shared" si="54"/>
        <v>627600</v>
      </c>
      <c r="G854" s="37">
        <f t="shared" si="53"/>
        <v>8472600</v>
      </c>
      <c r="H854" s="35">
        <v>8472600</v>
      </c>
      <c r="I854" s="36">
        <f t="shared" si="52"/>
        <v>0</v>
      </c>
      <c r="J854" s="9">
        <v>46213</v>
      </c>
    </row>
    <row r="855" spans="1:11" ht="15" hidden="1" customHeight="1" x14ac:dyDescent="0.3">
      <c r="A855" s="30" t="s">
        <v>20</v>
      </c>
      <c r="B855" s="31" t="s">
        <v>1159</v>
      </c>
      <c r="C855" s="32" t="s">
        <v>1153</v>
      </c>
      <c r="D855" s="33"/>
      <c r="E855" s="29">
        <v>5120000</v>
      </c>
      <c r="F855" s="34">
        <f t="shared" si="54"/>
        <v>409600</v>
      </c>
      <c r="G855" s="37">
        <f t="shared" si="53"/>
        <v>5529600</v>
      </c>
      <c r="H855" s="35">
        <v>5529600</v>
      </c>
      <c r="I855" s="36">
        <f t="shared" si="52"/>
        <v>0</v>
      </c>
      <c r="J855" s="9">
        <v>46233</v>
      </c>
    </row>
    <row r="856" spans="1:11" ht="15" hidden="1" customHeight="1" x14ac:dyDescent="0.3">
      <c r="A856" s="30" t="s">
        <v>21</v>
      </c>
      <c r="B856" s="31" t="s">
        <v>1159</v>
      </c>
      <c r="C856" s="32" t="s">
        <v>1154</v>
      </c>
      <c r="D856" s="33"/>
      <c r="E856" s="29">
        <v>2925000</v>
      </c>
      <c r="F856" s="34">
        <f t="shared" si="54"/>
        <v>234000</v>
      </c>
      <c r="G856" s="37">
        <f t="shared" si="53"/>
        <v>3159000</v>
      </c>
      <c r="H856" s="35">
        <v>3159000</v>
      </c>
      <c r="I856" s="36">
        <f t="shared" si="52"/>
        <v>0</v>
      </c>
      <c r="J856" s="9">
        <v>46233</v>
      </c>
    </row>
    <row r="857" spans="1:11" ht="15" hidden="1" customHeight="1" x14ac:dyDescent="0.3">
      <c r="A857" s="30" t="s">
        <v>23</v>
      </c>
      <c r="B857" s="31" t="s">
        <v>1159</v>
      </c>
      <c r="C857" s="32" t="s">
        <v>1155</v>
      </c>
      <c r="D857" s="33"/>
      <c r="E857" s="29">
        <v>5015000</v>
      </c>
      <c r="F857" s="34">
        <f t="shared" si="54"/>
        <v>401200</v>
      </c>
      <c r="G857" s="37">
        <f t="shared" si="53"/>
        <v>5416200</v>
      </c>
      <c r="H857" s="35">
        <v>5416200</v>
      </c>
      <c r="I857" s="36">
        <f t="shared" si="52"/>
        <v>0</v>
      </c>
      <c r="J857" s="9">
        <v>46213</v>
      </c>
    </row>
    <row r="858" spans="1:11" ht="15" hidden="1" customHeight="1" x14ac:dyDescent="0.3">
      <c r="A858" s="30" t="s">
        <v>25</v>
      </c>
      <c r="B858" s="31" t="s">
        <v>1159</v>
      </c>
      <c r="C858" s="32" t="s">
        <v>1156</v>
      </c>
      <c r="D858" s="33"/>
      <c r="E858" s="29">
        <v>2925000</v>
      </c>
      <c r="F858" s="34">
        <f t="shared" si="54"/>
        <v>234000</v>
      </c>
      <c r="G858" s="37">
        <f t="shared" si="53"/>
        <v>3159000</v>
      </c>
      <c r="H858" s="35"/>
      <c r="I858" s="36">
        <f t="shared" si="52"/>
        <v>3159000</v>
      </c>
      <c r="J858" s="9" t="s">
        <v>1228</v>
      </c>
    </row>
    <row r="859" spans="1:11" ht="15" hidden="1" customHeight="1" x14ac:dyDescent="0.3">
      <c r="A859" s="30" t="s">
        <v>48</v>
      </c>
      <c r="B859" s="31" t="s">
        <v>1159</v>
      </c>
      <c r="C859" s="32" t="s">
        <v>1157</v>
      </c>
      <c r="D859" s="33"/>
      <c r="E859" s="29">
        <v>1800000</v>
      </c>
      <c r="F859" s="34">
        <f t="shared" si="54"/>
        <v>144000</v>
      </c>
      <c r="G859" s="37">
        <f t="shared" si="53"/>
        <v>1944000</v>
      </c>
      <c r="H859" s="35">
        <v>1944000</v>
      </c>
      <c r="I859" s="36">
        <f t="shared" si="52"/>
        <v>0</v>
      </c>
      <c r="J859" s="9">
        <v>46213</v>
      </c>
    </row>
    <row r="860" spans="1:11" ht="15" hidden="1" customHeight="1" x14ac:dyDescent="0.3">
      <c r="A860" s="30" t="s">
        <v>45</v>
      </c>
      <c r="B860" s="31" t="s">
        <v>1191</v>
      </c>
      <c r="C860" s="32" t="s">
        <v>1160</v>
      </c>
      <c r="D860" s="33"/>
      <c r="E860" s="29">
        <v>810000</v>
      </c>
      <c r="F860" s="34">
        <f t="shared" si="54"/>
        <v>64800</v>
      </c>
      <c r="G860" s="37">
        <f t="shared" si="53"/>
        <v>874800</v>
      </c>
      <c r="H860" s="35">
        <v>874800</v>
      </c>
      <c r="I860" s="36">
        <f t="shared" si="52"/>
        <v>0</v>
      </c>
      <c r="J860" s="9">
        <v>46233</v>
      </c>
    </row>
    <row r="861" spans="1:11" ht="15" hidden="1" customHeight="1" x14ac:dyDescent="0.3">
      <c r="A861" s="30" t="s">
        <v>23</v>
      </c>
      <c r="B861" s="31" t="s">
        <v>1192</v>
      </c>
      <c r="C861" s="32" t="s">
        <v>1161</v>
      </c>
      <c r="D861" s="33"/>
      <c r="E861" s="29">
        <v>8450000</v>
      </c>
      <c r="F861" s="34">
        <f t="shared" si="54"/>
        <v>676000</v>
      </c>
      <c r="G861" s="37">
        <f t="shared" si="53"/>
        <v>9126000</v>
      </c>
      <c r="H861" s="35">
        <v>9126000</v>
      </c>
      <c r="I861" s="36">
        <f t="shared" si="52"/>
        <v>0</v>
      </c>
      <c r="J861" s="9">
        <v>46233</v>
      </c>
    </row>
    <row r="862" spans="1:11" ht="15" hidden="1" customHeight="1" x14ac:dyDescent="0.3">
      <c r="A862" s="30" t="s">
        <v>25</v>
      </c>
      <c r="B862" s="31" t="s">
        <v>1192</v>
      </c>
      <c r="C862" s="32" t="s">
        <v>1162</v>
      </c>
      <c r="D862" s="33"/>
      <c r="E862" s="29">
        <v>3600000</v>
      </c>
      <c r="F862" s="34">
        <f t="shared" si="54"/>
        <v>288000</v>
      </c>
      <c r="G862" s="37">
        <f t="shared" si="53"/>
        <v>3888000</v>
      </c>
      <c r="H862" s="35"/>
      <c r="I862" s="36">
        <f t="shared" si="52"/>
        <v>3888000</v>
      </c>
      <c r="J862" s="9" t="s">
        <v>1228</v>
      </c>
    </row>
    <row r="863" spans="1:11" ht="15" hidden="1" customHeight="1" x14ac:dyDescent="0.3">
      <c r="A863" s="30" t="s">
        <v>21</v>
      </c>
      <c r="B863" s="31" t="s">
        <v>1192</v>
      </c>
      <c r="C863" s="32" t="s">
        <v>1163</v>
      </c>
      <c r="D863" s="33"/>
      <c r="E863" s="29">
        <v>8775000</v>
      </c>
      <c r="F863" s="34">
        <f t="shared" si="54"/>
        <v>702000</v>
      </c>
      <c r="G863" s="37">
        <f t="shared" si="53"/>
        <v>9477000</v>
      </c>
      <c r="H863" s="35">
        <v>9477000</v>
      </c>
      <c r="I863" s="36">
        <f t="shared" si="52"/>
        <v>0</v>
      </c>
      <c r="J863" s="9">
        <v>46233</v>
      </c>
    </row>
    <row r="864" spans="1:11" ht="15" hidden="1" customHeight="1" x14ac:dyDescent="0.3">
      <c r="A864" s="30" t="s">
        <v>48</v>
      </c>
      <c r="B864" s="31" t="s">
        <v>1192</v>
      </c>
      <c r="C864" s="32" t="s">
        <v>1164</v>
      </c>
      <c r="D864" s="33"/>
      <c r="E864" s="29">
        <v>4740000</v>
      </c>
      <c r="F864" s="34">
        <f t="shared" si="54"/>
        <v>379200</v>
      </c>
      <c r="G864" s="37">
        <f t="shared" si="53"/>
        <v>5119200</v>
      </c>
      <c r="H864" s="35">
        <v>5119200</v>
      </c>
      <c r="I864" s="36">
        <f t="shared" si="52"/>
        <v>0</v>
      </c>
      <c r="J864" s="9">
        <v>46233</v>
      </c>
    </row>
    <row r="865" spans="1:10" ht="15" hidden="1" customHeight="1" x14ac:dyDescent="0.3">
      <c r="A865" s="30" t="s">
        <v>26</v>
      </c>
      <c r="B865" s="31" t="s">
        <v>1192</v>
      </c>
      <c r="C865" s="32" t="s">
        <v>1165</v>
      </c>
      <c r="D865" s="33"/>
      <c r="E865" s="29">
        <v>2775000</v>
      </c>
      <c r="F865" s="34">
        <f t="shared" si="54"/>
        <v>222000</v>
      </c>
      <c r="G865" s="37">
        <f t="shared" si="53"/>
        <v>2997000</v>
      </c>
      <c r="H865" s="35">
        <v>2997000</v>
      </c>
      <c r="I865" s="36">
        <f t="shared" si="52"/>
        <v>0</v>
      </c>
      <c r="J865" s="9">
        <v>46233</v>
      </c>
    </row>
    <row r="866" spans="1:10" ht="15" hidden="1" customHeight="1" x14ac:dyDescent="0.3">
      <c r="A866" s="30" t="s">
        <v>32</v>
      </c>
      <c r="B866" s="31" t="s">
        <v>1192</v>
      </c>
      <c r="C866" s="32" t="s">
        <v>433</v>
      </c>
      <c r="D866" s="33"/>
      <c r="E866" s="29">
        <v>12270000</v>
      </c>
      <c r="F866" s="34">
        <f t="shared" si="54"/>
        <v>981600</v>
      </c>
      <c r="G866" s="37">
        <f t="shared" si="53"/>
        <v>13251600</v>
      </c>
      <c r="H866" s="35">
        <v>13251600</v>
      </c>
      <c r="I866" s="36">
        <f t="shared" si="52"/>
        <v>0</v>
      </c>
      <c r="J866" s="9">
        <v>46233</v>
      </c>
    </row>
    <row r="867" spans="1:10" ht="15" hidden="1" customHeight="1" x14ac:dyDescent="0.3">
      <c r="A867" s="30" t="s">
        <v>28</v>
      </c>
      <c r="B867" s="31" t="s">
        <v>1193</v>
      </c>
      <c r="C867" s="32" t="s">
        <v>1166</v>
      </c>
      <c r="D867" s="33"/>
      <c r="E867" s="29">
        <v>3690000</v>
      </c>
      <c r="F867" s="34">
        <f t="shared" si="54"/>
        <v>295200</v>
      </c>
      <c r="G867" s="37">
        <f t="shared" si="53"/>
        <v>3985200</v>
      </c>
      <c r="H867" s="35">
        <v>3985200</v>
      </c>
      <c r="I867" s="36">
        <f t="shared" si="52"/>
        <v>0</v>
      </c>
      <c r="J867" s="9">
        <v>46233</v>
      </c>
    </row>
    <row r="868" spans="1:10" ht="15" hidden="1" customHeight="1" x14ac:dyDescent="0.3">
      <c r="A868" s="30" t="s">
        <v>21</v>
      </c>
      <c r="B868" s="31" t="s">
        <v>1194</v>
      </c>
      <c r="C868" s="32" t="s">
        <v>1167</v>
      </c>
      <c r="D868" s="33"/>
      <c r="E868" s="29">
        <v>2045000</v>
      </c>
      <c r="F868" s="34">
        <f t="shared" si="54"/>
        <v>163600</v>
      </c>
      <c r="G868" s="37">
        <f t="shared" si="53"/>
        <v>2208600</v>
      </c>
      <c r="H868" s="35">
        <v>2208600</v>
      </c>
      <c r="I868" s="36">
        <f t="shared" ref="I868:I916" si="55">G868-H868</f>
        <v>0</v>
      </c>
      <c r="J868" s="9">
        <v>46233</v>
      </c>
    </row>
    <row r="869" spans="1:10" ht="15" hidden="1" customHeight="1" x14ac:dyDescent="0.3">
      <c r="A869" s="30" t="s">
        <v>22</v>
      </c>
      <c r="B869" s="31" t="s">
        <v>1194</v>
      </c>
      <c r="C869" s="32" t="s">
        <v>1168</v>
      </c>
      <c r="D869" s="33"/>
      <c r="E869" s="29">
        <v>5370000</v>
      </c>
      <c r="F869" s="34">
        <f t="shared" si="54"/>
        <v>429600</v>
      </c>
      <c r="G869" s="37">
        <f t="shared" si="53"/>
        <v>5799600</v>
      </c>
      <c r="H869" s="35">
        <v>5799600</v>
      </c>
      <c r="I869" s="36">
        <f t="shared" si="55"/>
        <v>0</v>
      </c>
      <c r="J869" s="9">
        <v>46233</v>
      </c>
    </row>
    <row r="870" spans="1:10" ht="15" hidden="1" customHeight="1" x14ac:dyDescent="0.3">
      <c r="A870" s="30" t="s">
        <v>19</v>
      </c>
      <c r="B870" s="31" t="s">
        <v>1194</v>
      </c>
      <c r="C870" s="32" t="s">
        <v>1169</v>
      </c>
      <c r="D870" s="33"/>
      <c r="E870" s="29">
        <v>3960000</v>
      </c>
      <c r="F870" s="34">
        <f t="shared" si="54"/>
        <v>316800</v>
      </c>
      <c r="G870" s="37">
        <f t="shared" si="53"/>
        <v>4276800</v>
      </c>
      <c r="H870" s="35"/>
      <c r="I870" s="36">
        <f t="shared" si="55"/>
        <v>4276800</v>
      </c>
      <c r="J870" s="9" t="s">
        <v>1269</v>
      </c>
    </row>
    <row r="871" spans="1:10" ht="15" hidden="1" customHeight="1" x14ac:dyDescent="0.3">
      <c r="A871" s="30" t="s">
        <v>32</v>
      </c>
      <c r="B871" s="31" t="s">
        <v>1195</v>
      </c>
      <c r="C871" s="32" t="s">
        <v>1170</v>
      </c>
      <c r="D871" s="33"/>
      <c r="E871" s="29">
        <v>8720000</v>
      </c>
      <c r="F871" s="34">
        <f t="shared" si="54"/>
        <v>697600</v>
      </c>
      <c r="G871" s="37">
        <f t="shared" si="53"/>
        <v>9417600</v>
      </c>
      <c r="H871" s="35">
        <v>9417600</v>
      </c>
      <c r="I871" s="36">
        <f t="shared" si="55"/>
        <v>0</v>
      </c>
      <c r="J871" s="9">
        <v>46233</v>
      </c>
    </row>
    <row r="872" spans="1:10" ht="15" hidden="1" customHeight="1" x14ac:dyDescent="0.3">
      <c r="A872" s="30" t="s">
        <v>26</v>
      </c>
      <c r="B872" s="31" t="s">
        <v>1195</v>
      </c>
      <c r="C872" s="32" t="s">
        <v>1171</v>
      </c>
      <c r="D872" s="33"/>
      <c r="E872" s="29">
        <v>4860000</v>
      </c>
      <c r="F872" s="34">
        <f t="shared" si="54"/>
        <v>388800</v>
      </c>
      <c r="G872" s="37">
        <f t="shared" si="53"/>
        <v>5248800</v>
      </c>
      <c r="H872" s="35">
        <v>5248800</v>
      </c>
      <c r="I872" s="36">
        <f t="shared" si="55"/>
        <v>0</v>
      </c>
      <c r="J872" s="9">
        <v>46233</v>
      </c>
    </row>
    <row r="873" spans="1:10" ht="15" hidden="1" customHeight="1" x14ac:dyDescent="0.3">
      <c r="A873" s="30" t="s">
        <v>48</v>
      </c>
      <c r="B873" s="31" t="s">
        <v>1195</v>
      </c>
      <c r="C873" s="32" t="s">
        <v>1172</v>
      </c>
      <c r="D873" s="33"/>
      <c r="E873" s="29">
        <v>4740000</v>
      </c>
      <c r="F873" s="34">
        <f t="shared" si="54"/>
        <v>379200</v>
      </c>
      <c r="G873" s="37">
        <f t="shared" si="53"/>
        <v>5119200</v>
      </c>
      <c r="H873" s="35">
        <v>5119200</v>
      </c>
      <c r="I873" s="36">
        <f t="shared" si="55"/>
        <v>0</v>
      </c>
      <c r="J873" s="9">
        <v>46233</v>
      </c>
    </row>
    <row r="874" spans="1:10" ht="15" hidden="1" customHeight="1" x14ac:dyDescent="0.3">
      <c r="A874" s="30" t="s">
        <v>25</v>
      </c>
      <c r="B874" s="31" t="s">
        <v>1195</v>
      </c>
      <c r="C874" s="32" t="s">
        <v>1173</v>
      </c>
      <c r="D874" s="33"/>
      <c r="E874" s="29">
        <v>3000000</v>
      </c>
      <c r="F874" s="34">
        <f t="shared" si="54"/>
        <v>240000</v>
      </c>
      <c r="G874" s="37">
        <f t="shared" ref="G874:G922" si="56">+F874+E874</f>
        <v>3240000</v>
      </c>
      <c r="H874" s="35"/>
      <c r="I874" s="36">
        <f t="shared" si="55"/>
        <v>3240000</v>
      </c>
      <c r="J874" s="9" t="s">
        <v>1228</v>
      </c>
    </row>
    <row r="875" spans="1:10" ht="15" hidden="1" customHeight="1" x14ac:dyDescent="0.3">
      <c r="A875" s="30" t="s">
        <v>23</v>
      </c>
      <c r="B875" s="31" t="s">
        <v>1195</v>
      </c>
      <c r="C875" s="32" t="s">
        <v>1174</v>
      </c>
      <c r="D875" s="33"/>
      <c r="E875" s="29">
        <v>13445000</v>
      </c>
      <c r="F875" s="34">
        <f t="shared" si="54"/>
        <v>1075600</v>
      </c>
      <c r="G875" s="37">
        <f t="shared" si="56"/>
        <v>14520600</v>
      </c>
      <c r="H875" s="35">
        <v>14520600</v>
      </c>
      <c r="I875" s="36">
        <f t="shared" si="55"/>
        <v>0</v>
      </c>
      <c r="J875" s="9">
        <v>46233</v>
      </c>
    </row>
    <row r="876" spans="1:10" ht="15" hidden="1" customHeight="1" x14ac:dyDescent="0.3">
      <c r="A876" s="30" t="s">
        <v>18</v>
      </c>
      <c r="B876" s="31" t="s">
        <v>1195</v>
      </c>
      <c r="C876" s="32" t="s">
        <v>1175</v>
      </c>
      <c r="D876" s="33"/>
      <c r="E876" s="29">
        <v>7890000</v>
      </c>
      <c r="F876" s="34">
        <f t="shared" si="54"/>
        <v>631200</v>
      </c>
      <c r="G876" s="37">
        <f t="shared" si="56"/>
        <v>8521200</v>
      </c>
      <c r="H876" s="35">
        <v>8521200</v>
      </c>
      <c r="I876" s="36">
        <f t="shared" si="55"/>
        <v>0</v>
      </c>
      <c r="J876" s="9">
        <v>46233</v>
      </c>
    </row>
    <row r="877" spans="1:10" ht="15" hidden="1" customHeight="1" x14ac:dyDescent="0.3">
      <c r="A877" s="30" t="s">
        <v>21</v>
      </c>
      <c r="B877" s="31" t="s">
        <v>1195</v>
      </c>
      <c r="C877" s="32" t="s">
        <v>1176</v>
      </c>
      <c r="D877" s="33"/>
      <c r="E877" s="29">
        <v>1850000</v>
      </c>
      <c r="F877" s="34">
        <f t="shared" si="54"/>
        <v>148000</v>
      </c>
      <c r="G877" s="37">
        <f t="shared" si="56"/>
        <v>1998000</v>
      </c>
      <c r="H877" s="35">
        <v>1998000</v>
      </c>
      <c r="I877" s="36">
        <f t="shared" si="55"/>
        <v>0</v>
      </c>
      <c r="J877" s="9">
        <v>46233</v>
      </c>
    </row>
    <row r="878" spans="1:10" ht="15" hidden="1" customHeight="1" x14ac:dyDescent="0.3">
      <c r="A878" s="30" t="s">
        <v>17</v>
      </c>
      <c r="B878" s="31" t="s">
        <v>1195</v>
      </c>
      <c r="C878" s="32" t="s">
        <v>1177</v>
      </c>
      <c r="D878" s="33"/>
      <c r="E878" s="29">
        <v>24495000</v>
      </c>
      <c r="F878" s="34">
        <f t="shared" si="54"/>
        <v>1959600</v>
      </c>
      <c r="G878" s="37">
        <f t="shared" si="56"/>
        <v>26454600</v>
      </c>
      <c r="H878" s="35">
        <v>26454600</v>
      </c>
      <c r="I878" s="36">
        <f t="shared" si="55"/>
        <v>0</v>
      </c>
      <c r="J878" s="9">
        <v>46233</v>
      </c>
    </row>
    <row r="879" spans="1:10" ht="15" customHeight="1" x14ac:dyDescent="0.3">
      <c r="A879" s="30" t="s">
        <v>25</v>
      </c>
      <c r="B879" s="31" t="s">
        <v>1196</v>
      </c>
      <c r="C879" s="32" t="s">
        <v>1178</v>
      </c>
      <c r="D879" s="33"/>
      <c r="E879" s="29">
        <v>4650000</v>
      </c>
      <c r="F879" s="34">
        <f t="shared" si="54"/>
        <v>372000</v>
      </c>
      <c r="G879" s="37">
        <f t="shared" si="56"/>
        <v>5022000</v>
      </c>
      <c r="H879" s="35">
        <v>5022000</v>
      </c>
      <c r="I879" s="36">
        <f t="shared" si="55"/>
        <v>0</v>
      </c>
      <c r="J879" s="9">
        <v>46244</v>
      </c>
    </row>
    <row r="880" spans="1:10" ht="15" customHeight="1" x14ac:dyDescent="0.3">
      <c r="A880" s="30" t="s">
        <v>21</v>
      </c>
      <c r="B880" s="31" t="s">
        <v>1196</v>
      </c>
      <c r="C880" s="32" t="s">
        <v>1179</v>
      </c>
      <c r="D880" s="33"/>
      <c r="E880" s="29">
        <v>1005000</v>
      </c>
      <c r="F880" s="34">
        <f t="shared" ref="F880:F943" si="57">+E880*0.08</f>
        <v>80400</v>
      </c>
      <c r="G880" s="37">
        <f t="shared" si="56"/>
        <v>1085400</v>
      </c>
      <c r="H880" s="35">
        <v>1085400</v>
      </c>
      <c r="I880" s="36">
        <f t="shared" si="55"/>
        <v>0</v>
      </c>
      <c r="J880" s="9">
        <v>46244</v>
      </c>
    </row>
    <row r="881" spans="1:10" ht="15" customHeight="1" x14ac:dyDescent="0.3">
      <c r="A881" s="30" t="s">
        <v>21</v>
      </c>
      <c r="B881" s="31" t="s">
        <v>1196</v>
      </c>
      <c r="C881" s="32" t="s">
        <v>1180</v>
      </c>
      <c r="D881" s="33"/>
      <c r="E881" s="29">
        <v>990000</v>
      </c>
      <c r="F881" s="34">
        <f t="shared" si="57"/>
        <v>79200</v>
      </c>
      <c r="G881" s="37">
        <f t="shared" si="56"/>
        <v>1069200</v>
      </c>
      <c r="H881" s="35">
        <v>1069200</v>
      </c>
      <c r="I881" s="36">
        <f t="shared" si="55"/>
        <v>0</v>
      </c>
      <c r="J881" s="9">
        <v>46244</v>
      </c>
    </row>
    <row r="882" spans="1:10" ht="15" hidden="1" customHeight="1" x14ac:dyDescent="0.3">
      <c r="A882" s="30" t="s">
        <v>48</v>
      </c>
      <c r="B882" s="31" t="s">
        <v>1197</v>
      </c>
      <c r="C882" s="32" t="s">
        <v>1181</v>
      </c>
      <c r="D882" s="33"/>
      <c r="E882" s="29">
        <v>2775000</v>
      </c>
      <c r="F882" s="34">
        <f t="shared" si="57"/>
        <v>222000</v>
      </c>
      <c r="G882" s="37">
        <f t="shared" si="56"/>
        <v>2997000</v>
      </c>
      <c r="H882" s="35">
        <v>2997000</v>
      </c>
      <c r="I882" s="36">
        <f t="shared" si="55"/>
        <v>0</v>
      </c>
      <c r="J882" s="9">
        <v>46233</v>
      </c>
    </row>
    <row r="883" spans="1:10" ht="15" customHeight="1" x14ac:dyDescent="0.3">
      <c r="A883" s="30" t="s">
        <v>22</v>
      </c>
      <c r="B883" s="31" t="s">
        <v>1197</v>
      </c>
      <c r="C883" s="32" t="s">
        <v>1182</v>
      </c>
      <c r="D883" s="33"/>
      <c r="E883" s="29">
        <v>1980000</v>
      </c>
      <c r="F883" s="34">
        <f t="shared" si="57"/>
        <v>158400</v>
      </c>
      <c r="G883" s="37">
        <f t="shared" si="56"/>
        <v>2138400</v>
      </c>
      <c r="H883" s="35">
        <v>2138400</v>
      </c>
      <c r="I883" s="36">
        <f t="shared" si="55"/>
        <v>0</v>
      </c>
      <c r="J883" s="9">
        <v>46244</v>
      </c>
    </row>
    <row r="884" spans="1:10" ht="15" customHeight="1" x14ac:dyDescent="0.3">
      <c r="A884" s="30" t="s">
        <v>21</v>
      </c>
      <c r="B884" s="31" t="s">
        <v>1197</v>
      </c>
      <c r="C884" s="32" t="s">
        <v>1183</v>
      </c>
      <c r="D884" s="33"/>
      <c r="E884" s="29">
        <v>8850000</v>
      </c>
      <c r="F884" s="34">
        <f t="shared" si="57"/>
        <v>708000</v>
      </c>
      <c r="G884" s="37">
        <f t="shared" si="56"/>
        <v>9558000</v>
      </c>
      <c r="H884" s="35">
        <v>9558000</v>
      </c>
      <c r="I884" s="36">
        <f t="shared" si="55"/>
        <v>0</v>
      </c>
      <c r="J884" s="9">
        <v>46244</v>
      </c>
    </row>
    <row r="885" spans="1:10" ht="15" customHeight="1" x14ac:dyDescent="0.3">
      <c r="A885" s="30" t="s">
        <v>45</v>
      </c>
      <c r="B885" s="31" t="s">
        <v>1198</v>
      </c>
      <c r="C885" s="32" t="s">
        <v>1184</v>
      </c>
      <c r="D885" s="33"/>
      <c r="E885" s="29">
        <v>4545000</v>
      </c>
      <c r="F885" s="34">
        <f t="shared" si="57"/>
        <v>363600</v>
      </c>
      <c r="G885" s="37">
        <f t="shared" si="56"/>
        <v>4908600</v>
      </c>
      <c r="H885" s="35">
        <v>4908600</v>
      </c>
      <c r="I885" s="36">
        <f t="shared" si="55"/>
        <v>0</v>
      </c>
      <c r="J885" s="9">
        <v>46244</v>
      </c>
    </row>
    <row r="886" spans="1:10" ht="15" customHeight="1" x14ac:dyDescent="0.3">
      <c r="A886" s="30" t="s">
        <v>32</v>
      </c>
      <c r="B886" s="31" t="s">
        <v>1199</v>
      </c>
      <c r="C886" s="32" t="s">
        <v>1185</v>
      </c>
      <c r="D886" s="33"/>
      <c r="E886" s="29">
        <v>10310000</v>
      </c>
      <c r="F886" s="34">
        <f t="shared" si="57"/>
        <v>824800</v>
      </c>
      <c r="G886" s="37">
        <f t="shared" si="56"/>
        <v>11134800</v>
      </c>
      <c r="H886" s="35">
        <v>11134800</v>
      </c>
      <c r="I886" s="36">
        <f t="shared" si="55"/>
        <v>0</v>
      </c>
      <c r="J886" s="9">
        <v>46244</v>
      </c>
    </row>
    <row r="887" spans="1:10" ht="15" customHeight="1" x14ac:dyDescent="0.3">
      <c r="A887" s="30" t="s">
        <v>26</v>
      </c>
      <c r="B887" s="31" t="s">
        <v>1199</v>
      </c>
      <c r="C887" s="32" t="s">
        <v>1186</v>
      </c>
      <c r="D887" s="33"/>
      <c r="E887" s="29">
        <v>9170000</v>
      </c>
      <c r="F887" s="34">
        <f t="shared" si="57"/>
        <v>733600</v>
      </c>
      <c r="G887" s="37">
        <f t="shared" si="56"/>
        <v>9903600</v>
      </c>
      <c r="H887" s="35">
        <v>9903600</v>
      </c>
      <c r="I887" s="36">
        <f t="shared" si="55"/>
        <v>0</v>
      </c>
      <c r="J887" s="9">
        <v>46244</v>
      </c>
    </row>
    <row r="888" spans="1:10" ht="15" customHeight="1" x14ac:dyDescent="0.3">
      <c r="A888" s="30" t="s">
        <v>48</v>
      </c>
      <c r="B888" s="31" t="s">
        <v>1199</v>
      </c>
      <c r="C888" s="32" t="s">
        <v>1187</v>
      </c>
      <c r="D888" s="33"/>
      <c r="E888" s="29">
        <v>3810000</v>
      </c>
      <c r="F888" s="34">
        <f t="shared" si="57"/>
        <v>304800</v>
      </c>
      <c r="G888" s="37">
        <f t="shared" si="56"/>
        <v>4114800</v>
      </c>
      <c r="H888" s="35">
        <v>4114800</v>
      </c>
      <c r="I888" s="36">
        <f t="shared" si="55"/>
        <v>0</v>
      </c>
      <c r="J888" s="9">
        <v>46244</v>
      </c>
    </row>
    <row r="889" spans="1:10" ht="15" customHeight="1" x14ac:dyDescent="0.3">
      <c r="A889" s="30" t="s">
        <v>27</v>
      </c>
      <c r="B889" s="31" t="s">
        <v>1199</v>
      </c>
      <c r="C889" s="32" t="s">
        <v>1188</v>
      </c>
      <c r="D889" s="33"/>
      <c r="E889" s="29">
        <v>6585000</v>
      </c>
      <c r="F889" s="34">
        <f t="shared" si="57"/>
        <v>526800</v>
      </c>
      <c r="G889" s="37">
        <f t="shared" si="56"/>
        <v>7111800</v>
      </c>
      <c r="H889" s="35">
        <v>7111800</v>
      </c>
      <c r="I889" s="36">
        <f t="shared" si="55"/>
        <v>0</v>
      </c>
      <c r="J889" s="9">
        <v>46244</v>
      </c>
    </row>
    <row r="890" spans="1:10" ht="15" customHeight="1" x14ac:dyDescent="0.3">
      <c r="A890" s="30" t="s">
        <v>23</v>
      </c>
      <c r="B890" s="31" t="s">
        <v>1199</v>
      </c>
      <c r="C890" s="32" t="s">
        <v>1189</v>
      </c>
      <c r="D890" s="33"/>
      <c r="E890" s="29">
        <v>8340000</v>
      </c>
      <c r="F890" s="34">
        <f t="shared" si="57"/>
        <v>667200</v>
      </c>
      <c r="G890" s="37">
        <f t="shared" si="56"/>
        <v>9007200</v>
      </c>
      <c r="H890" s="35">
        <v>9007200</v>
      </c>
      <c r="I890" s="36">
        <f t="shared" si="55"/>
        <v>0</v>
      </c>
      <c r="J890" s="9">
        <v>46244</v>
      </c>
    </row>
    <row r="891" spans="1:10" ht="15" customHeight="1" x14ac:dyDescent="0.3">
      <c r="A891" s="30" t="s">
        <v>21</v>
      </c>
      <c r="B891" s="31" t="s">
        <v>1199</v>
      </c>
      <c r="C891" s="32" t="s">
        <v>1190</v>
      </c>
      <c r="D891" s="33"/>
      <c r="E891" s="29">
        <v>5775000</v>
      </c>
      <c r="F891" s="34">
        <f t="shared" si="57"/>
        <v>462000</v>
      </c>
      <c r="G891" s="37">
        <f t="shared" si="56"/>
        <v>6237000</v>
      </c>
      <c r="H891" s="35">
        <v>6237000</v>
      </c>
      <c r="I891" s="36">
        <f t="shared" si="55"/>
        <v>0</v>
      </c>
      <c r="J891" s="9">
        <v>46244</v>
      </c>
    </row>
    <row r="892" spans="1:10" ht="15" customHeight="1" x14ac:dyDescent="0.3">
      <c r="A892" s="30" t="s">
        <v>48</v>
      </c>
      <c r="B892" s="31" t="s">
        <v>1221</v>
      </c>
      <c r="C892" s="32" t="s">
        <v>1201</v>
      </c>
      <c r="D892" s="33"/>
      <c r="E892" s="29">
        <v>5730000</v>
      </c>
      <c r="F892" s="34">
        <f t="shared" si="57"/>
        <v>458400</v>
      </c>
      <c r="G892" s="37">
        <f t="shared" si="56"/>
        <v>6188400</v>
      </c>
      <c r="H892" s="35">
        <v>6188400</v>
      </c>
      <c r="I892" s="36">
        <f t="shared" si="55"/>
        <v>0</v>
      </c>
      <c r="J892" s="9">
        <v>46244</v>
      </c>
    </row>
    <row r="893" spans="1:10" ht="15" customHeight="1" x14ac:dyDescent="0.3">
      <c r="A893" s="30" t="s">
        <v>17</v>
      </c>
      <c r="B893" s="31" t="s">
        <v>1221</v>
      </c>
      <c r="C893" s="32" t="s">
        <v>1202</v>
      </c>
      <c r="D893" s="33"/>
      <c r="E893" s="29">
        <v>1980000</v>
      </c>
      <c r="F893" s="34">
        <f t="shared" si="57"/>
        <v>158400</v>
      </c>
      <c r="G893" s="37">
        <f t="shared" si="56"/>
        <v>2138400</v>
      </c>
      <c r="H893" s="35">
        <v>2138400</v>
      </c>
      <c r="I893" s="36">
        <f t="shared" si="55"/>
        <v>0</v>
      </c>
      <c r="J893" s="9">
        <v>46244</v>
      </c>
    </row>
    <row r="894" spans="1:10" ht="15" customHeight="1" x14ac:dyDescent="0.3">
      <c r="A894" s="30" t="s">
        <v>21</v>
      </c>
      <c r="B894" s="31" t="s">
        <v>1221</v>
      </c>
      <c r="C894" s="32" t="s">
        <v>1203</v>
      </c>
      <c r="D894" s="33"/>
      <c r="E894" s="29">
        <v>1920000</v>
      </c>
      <c r="F894" s="34">
        <f t="shared" si="57"/>
        <v>153600</v>
      </c>
      <c r="G894" s="37">
        <f t="shared" si="56"/>
        <v>2073600</v>
      </c>
      <c r="H894" s="35">
        <v>2073600</v>
      </c>
      <c r="I894" s="36">
        <f t="shared" si="55"/>
        <v>0</v>
      </c>
      <c r="J894" s="9">
        <v>46244</v>
      </c>
    </row>
    <row r="895" spans="1:10" ht="15" customHeight="1" x14ac:dyDescent="0.3">
      <c r="A895" s="30" t="s">
        <v>23</v>
      </c>
      <c r="B895" s="31" t="s">
        <v>1221</v>
      </c>
      <c r="C895" s="32" t="s">
        <v>1204</v>
      </c>
      <c r="D895" s="33"/>
      <c r="E895" s="29">
        <v>1980000</v>
      </c>
      <c r="F895" s="34">
        <f t="shared" si="57"/>
        <v>158400</v>
      </c>
      <c r="G895" s="37">
        <f t="shared" si="56"/>
        <v>2138400</v>
      </c>
      <c r="H895" s="35">
        <v>2138400</v>
      </c>
      <c r="I895" s="36">
        <f t="shared" si="55"/>
        <v>0</v>
      </c>
      <c r="J895" s="9">
        <v>46244</v>
      </c>
    </row>
    <row r="896" spans="1:10" ht="15" customHeight="1" x14ac:dyDescent="0.3">
      <c r="A896" s="30" t="s">
        <v>28</v>
      </c>
      <c r="B896" s="31" t="s">
        <v>1221</v>
      </c>
      <c r="C896" s="32" t="s">
        <v>1205</v>
      </c>
      <c r="D896" s="33"/>
      <c r="E896" s="29">
        <v>1980000</v>
      </c>
      <c r="F896" s="34">
        <f t="shared" si="57"/>
        <v>158400</v>
      </c>
      <c r="G896" s="37">
        <f t="shared" si="56"/>
        <v>2138400</v>
      </c>
      <c r="H896" s="35">
        <v>2138400</v>
      </c>
      <c r="I896" s="36">
        <f t="shared" si="55"/>
        <v>0</v>
      </c>
      <c r="J896" s="9">
        <v>46244</v>
      </c>
    </row>
    <row r="897" spans="1:10" ht="15" customHeight="1" x14ac:dyDescent="0.3">
      <c r="A897" s="30" t="s">
        <v>17</v>
      </c>
      <c r="B897" s="31" t="s">
        <v>1222</v>
      </c>
      <c r="C897" s="32" t="s">
        <v>1206</v>
      </c>
      <c r="D897" s="33"/>
      <c r="E897" s="29">
        <v>20825000</v>
      </c>
      <c r="F897" s="34">
        <f t="shared" si="57"/>
        <v>1666000</v>
      </c>
      <c r="G897" s="37">
        <f t="shared" si="56"/>
        <v>22491000</v>
      </c>
      <c r="H897" s="35">
        <v>22491000</v>
      </c>
      <c r="I897" s="36">
        <f t="shared" si="55"/>
        <v>0</v>
      </c>
      <c r="J897" s="9">
        <v>46244</v>
      </c>
    </row>
    <row r="898" spans="1:10" ht="15" customHeight="1" x14ac:dyDescent="0.3">
      <c r="A898" s="30" t="s">
        <v>21</v>
      </c>
      <c r="B898" s="31" t="s">
        <v>1222</v>
      </c>
      <c r="C898" s="32" t="s">
        <v>1207</v>
      </c>
      <c r="D898" s="33"/>
      <c r="E898" s="29">
        <v>4800000</v>
      </c>
      <c r="F898" s="34">
        <f t="shared" si="57"/>
        <v>384000</v>
      </c>
      <c r="G898" s="37">
        <f t="shared" si="56"/>
        <v>5184000</v>
      </c>
      <c r="H898" s="35">
        <v>5184000</v>
      </c>
      <c r="I898" s="36">
        <f t="shared" si="55"/>
        <v>0</v>
      </c>
      <c r="J898" s="9">
        <v>46244</v>
      </c>
    </row>
    <row r="899" spans="1:10" ht="15" customHeight="1" x14ac:dyDescent="0.3">
      <c r="A899" s="30" t="s">
        <v>23</v>
      </c>
      <c r="B899" s="31" t="s">
        <v>1222</v>
      </c>
      <c r="C899" s="32" t="s">
        <v>1208</v>
      </c>
      <c r="D899" s="33"/>
      <c r="E899" s="29">
        <v>16300000</v>
      </c>
      <c r="F899" s="34">
        <f t="shared" si="57"/>
        <v>1304000</v>
      </c>
      <c r="G899" s="37">
        <f t="shared" si="56"/>
        <v>17604000</v>
      </c>
      <c r="H899" s="35">
        <v>17604000</v>
      </c>
      <c r="I899" s="36">
        <f t="shared" si="55"/>
        <v>0</v>
      </c>
      <c r="J899" s="9">
        <v>46244</v>
      </c>
    </row>
    <row r="900" spans="1:10" ht="15" customHeight="1" x14ac:dyDescent="0.3">
      <c r="A900" s="30" t="s">
        <v>25</v>
      </c>
      <c r="B900" s="31" t="s">
        <v>1222</v>
      </c>
      <c r="C900" s="32" t="s">
        <v>1209</v>
      </c>
      <c r="D900" s="33"/>
      <c r="E900" s="29">
        <v>2855000</v>
      </c>
      <c r="F900" s="34">
        <f t="shared" si="57"/>
        <v>228400</v>
      </c>
      <c r="G900" s="37">
        <f t="shared" si="56"/>
        <v>3083400</v>
      </c>
      <c r="H900" s="35">
        <v>3083400</v>
      </c>
      <c r="I900" s="36">
        <f t="shared" si="55"/>
        <v>0</v>
      </c>
      <c r="J900" s="9">
        <v>46244</v>
      </c>
    </row>
    <row r="901" spans="1:10" ht="15" customHeight="1" x14ac:dyDescent="0.3">
      <c r="A901" s="30" t="s">
        <v>32</v>
      </c>
      <c r="B901" s="31" t="s">
        <v>1222</v>
      </c>
      <c r="C901" s="32" t="s">
        <v>1210</v>
      </c>
      <c r="D901" s="33"/>
      <c r="E901" s="29">
        <v>13740000</v>
      </c>
      <c r="F901" s="34">
        <f t="shared" si="57"/>
        <v>1099200</v>
      </c>
      <c r="G901" s="37">
        <f t="shared" si="56"/>
        <v>14839200</v>
      </c>
      <c r="H901" s="35">
        <v>14839200</v>
      </c>
      <c r="I901" s="36">
        <f t="shared" si="55"/>
        <v>0</v>
      </c>
      <c r="J901" s="9">
        <v>46244</v>
      </c>
    </row>
    <row r="902" spans="1:10" ht="15" customHeight="1" x14ac:dyDescent="0.3">
      <c r="A902" s="30" t="s">
        <v>1226</v>
      </c>
      <c r="B902" s="31" t="s">
        <v>1222</v>
      </c>
      <c r="C902" s="32" t="s">
        <v>1211</v>
      </c>
      <c r="D902" s="33"/>
      <c r="E902" s="29">
        <v>9165000</v>
      </c>
      <c r="F902" s="34">
        <f t="shared" si="57"/>
        <v>733200</v>
      </c>
      <c r="G902" s="37">
        <f t="shared" si="56"/>
        <v>9898200</v>
      </c>
      <c r="H902" s="35">
        <v>9898200</v>
      </c>
      <c r="I902" s="36">
        <f t="shared" si="55"/>
        <v>0</v>
      </c>
      <c r="J902" s="9">
        <v>46244</v>
      </c>
    </row>
    <row r="903" spans="1:10" ht="15" hidden="1" customHeight="1" x14ac:dyDescent="0.3">
      <c r="A903" s="30" t="s">
        <v>17</v>
      </c>
      <c r="B903" s="31" t="s">
        <v>1223</v>
      </c>
      <c r="C903" s="32" t="s">
        <v>1212</v>
      </c>
      <c r="D903" s="33"/>
      <c r="E903" s="29">
        <v>3000000</v>
      </c>
      <c r="F903" s="34">
        <f t="shared" si="57"/>
        <v>240000</v>
      </c>
      <c r="G903" s="37">
        <f t="shared" si="56"/>
        <v>3240000</v>
      </c>
      <c r="H903" s="35"/>
      <c r="I903" s="36">
        <f t="shared" si="55"/>
        <v>3240000</v>
      </c>
    </row>
    <row r="904" spans="1:10" ht="15" hidden="1" customHeight="1" x14ac:dyDescent="0.3">
      <c r="A904" s="30" t="s">
        <v>1227</v>
      </c>
      <c r="B904" s="31" t="s">
        <v>1223</v>
      </c>
      <c r="C904" s="32" t="s">
        <v>1213</v>
      </c>
      <c r="D904" s="33"/>
      <c r="E904" s="29">
        <v>9165000</v>
      </c>
      <c r="F904" s="34">
        <f t="shared" si="57"/>
        <v>733200</v>
      </c>
      <c r="G904" s="37">
        <f t="shared" si="56"/>
        <v>9898200</v>
      </c>
      <c r="H904" s="35"/>
      <c r="I904" s="36">
        <f t="shared" si="55"/>
        <v>9898200</v>
      </c>
    </row>
    <row r="905" spans="1:10" ht="15" hidden="1" customHeight="1" x14ac:dyDescent="0.3">
      <c r="A905" s="30" t="s">
        <v>45</v>
      </c>
      <c r="B905" s="31" t="s">
        <v>1224</v>
      </c>
      <c r="C905" s="32" t="s">
        <v>1214</v>
      </c>
      <c r="D905" s="33"/>
      <c r="E905" s="29">
        <v>2045000</v>
      </c>
      <c r="F905" s="34">
        <f t="shared" si="57"/>
        <v>163600</v>
      </c>
      <c r="G905" s="37">
        <f t="shared" si="56"/>
        <v>2208600</v>
      </c>
      <c r="H905" s="35"/>
      <c r="I905" s="36">
        <f t="shared" si="55"/>
        <v>2208600</v>
      </c>
    </row>
    <row r="906" spans="1:10" ht="15" hidden="1" customHeight="1" x14ac:dyDescent="0.3">
      <c r="A906" s="30" t="s">
        <v>32</v>
      </c>
      <c r="B906" s="31">
        <v>46220</v>
      </c>
      <c r="C906" s="33" t="s">
        <v>1215</v>
      </c>
      <c r="D906" s="33" t="s">
        <v>1267</v>
      </c>
      <c r="E906" s="29">
        <v>0</v>
      </c>
      <c r="F906" s="34">
        <f t="shared" si="57"/>
        <v>0</v>
      </c>
      <c r="G906" s="37">
        <f t="shared" si="56"/>
        <v>0</v>
      </c>
      <c r="H906" s="35"/>
      <c r="I906" s="36">
        <f t="shared" si="55"/>
        <v>0</v>
      </c>
      <c r="J906" s="9" t="s">
        <v>1268</v>
      </c>
    </row>
    <row r="907" spans="1:10" ht="15" hidden="1" customHeight="1" x14ac:dyDescent="0.3">
      <c r="A907" s="30" t="s">
        <v>17</v>
      </c>
      <c r="B907" s="31" t="s">
        <v>1225</v>
      </c>
      <c r="C907" s="32" t="s">
        <v>536</v>
      </c>
      <c r="D907" s="33"/>
      <c r="E907" s="29">
        <v>8475000</v>
      </c>
      <c r="F907" s="34">
        <f t="shared" si="57"/>
        <v>678000</v>
      </c>
      <c r="G907" s="37">
        <f t="shared" si="56"/>
        <v>9153000</v>
      </c>
      <c r="H907" s="35"/>
      <c r="I907" s="36">
        <f t="shared" si="55"/>
        <v>9153000</v>
      </c>
    </row>
    <row r="908" spans="1:10" ht="15" hidden="1" customHeight="1" x14ac:dyDescent="0.3">
      <c r="A908" s="30" t="s">
        <v>20</v>
      </c>
      <c r="B908" s="31" t="s">
        <v>1225</v>
      </c>
      <c r="C908" s="32" t="s">
        <v>537</v>
      </c>
      <c r="D908" s="33"/>
      <c r="E908" s="29">
        <v>2970000</v>
      </c>
      <c r="F908" s="34">
        <f t="shared" si="57"/>
        <v>237600</v>
      </c>
      <c r="G908" s="37">
        <f t="shared" si="56"/>
        <v>3207600</v>
      </c>
      <c r="H908" s="35"/>
      <c r="I908" s="36">
        <f t="shared" si="55"/>
        <v>3207600</v>
      </c>
    </row>
    <row r="909" spans="1:10" ht="15" hidden="1" customHeight="1" x14ac:dyDescent="0.3">
      <c r="A909" s="30" t="s">
        <v>21</v>
      </c>
      <c r="B909" s="31" t="s">
        <v>1225</v>
      </c>
      <c r="C909" s="32" t="s">
        <v>1216</v>
      </c>
      <c r="D909" s="33"/>
      <c r="E909" s="29">
        <v>1755000</v>
      </c>
      <c r="F909" s="34">
        <f t="shared" si="57"/>
        <v>140400</v>
      </c>
      <c r="G909" s="37">
        <f t="shared" si="56"/>
        <v>1895400</v>
      </c>
      <c r="H909" s="35"/>
      <c r="I909" s="36">
        <f t="shared" si="55"/>
        <v>1895400</v>
      </c>
    </row>
    <row r="910" spans="1:10" ht="15" hidden="1" customHeight="1" x14ac:dyDescent="0.3">
      <c r="A910" s="30" t="s">
        <v>23</v>
      </c>
      <c r="B910" s="31" t="s">
        <v>1225</v>
      </c>
      <c r="C910" s="32" t="s">
        <v>1217</v>
      </c>
      <c r="D910" s="33"/>
      <c r="E910" s="29">
        <v>7535000</v>
      </c>
      <c r="F910" s="34">
        <f t="shared" si="57"/>
        <v>602800</v>
      </c>
      <c r="G910" s="37">
        <f t="shared" si="56"/>
        <v>8137800</v>
      </c>
      <c r="H910" s="35"/>
      <c r="I910" s="36">
        <f t="shared" si="55"/>
        <v>8137800</v>
      </c>
    </row>
    <row r="911" spans="1:10" ht="15" hidden="1" customHeight="1" x14ac:dyDescent="0.3">
      <c r="A911" s="30" t="s">
        <v>48</v>
      </c>
      <c r="B911" s="31" t="s">
        <v>1225</v>
      </c>
      <c r="C911" s="32" t="s">
        <v>1218</v>
      </c>
      <c r="D911" s="33"/>
      <c r="E911" s="29">
        <v>7740000</v>
      </c>
      <c r="F911" s="34">
        <f t="shared" si="57"/>
        <v>619200</v>
      </c>
      <c r="G911" s="37">
        <f t="shared" si="56"/>
        <v>8359200</v>
      </c>
      <c r="H911" s="35"/>
      <c r="I911" s="36">
        <f t="shared" si="55"/>
        <v>8359200</v>
      </c>
    </row>
    <row r="912" spans="1:10" ht="15" hidden="1" customHeight="1" x14ac:dyDescent="0.3">
      <c r="A912" s="30" t="s">
        <v>26</v>
      </c>
      <c r="B912" s="31" t="s">
        <v>1225</v>
      </c>
      <c r="C912" s="32" t="s">
        <v>1219</v>
      </c>
      <c r="D912" s="33"/>
      <c r="E912" s="29">
        <v>3965000</v>
      </c>
      <c r="F912" s="34">
        <f t="shared" si="57"/>
        <v>317200</v>
      </c>
      <c r="G912" s="37">
        <f t="shared" si="56"/>
        <v>4282200</v>
      </c>
      <c r="H912" s="35"/>
      <c r="I912" s="36">
        <f t="shared" si="55"/>
        <v>4282200</v>
      </c>
    </row>
    <row r="913" spans="1:10" s="82" customFormat="1" ht="15" hidden="1" customHeight="1" x14ac:dyDescent="0.3">
      <c r="A913" s="74" t="s">
        <v>295</v>
      </c>
      <c r="B913" s="75">
        <v>46224</v>
      </c>
      <c r="C913" s="76" t="s">
        <v>1220</v>
      </c>
      <c r="D913" s="83" t="s">
        <v>1287</v>
      </c>
      <c r="E913" s="25">
        <v>1965000</v>
      </c>
      <c r="F913" s="77">
        <f t="shared" si="57"/>
        <v>157200</v>
      </c>
      <c r="G913" s="78">
        <f t="shared" si="56"/>
        <v>2122200</v>
      </c>
      <c r="H913" s="79"/>
      <c r="I913" s="80">
        <f t="shared" si="55"/>
        <v>2122200</v>
      </c>
      <c r="J913" s="81" t="s">
        <v>1269</v>
      </c>
    </row>
    <row r="914" spans="1:10" ht="15" hidden="1" customHeight="1" x14ac:dyDescent="0.3">
      <c r="A914" s="30" t="s">
        <v>28</v>
      </c>
      <c r="B914" s="31">
        <v>46230</v>
      </c>
      <c r="C914" s="33" t="s">
        <v>1235</v>
      </c>
      <c r="D914" s="32" t="s">
        <v>1301</v>
      </c>
      <c r="E914" s="29">
        <v>2850000</v>
      </c>
      <c r="F914" s="34">
        <f t="shared" si="57"/>
        <v>228000</v>
      </c>
      <c r="G914" s="37">
        <f t="shared" si="56"/>
        <v>3078000</v>
      </c>
      <c r="H914" s="35"/>
      <c r="I914" s="36">
        <f t="shared" si="55"/>
        <v>3078000</v>
      </c>
    </row>
    <row r="915" spans="1:10" s="82" customFormat="1" ht="15" hidden="1" customHeight="1" x14ac:dyDescent="0.3">
      <c r="A915" s="74" t="s">
        <v>295</v>
      </c>
      <c r="B915" s="75">
        <v>46224</v>
      </c>
      <c r="C915" s="76" t="s">
        <v>1236</v>
      </c>
      <c r="D915" s="83" t="s">
        <v>1286</v>
      </c>
      <c r="E915" s="25">
        <v>3960000</v>
      </c>
      <c r="F915" s="77">
        <f t="shared" si="57"/>
        <v>316800</v>
      </c>
      <c r="G915" s="78">
        <f t="shared" si="56"/>
        <v>4276800</v>
      </c>
      <c r="H915" s="79"/>
      <c r="I915" s="80">
        <f t="shared" si="55"/>
        <v>4276800</v>
      </c>
      <c r="J915" s="81" t="s">
        <v>1269</v>
      </c>
    </row>
    <row r="916" spans="1:10" ht="15" hidden="1" customHeight="1" x14ac:dyDescent="0.3">
      <c r="A916" s="30" t="s">
        <v>1234</v>
      </c>
      <c r="B916" s="31" t="s">
        <v>1250</v>
      </c>
      <c r="C916" s="33" t="s">
        <v>1237</v>
      </c>
      <c r="D916" s="33"/>
      <c r="E916" s="29">
        <v>-197884</v>
      </c>
      <c r="F916" s="34">
        <f t="shared" si="57"/>
        <v>-15830.720000000001</v>
      </c>
      <c r="G916" s="37">
        <f t="shared" si="56"/>
        <v>-213714.72</v>
      </c>
      <c r="H916" s="35">
        <v>-213714.72</v>
      </c>
      <c r="I916" s="36">
        <f t="shared" si="55"/>
        <v>0</v>
      </c>
      <c r="J916" s="9">
        <v>46213</v>
      </c>
    </row>
    <row r="917" spans="1:10" ht="15" hidden="1" customHeight="1" x14ac:dyDescent="0.3">
      <c r="A917" s="30" t="s">
        <v>32</v>
      </c>
      <c r="B917" s="31" t="s">
        <v>1251</v>
      </c>
      <c r="C917" s="32" t="s">
        <v>1238</v>
      </c>
      <c r="D917" s="33"/>
      <c r="E917" s="29">
        <v>13355000</v>
      </c>
      <c r="F917" s="34">
        <f t="shared" si="57"/>
        <v>1068400</v>
      </c>
      <c r="G917" s="37">
        <f t="shared" si="56"/>
        <v>14423400</v>
      </c>
      <c r="H917" s="35"/>
      <c r="I917" s="36">
        <f t="shared" ref="I917:I980" si="58">G917-H917</f>
        <v>14423400</v>
      </c>
    </row>
    <row r="918" spans="1:10" ht="15" hidden="1" customHeight="1" x14ac:dyDescent="0.3">
      <c r="A918" s="30" t="s">
        <v>26</v>
      </c>
      <c r="B918" s="31" t="s">
        <v>1251</v>
      </c>
      <c r="C918" s="32" t="s">
        <v>1239</v>
      </c>
      <c r="D918" s="33"/>
      <c r="E918" s="29">
        <v>4635000</v>
      </c>
      <c r="F918" s="34">
        <f t="shared" si="57"/>
        <v>370800</v>
      </c>
      <c r="G918" s="37">
        <f t="shared" si="56"/>
        <v>5005800</v>
      </c>
      <c r="H918" s="35"/>
      <c r="I918" s="36">
        <f t="shared" si="58"/>
        <v>5005800</v>
      </c>
    </row>
    <row r="919" spans="1:10" ht="15" hidden="1" customHeight="1" x14ac:dyDescent="0.3">
      <c r="A919" s="30" t="s">
        <v>21</v>
      </c>
      <c r="B919" s="31" t="s">
        <v>1251</v>
      </c>
      <c r="C919" s="32" t="s">
        <v>1240</v>
      </c>
      <c r="D919" s="33"/>
      <c r="E919" s="29">
        <v>3005000</v>
      </c>
      <c r="F919" s="34">
        <f t="shared" si="57"/>
        <v>240400</v>
      </c>
      <c r="G919" s="37">
        <f t="shared" si="56"/>
        <v>3245400</v>
      </c>
      <c r="H919" s="35"/>
      <c r="I919" s="36">
        <f t="shared" si="58"/>
        <v>3245400</v>
      </c>
    </row>
    <row r="920" spans="1:10" ht="15" hidden="1" customHeight="1" x14ac:dyDescent="0.3">
      <c r="A920" s="30" t="s">
        <v>18</v>
      </c>
      <c r="B920" s="31" t="s">
        <v>1251</v>
      </c>
      <c r="C920" s="32" t="s">
        <v>1241</v>
      </c>
      <c r="D920" s="33"/>
      <c r="E920" s="29">
        <v>3885000</v>
      </c>
      <c r="F920" s="34">
        <f t="shared" si="57"/>
        <v>310800</v>
      </c>
      <c r="G920" s="37">
        <f t="shared" si="56"/>
        <v>4195800</v>
      </c>
      <c r="H920" s="35"/>
      <c r="I920" s="36">
        <f t="shared" si="58"/>
        <v>4195800</v>
      </c>
    </row>
    <row r="921" spans="1:10" ht="15" hidden="1" customHeight="1" x14ac:dyDescent="0.3">
      <c r="A921" s="30" t="s">
        <v>19</v>
      </c>
      <c r="B921" s="31" t="s">
        <v>1251</v>
      </c>
      <c r="C921" s="32" t="s">
        <v>1242</v>
      </c>
      <c r="D921" s="33"/>
      <c r="E921" s="29">
        <v>960000</v>
      </c>
      <c r="F921" s="34">
        <f t="shared" si="57"/>
        <v>76800</v>
      </c>
      <c r="G921" s="37">
        <f t="shared" si="56"/>
        <v>1036800</v>
      </c>
      <c r="H921" s="35"/>
      <c r="I921" s="36">
        <f t="shared" si="58"/>
        <v>1036800</v>
      </c>
    </row>
    <row r="922" spans="1:10" ht="15" hidden="1" customHeight="1" x14ac:dyDescent="0.3">
      <c r="A922" s="30" t="s">
        <v>23</v>
      </c>
      <c r="B922" s="31" t="s">
        <v>1251</v>
      </c>
      <c r="C922" s="32" t="s">
        <v>1243</v>
      </c>
      <c r="D922" s="33"/>
      <c r="E922" s="29">
        <v>7910000</v>
      </c>
      <c r="F922" s="34">
        <f t="shared" si="57"/>
        <v>632800</v>
      </c>
      <c r="G922" s="37">
        <f t="shared" si="56"/>
        <v>8542800</v>
      </c>
      <c r="H922" s="35"/>
      <c r="I922" s="36">
        <f t="shared" si="58"/>
        <v>8542800</v>
      </c>
    </row>
    <row r="923" spans="1:10" ht="15" hidden="1" customHeight="1" x14ac:dyDescent="0.3">
      <c r="A923" s="30" t="s">
        <v>27</v>
      </c>
      <c r="B923" s="31">
        <v>46216</v>
      </c>
      <c r="C923" s="33" t="s">
        <v>1244</v>
      </c>
      <c r="D923" s="32" t="s">
        <v>1266</v>
      </c>
      <c r="E923" s="29">
        <v>9530000</v>
      </c>
      <c r="F923" s="34">
        <f t="shared" si="57"/>
        <v>762400</v>
      </c>
      <c r="G923" s="37">
        <f t="shared" ref="G923:G986" si="59">+F923+E923</f>
        <v>10292400</v>
      </c>
      <c r="H923" s="35"/>
      <c r="I923" s="36">
        <f t="shared" si="58"/>
        <v>10292400</v>
      </c>
    </row>
    <row r="924" spans="1:10" ht="15" hidden="1" customHeight="1" x14ac:dyDescent="0.3">
      <c r="A924" s="30" t="s">
        <v>30</v>
      </c>
      <c r="B924" s="31" t="s">
        <v>1251</v>
      </c>
      <c r="C924" s="32" t="s">
        <v>1245</v>
      </c>
      <c r="D924" s="33"/>
      <c r="E924" s="29">
        <v>9465000</v>
      </c>
      <c r="F924" s="34">
        <f t="shared" si="57"/>
        <v>757200</v>
      </c>
      <c r="G924" s="37">
        <f t="shared" si="59"/>
        <v>10222200</v>
      </c>
      <c r="H924" s="35"/>
      <c r="I924" s="36">
        <f t="shared" si="58"/>
        <v>10222200</v>
      </c>
    </row>
    <row r="925" spans="1:10" ht="15" hidden="1" customHeight="1" x14ac:dyDescent="0.3">
      <c r="A925" s="30" t="s">
        <v>32</v>
      </c>
      <c r="B925" s="31" t="s">
        <v>1252</v>
      </c>
      <c r="C925" s="33" t="s">
        <v>1256</v>
      </c>
      <c r="D925" s="33"/>
      <c r="E925" s="29">
        <v>-280000</v>
      </c>
      <c r="F925" s="34">
        <f t="shared" si="57"/>
        <v>-22400</v>
      </c>
      <c r="G925" s="37">
        <f t="shared" si="59"/>
        <v>-302400</v>
      </c>
      <c r="H925" s="35">
        <v>-302400</v>
      </c>
      <c r="I925" s="36">
        <f t="shared" si="58"/>
        <v>0</v>
      </c>
      <c r="J925" s="9">
        <v>46213</v>
      </c>
    </row>
    <row r="926" spans="1:10" ht="15" hidden="1" customHeight="1" x14ac:dyDescent="0.3">
      <c r="A926" s="30" t="s">
        <v>32</v>
      </c>
      <c r="B926" s="31" t="s">
        <v>1252</v>
      </c>
      <c r="C926" s="33" t="s">
        <v>1257</v>
      </c>
      <c r="D926" s="33"/>
      <c r="E926" s="29">
        <v>-271500</v>
      </c>
      <c r="F926" s="34">
        <f t="shared" ref="F926" si="60">+E926*0.08</f>
        <v>-21720</v>
      </c>
      <c r="G926" s="37">
        <f t="shared" ref="G926" si="61">+F926+E926</f>
        <v>-293220</v>
      </c>
      <c r="H926" s="35">
        <v>-293220</v>
      </c>
      <c r="I926" s="36">
        <f t="shared" ref="I926" si="62">G926-H926</f>
        <v>0</v>
      </c>
      <c r="J926" s="9">
        <v>46213</v>
      </c>
    </row>
    <row r="927" spans="1:10" ht="15" hidden="1" customHeight="1" x14ac:dyDescent="0.3">
      <c r="A927" s="30" t="s">
        <v>32</v>
      </c>
      <c r="B927" s="31" t="s">
        <v>1252</v>
      </c>
      <c r="C927" s="32" t="s">
        <v>1246</v>
      </c>
      <c r="D927" s="33"/>
      <c r="E927" s="29">
        <v>16340000</v>
      </c>
      <c r="F927" s="34">
        <f t="shared" si="57"/>
        <v>1307200</v>
      </c>
      <c r="G927" s="37">
        <f t="shared" si="59"/>
        <v>17647200</v>
      </c>
      <c r="H927" s="35"/>
      <c r="I927" s="36">
        <f t="shared" si="58"/>
        <v>17647200</v>
      </c>
    </row>
    <row r="928" spans="1:10" ht="15" hidden="1" customHeight="1" x14ac:dyDescent="0.3">
      <c r="A928" s="30" t="s">
        <v>19</v>
      </c>
      <c r="B928" s="31" t="s">
        <v>1253</v>
      </c>
      <c r="C928" s="32" t="s">
        <v>1247</v>
      </c>
      <c r="D928" s="33"/>
      <c r="E928" s="29">
        <v>1040000</v>
      </c>
      <c r="F928" s="34">
        <f t="shared" si="57"/>
        <v>83200</v>
      </c>
      <c r="G928" s="37">
        <f t="shared" si="59"/>
        <v>1123200</v>
      </c>
      <c r="H928" s="35"/>
      <c r="I928" s="36">
        <f t="shared" si="58"/>
        <v>1123200</v>
      </c>
    </row>
    <row r="929" spans="1:10" ht="15" hidden="1" customHeight="1" x14ac:dyDescent="0.3">
      <c r="A929" s="30" t="s">
        <v>294</v>
      </c>
      <c r="B929" s="31" t="s">
        <v>1253</v>
      </c>
      <c r="C929" s="32" t="s">
        <v>1248</v>
      </c>
      <c r="D929" s="33"/>
      <c r="E929" s="29">
        <v>5580000</v>
      </c>
      <c r="F929" s="34">
        <f t="shared" si="57"/>
        <v>446400</v>
      </c>
      <c r="G929" s="37">
        <f t="shared" si="59"/>
        <v>6026400</v>
      </c>
      <c r="H929" s="35"/>
      <c r="I929" s="36">
        <f t="shared" si="58"/>
        <v>6026400</v>
      </c>
    </row>
    <row r="930" spans="1:10" ht="15" hidden="1" customHeight="1" x14ac:dyDescent="0.3">
      <c r="A930" s="30" t="s">
        <v>48</v>
      </c>
      <c r="B930" s="31" t="s">
        <v>1254</v>
      </c>
      <c r="C930" s="32" t="s">
        <v>1249</v>
      </c>
      <c r="D930" s="33"/>
      <c r="E930" s="29">
        <v>9435000</v>
      </c>
      <c r="F930" s="34">
        <f t="shared" si="57"/>
        <v>754800</v>
      </c>
      <c r="G930" s="37">
        <f t="shared" si="59"/>
        <v>10189800</v>
      </c>
      <c r="H930" s="35"/>
      <c r="I930" s="36">
        <f t="shared" si="58"/>
        <v>10189800</v>
      </c>
    </row>
    <row r="931" spans="1:10" ht="15" hidden="1" customHeight="1" x14ac:dyDescent="0.3">
      <c r="A931" s="30" t="s">
        <v>23</v>
      </c>
      <c r="B931" s="31" t="s">
        <v>1264</v>
      </c>
      <c r="C931" s="32" t="s">
        <v>1258</v>
      </c>
      <c r="D931" s="33"/>
      <c r="E931" s="29">
        <v>12395000</v>
      </c>
      <c r="F931" s="34">
        <f t="shared" si="57"/>
        <v>991600</v>
      </c>
      <c r="G931" s="37">
        <f t="shared" si="59"/>
        <v>13386600</v>
      </c>
      <c r="H931" s="35"/>
      <c r="I931" s="36">
        <f t="shared" si="58"/>
        <v>13386600</v>
      </c>
    </row>
    <row r="932" spans="1:10" ht="15" hidden="1" customHeight="1" x14ac:dyDescent="0.3">
      <c r="A932" s="30" t="s">
        <v>21</v>
      </c>
      <c r="B932" s="31" t="s">
        <v>1265</v>
      </c>
      <c r="C932" s="32" t="s">
        <v>1259</v>
      </c>
      <c r="D932" s="33"/>
      <c r="E932" s="29">
        <v>4965000</v>
      </c>
      <c r="F932" s="34">
        <f t="shared" si="57"/>
        <v>397200</v>
      </c>
      <c r="G932" s="37">
        <f t="shared" si="59"/>
        <v>5362200</v>
      </c>
      <c r="H932" s="35"/>
      <c r="I932" s="36">
        <f t="shared" si="58"/>
        <v>5362200</v>
      </c>
    </row>
    <row r="933" spans="1:10" s="82" customFormat="1" ht="15" hidden="1" customHeight="1" x14ac:dyDescent="0.3">
      <c r="A933" s="74" t="s">
        <v>25</v>
      </c>
      <c r="B933" s="75" t="s">
        <v>1265</v>
      </c>
      <c r="C933" s="83" t="s">
        <v>1260</v>
      </c>
      <c r="D933" s="76"/>
      <c r="E933" s="25">
        <v>2925000</v>
      </c>
      <c r="F933" s="77">
        <f t="shared" si="57"/>
        <v>234000</v>
      </c>
      <c r="G933" s="78">
        <f t="shared" si="59"/>
        <v>3159000</v>
      </c>
      <c r="H933" s="79"/>
      <c r="I933" s="80">
        <f t="shared" si="58"/>
        <v>3159000</v>
      </c>
      <c r="J933" s="81" t="s">
        <v>1269</v>
      </c>
    </row>
    <row r="934" spans="1:10" ht="15" hidden="1" customHeight="1" x14ac:dyDescent="0.3">
      <c r="A934" s="30" t="s">
        <v>22</v>
      </c>
      <c r="B934" s="31" t="s">
        <v>1265</v>
      </c>
      <c r="C934" s="32" t="s">
        <v>1261</v>
      </c>
      <c r="D934" s="33"/>
      <c r="E934" s="29">
        <v>6780000</v>
      </c>
      <c r="F934" s="34">
        <f t="shared" si="57"/>
        <v>542400</v>
      </c>
      <c r="G934" s="37">
        <f t="shared" si="59"/>
        <v>7322400</v>
      </c>
      <c r="H934" s="35"/>
      <c r="I934" s="36">
        <f t="shared" si="58"/>
        <v>7322400</v>
      </c>
    </row>
    <row r="935" spans="1:10" ht="15" hidden="1" customHeight="1" x14ac:dyDescent="0.3">
      <c r="A935" s="30" t="s">
        <v>26</v>
      </c>
      <c r="B935" s="31" t="s">
        <v>1265</v>
      </c>
      <c r="C935" s="32" t="s">
        <v>1262</v>
      </c>
      <c r="D935" s="33"/>
      <c r="E935" s="29">
        <v>4755000</v>
      </c>
      <c r="F935" s="34">
        <f t="shared" si="57"/>
        <v>380400</v>
      </c>
      <c r="G935" s="37">
        <f t="shared" si="59"/>
        <v>5135400</v>
      </c>
      <c r="H935" s="35"/>
      <c r="I935" s="36">
        <f t="shared" si="58"/>
        <v>5135400</v>
      </c>
    </row>
    <row r="936" spans="1:10" ht="15" hidden="1" customHeight="1" x14ac:dyDescent="0.3">
      <c r="A936" s="30" t="s">
        <v>32</v>
      </c>
      <c r="B936" s="31" t="s">
        <v>1265</v>
      </c>
      <c r="C936" s="32" t="s">
        <v>1263</v>
      </c>
      <c r="D936" s="33"/>
      <c r="E936" s="29">
        <v>7905000</v>
      </c>
      <c r="F936" s="34">
        <f t="shared" si="57"/>
        <v>632400</v>
      </c>
      <c r="G936" s="37">
        <f t="shared" si="59"/>
        <v>8537400</v>
      </c>
      <c r="H936" s="35"/>
      <c r="I936" s="36">
        <f t="shared" si="58"/>
        <v>8537400</v>
      </c>
    </row>
    <row r="937" spans="1:10" ht="15" hidden="1" customHeight="1" x14ac:dyDescent="0.3">
      <c r="A937" s="30" t="s">
        <v>20</v>
      </c>
      <c r="B937" s="31" t="s">
        <v>1283</v>
      </c>
      <c r="C937" s="32" t="s">
        <v>1270</v>
      </c>
      <c r="D937" s="33"/>
      <c r="E937" s="29">
        <v>5970000</v>
      </c>
      <c r="F937" s="34">
        <f t="shared" si="57"/>
        <v>477600</v>
      </c>
      <c r="G937" s="37">
        <f t="shared" si="59"/>
        <v>6447600</v>
      </c>
      <c r="H937" s="35"/>
      <c r="I937" s="36">
        <f t="shared" si="58"/>
        <v>6447600</v>
      </c>
    </row>
    <row r="938" spans="1:10" ht="15" hidden="1" customHeight="1" x14ac:dyDescent="0.3">
      <c r="A938" s="30" t="s">
        <v>21</v>
      </c>
      <c r="B938" s="31" t="s">
        <v>1283</v>
      </c>
      <c r="C938" s="32" t="s">
        <v>1271</v>
      </c>
      <c r="D938" s="33"/>
      <c r="E938" s="29">
        <v>1005000</v>
      </c>
      <c r="F938" s="34">
        <f t="shared" si="57"/>
        <v>80400</v>
      </c>
      <c r="G938" s="37">
        <f t="shared" si="59"/>
        <v>1085400</v>
      </c>
      <c r="H938" s="35"/>
      <c r="I938" s="36">
        <f t="shared" si="58"/>
        <v>1085400</v>
      </c>
    </row>
    <row r="939" spans="1:10" ht="15" hidden="1" customHeight="1" x14ac:dyDescent="0.3">
      <c r="A939" s="30" t="s">
        <v>28</v>
      </c>
      <c r="B939" s="31" t="s">
        <v>1283</v>
      </c>
      <c r="C939" s="32" t="s">
        <v>1272</v>
      </c>
      <c r="D939" s="33"/>
      <c r="E939" s="29">
        <v>1005000</v>
      </c>
      <c r="F939" s="34">
        <f t="shared" si="57"/>
        <v>80400</v>
      </c>
      <c r="G939" s="37">
        <f t="shared" si="59"/>
        <v>1085400</v>
      </c>
      <c r="H939" s="35"/>
      <c r="I939" s="36">
        <f t="shared" si="58"/>
        <v>1085400</v>
      </c>
    </row>
    <row r="940" spans="1:10" ht="15" hidden="1" customHeight="1" x14ac:dyDescent="0.3">
      <c r="A940" s="30" t="s">
        <v>23</v>
      </c>
      <c r="B940" s="31" t="s">
        <v>1283</v>
      </c>
      <c r="C940" s="32" t="s">
        <v>1273</v>
      </c>
      <c r="D940" s="33"/>
      <c r="E940" s="29">
        <v>2855000</v>
      </c>
      <c r="F940" s="34">
        <f t="shared" si="57"/>
        <v>228400</v>
      </c>
      <c r="G940" s="37">
        <f t="shared" si="59"/>
        <v>3083400</v>
      </c>
      <c r="H940" s="35"/>
      <c r="I940" s="36">
        <f t="shared" si="58"/>
        <v>3083400</v>
      </c>
    </row>
    <row r="941" spans="1:10" ht="15" hidden="1" customHeight="1" x14ac:dyDescent="0.3">
      <c r="A941" s="30" t="s">
        <v>28</v>
      </c>
      <c r="B941" s="31" t="s">
        <v>1284</v>
      </c>
      <c r="C941" s="32" t="s">
        <v>1274</v>
      </c>
      <c r="D941" s="33"/>
      <c r="E941" s="29">
        <v>1770000</v>
      </c>
      <c r="F941" s="34">
        <f t="shared" si="57"/>
        <v>141600</v>
      </c>
      <c r="G941" s="37">
        <f t="shared" si="59"/>
        <v>1911600</v>
      </c>
      <c r="H941" s="35"/>
      <c r="I941" s="36">
        <f t="shared" si="58"/>
        <v>1911600</v>
      </c>
    </row>
    <row r="942" spans="1:10" ht="15" hidden="1" customHeight="1" x14ac:dyDescent="0.3">
      <c r="A942" s="30" t="s">
        <v>295</v>
      </c>
      <c r="B942" s="31">
        <v>46239</v>
      </c>
      <c r="C942" s="33" t="s">
        <v>1275</v>
      </c>
      <c r="D942" s="33" t="s">
        <v>1334</v>
      </c>
      <c r="E942" s="29">
        <v>3045000</v>
      </c>
      <c r="F942" s="34">
        <f t="shared" si="57"/>
        <v>243600</v>
      </c>
      <c r="G942" s="37">
        <f t="shared" si="59"/>
        <v>3288600</v>
      </c>
      <c r="H942" s="35"/>
      <c r="I942" s="36">
        <f t="shared" si="58"/>
        <v>3288600</v>
      </c>
    </row>
    <row r="943" spans="1:10" ht="15" hidden="1" customHeight="1" x14ac:dyDescent="0.3">
      <c r="A943" s="30" t="s">
        <v>32</v>
      </c>
      <c r="B943" s="31" t="s">
        <v>1285</v>
      </c>
      <c r="C943" s="32" t="s">
        <v>1276</v>
      </c>
      <c r="D943" s="33"/>
      <c r="E943" s="29">
        <v>7385000</v>
      </c>
      <c r="F943" s="34">
        <f t="shared" si="57"/>
        <v>590800</v>
      </c>
      <c r="G943" s="37">
        <f t="shared" si="59"/>
        <v>7975800</v>
      </c>
      <c r="H943" s="35"/>
      <c r="I943" s="36">
        <f t="shared" si="58"/>
        <v>7975800</v>
      </c>
    </row>
    <row r="944" spans="1:10" ht="15" hidden="1" customHeight="1" x14ac:dyDescent="0.3">
      <c r="A944" s="30" t="s">
        <v>26</v>
      </c>
      <c r="B944" s="31" t="s">
        <v>1285</v>
      </c>
      <c r="C944" s="32" t="s">
        <v>1277</v>
      </c>
      <c r="D944" s="33"/>
      <c r="E944" s="29">
        <v>2925000</v>
      </c>
      <c r="F944" s="34">
        <f t="shared" ref="F944:F995" si="63">+E944*0.08</f>
        <v>234000</v>
      </c>
      <c r="G944" s="37">
        <f t="shared" si="59"/>
        <v>3159000</v>
      </c>
      <c r="H944" s="35"/>
      <c r="I944" s="36">
        <f t="shared" si="58"/>
        <v>3159000</v>
      </c>
    </row>
    <row r="945" spans="1:9" ht="15" hidden="1" customHeight="1" x14ac:dyDescent="0.3">
      <c r="A945" s="30" t="s">
        <v>25</v>
      </c>
      <c r="B945" s="31" t="s">
        <v>1285</v>
      </c>
      <c r="C945" s="32" t="s">
        <v>1278</v>
      </c>
      <c r="D945" s="33"/>
      <c r="E945" s="29">
        <v>3795000</v>
      </c>
      <c r="F945" s="34">
        <f t="shared" si="63"/>
        <v>303600</v>
      </c>
      <c r="G945" s="37">
        <f t="shared" si="59"/>
        <v>4098600</v>
      </c>
      <c r="H945" s="35"/>
      <c r="I945" s="36">
        <f t="shared" si="58"/>
        <v>4098600</v>
      </c>
    </row>
    <row r="946" spans="1:9" ht="15" hidden="1" customHeight="1" x14ac:dyDescent="0.3">
      <c r="A946" s="30" t="s">
        <v>18</v>
      </c>
      <c r="B946" s="31" t="s">
        <v>1285</v>
      </c>
      <c r="C946" s="32" t="s">
        <v>1279</v>
      </c>
      <c r="D946" s="33"/>
      <c r="E946" s="29">
        <v>1850000</v>
      </c>
      <c r="F946" s="34">
        <f t="shared" si="63"/>
        <v>148000</v>
      </c>
      <c r="G946" s="37">
        <f t="shared" si="59"/>
        <v>1998000</v>
      </c>
      <c r="H946" s="35"/>
      <c r="I946" s="36">
        <f t="shared" si="58"/>
        <v>1998000</v>
      </c>
    </row>
    <row r="947" spans="1:9" ht="15" hidden="1" customHeight="1" x14ac:dyDescent="0.3">
      <c r="A947" s="30" t="s">
        <v>21</v>
      </c>
      <c r="B947" s="31" t="s">
        <v>1285</v>
      </c>
      <c r="C947" s="32" t="s">
        <v>1280</v>
      </c>
      <c r="D947" s="33"/>
      <c r="E947" s="29">
        <v>3885000</v>
      </c>
      <c r="F947" s="34">
        <f t="shared" si="63"/>
        <v>310800</v>
      </c>
      <c r="G947" s="37">
        <f t="shared" si="59"/>
        <v>4195800</v>
      </c>
      <c r="H947" s="35"/>
      <c r="I947" s="36">
        <f t="shared" si="58"/>
        <v>4195800</v>
      </c>
    </row>
    <row r="948" spans="1:9" ht="15" hidden="1" customHeight="1" x14ac:dyDescent="0.3">
      <c r="A948" s="30" t="s">
        <v>17</v>
      </c>
      <c r="B948" s="31" t="s">
        <v>1285</v>
      </c>
      <c r="C948" s="32" t="s">
        <v>1281</v>
      </c>
      <c r="D948" s="33"/>
      <c r="E948" s="29">
        <v>7275000</v>
      </c>
      <c r="F948" s="34">
        <f t="shared" si="63"/>
        <v>582000</v>
      </c>
      <c r="G948" s="37">
        <f t="shared" si="59"/>
        <v>7857000</v>
      </c>
      <c r="H948" s="35"/>
      <c r="I948" s="36">
        <f t="shared" si="58"/>
        <v>7857000</v>
      </c>
    </row>
    <row r="949" spans="1:9" ht="15" hidden="1" customHeight="1" x14ac:dyDescent="0.3">
      <c r="A949" s="30" t="s">
        <v>23</v>
      </c>
      <c r="B949" s="31" t="s">
        <v>1285</v>
      </c>
      <c r="C949" s="32" t="s">
        <v>1282</v>
      </c>
      <c r="D949" s="33"/>
      <c r="E949" s="29">
        <v>10755000</v>
      </c>
      <c r="F949" s="34">
        <f t="shared" si="63"/>
        <v>860400</v>
      </c>
      <c r="G949" s="37">
        <f t="shared" si="59"/>
        <v>11615400</v>
      </c>
      <c r="H949" s="35"/>
      <c r="I949" s="36">
        <f t="shared" si="58"/>
        <v>11615400</v>
      </c>
    </row>
    <row r="950" spans="1:9" ht="15" hidden="1" customHeight="1" x14ac:dyDescent="0.3">
      <c r="A950" s="30" t="s">
        <v>21</v>
      </c>
      <c r="B950" s="31" t="s">
        <v>1299</v>
      </c>
      <c r="C950" s="32" t="s">
        <v>1288</v>
      </c>
      <c r="D950" s="33"/>
      <c r="E950" s="29">
        <v>1740000</v>
      </c>
      <c r="F950" s="34">
        <f t="shared" si="63"/>
        <v>139200</v>
      </c>
      <c r="G950" s="37">
        <f t="shared" si="59"/>
        <v>1879200</v>
      </c>
      <c r="H950" s="35"/>
      <c r="I950" s="36">
        <f t="shared" si="58"/>
        <v>1879200</v>
      </c>
    </row>
    <row r="951" spans="1:9" ht="15" hidden="1" customHeight="1" x14ac:dyDescent="0.3">
      <c r="A951" s="30" t="s">
        <v>19</v>
      </c>
      <c r="B951" s="31" t="s">
        <v>1299</v>
      </c>
      <c r="C951" s="32" t="s">
        <v>1289</v>
      </c>
      <c r="D951" s="33"/>
      <c r="E951" s="29">
        <v>8235000</v>
      </c>
      <c r="F951" s="34">
        <f t="shared" si="63"/>
        <v>658800</v>
      </c>
      <c r="G951" s="37">
        <f t="shared" si="59"/>
        <v>8893800</v>
      </c>
      <c r="H951" s="35"/>
      <c r="I951" s="36">
        <f t="shared" si="58"/>
        <v>8893800</v>
      </c>
    </row>
    <row r="952" spans="1:9" ht="15" hidden="1" customHeight="1" x14ac:dyDescent="0.3">
      <c r="A952" s="30" t="s">
        <v>21</v>
      </c>
      <c r="B952" s="31" t="s">
        <v>1299</v>
      </c>
      <c r="C952" s="32" t="s">
        <v>1290</v>
      </c>
      <c r="D952" s="33"/>
      <c r="E952" s="29">
        <v>2045000</v>
      </c>
      <c r="F952" s="34">
        <f t="shared" si="63"/>
        <v>163600</v>
      </c>
      <c r="G952" s="37">
        <f t="shared" si="59"/>
        <v>2208600</v>
      </c>
      <c r="H952" s="35"/>
      <c r="I952" s="36">
        <f t="shared" si="58"/>
        <v>2208600</v>
      </c>
    </row>
    <row r="953" spans="1:9" ht="15" hidden="1" customHeight="1" x14ac:dyDescent="0.3">
      <c r="A953" s="30" t="s">
        <v>21</v>
      </c>
      <c r="B953" s="31" t="s">
        <v>1299</v>
      </c>
      <c r="C953" s="32" t="s">
        <v>1291</v>
      </c>
      <c r="D953" s="33"/>
      <c r="E953" s="29">
        <v>990000</v>
      </c>
      <c r="F953" s="34">
        <f t="shared" si="63"/>
        <v>79200</v>
      </c>
      <c r="G953" s="37">
        <f t="shared" si="59"/>
        <v>1069200</v>
      </c>
      <c r="H953" s="35"/>
      <c r="I953" s="36">
        <f t="shared" si="58"/>
        <v>1069200</v>
      </c>
    </row>
    <row r="954" spans="1:9" ht="15" hidden="1" customHeight="1" x14ac:dyDescent="0.3">
      <c r="A954" s="30" t="s">
        <v>21</v>
      </c>
      <c r="B954" s="31" t="s">
        <v>1300</v>
      </c>
      <c r="C954" s="32" t="s">
        <v>1292</v>
      </c>
      <c r="D954" s="33"/>
      <c r="E954" s="29">
        <v>990000</v>
      </c>
      <c r="F954" s="34">
        <f t="shared" si="63"/>
        <v>79200</v>
      </c>
      <c r="G954" s="37">
        <f t="shared" si="59"/>
        <v>1069200</v>
      </c>
      <c r="H954" s="35"/>
      <c r="I954" s="36">
        <f t="shared" si="58"/>
        <v>1069200</v>
      </c>
    </row>
    <row r="955" spans="1:9" ht="15" hidden="1" customHeight="1" x14ac:dyDescent="0.3">
      <c r="A955" s="30" t="s">
        <v>27</v>
      </c>
      <c r="B955" s="31" t="s">
        <v>1300</v>
      </c>
      <c r="C955" s="32" t="s">
        <v>1293</v>
      </c>
      <c r="D955" s="33"/>
      <c r="E955" s="29">
        <v>5025000</v>
      </c>
      <c r="F955" s="34">
        <f t="shared" si="63"/>
        <v>402000</v>
      </c>
      <c r="G955" s="37">
        <f t="shared" si="59"/>
        <v>5427000</v>
      </c>
      <c r="H955" s="35"/>
      <c r="I955" s="36">
        <f t="shared" si="58"/>
        <v>5427000</v>
      </c>
    </row>
    <row r="956" spans="1:9" ht="15" hidden="1" customHeight="1" x14ac:dyDescent="0.3">
      <c r="A956" s="30" t="s">
        <v>48</v>
      </c>
      <c r="B956" s="31" t="s">
        <v>1300</v>
      </c>
      <c r="C956" s="32" t="s">
        <v>1294</v>
      </c>
      <c r="D956" s="33"/>
      <c r="E956" s="29">
        <v>8355000</v>
      </c>
      <c r="F956" s="34">
        <f t="shared" si="63"/>
        <v>668400</v>
      </c>
      <c r="G956" s="37">
        <f t="shared" si="59"/>
        <v>9023400</v>
      </c>
      <c r="H956" s="35"/>
      <c r="I956" s="36">
        <f t="shared" si="58"/>
        <v>9023400</v>
      </c>
    </row>
    <row r="957" spans="1:9" ht="15" hidden="1" customHeight="1" x14ac:dyDescent="0.3">
      <c r="A957" s="30" t="s">
        <v>26</v>
      </c>
      <c r="B957" s="31" t="s">
        <v>1300</v>
      </c>
      <c r="C957" s="32" t="s">
        <v>1295</v>
      </c>
      <c r="D957" s="33"/>
      <c r="E957" s="29">
        <v>4860000</v>
      </c>
      <c r="F957" s="34">
        <f t="shared" si="63"/>
        <v>388800</v>
      </c>
      <c r="G957" s="37">
        <f t="shared" si="59"/>
        <v>5248800</v>
      </c>
      <c r="H957" s="35"/>
      <c r="I957" s="36">
        <f t="shared" si="58"/>
        <v>5248800</v>
      </c>
    </row>
    <row r="958" spans="1:9" ht="15" hidden="1" customHeight="1" x14ac:dyDescent="0.3">
      <c r="A958" s="30" t="s">
        <v>32</v>
      </c>
      <c r="B958" s="31" t="s">
        <v>1300</v>
      </c>
      <c r="C958" s="32" t="s">
        <v>1296</v>
      </c>
      <c r="D958" s="33"/>
      <c r="E958" s="29">
        <v>10475000</v>
      </c>
      <c r="F958" s="34">
        <f t="shared" si="63"/>
        <v>838000</v>
      </c>
      <c r="G958" s="37">
        <f t="shared" si="59"/>
        <v>11313000</v>
      </c>
      <c r="H958" s="35"/>
      <c r="I958" s="36">
        <f t="shared" si="58"/>
        <v>11313000</v>
      </c>
    </row>
    <row r="959" spans="1:9" ht="15" hidden="1" customHeight="1" x14ac:dyDescent="0.3">
      <c r="A959" s="30" t="s">
        <v>23</v>
      </c>
      <c r="B959" s="31" t="s">
        <v>1300</v>
      </c>
      <c r="C959" s="32" t="s">
        <v>1297</v>
      </c>
      <c r="D959" s="33"/>
      <c r="E959" s="29">
        <v>12825000</v>
      </c>
      <c r="F959" s="34">
        <f t="shared" si="63"/>
        <v>1026000</v>
      </c>
      <c r="G959" s="37">
        <f t="shared" si="59"/>
        <v>13851000</v>
      </c>
      <c r="H959" s="35"/>
      <c r="I959" s="36">
        <f t="shared" si="58"/>
        <v>13851000</v>
      </c>
    </row>
    <row r="960" spans="1:9" ht="15" hidden="1" customHeight="1" x14ac:dyDescent="0.3">
      <c r="A960" s="30" t="s">
        <v>1226</v>
      </c>
      <c r="B960" s="31" t="s">
        <v>1300</v>
      </c>
      <c r="C960" s="32" t="s">
        <v>1298</v>
      </c>
      <c r="D960" s="33"/>
      <c r="E960" s="29">
        <v>3390000</v>
      </c>
      <c r="F960" s="34">
        <f t="shared" si="63"/>
        <v>271200</v>
      </c>
      <c r="G960" s="37">
        <f t="shared" si="59"/>
        <v>3661200</v>
      </c>
      <c r="H960" s="35"/>
      <c r="I960" s="36">
        <f t="shared" si="58"/>
        <v>3661200</v>
      </c>
    </row>
    <row r="961" spans="1:9" ht="15" hidden="1" customHeight="1" x14ac:dyDescent="0.3">
      <c r="A961" s="30" t="s">
        <v>32</v>
      </c>
      <c r="B961" s="31" t="s">
        <v>1327</v>
      </c>
      <c r="C961" s="32" t="s">
        <v>1302</v>
      </c>
      <c r="D961" s="33"/>
      <c r="E961" s="29">
        <v>8975000</v>
      </c>
      <c r="F961" s="34">
        <f t="shared" si="63"/>
        <v>718000</v>
      </c>
      <c r="G961" s="37">
        <f t="shared" si="59"/>
        <v>9693000</v>
      </c>
      <c r="H961" s="35"/>
      <c r="I961" s="36">
        <f t="shared" si="58"/>
        <v>9693000</v>
      </c>
    </row>
    <row r="962" spans="1:9" ht="15" hidden="1" customHeight="1" x14ac:dyDescent="0.3">
      <c r="A962" s="30" t="s">
        <v>22</v>
      </c>
      <c r="B962" s="31" t="s">
        <v>1327</v>
      </c>
      <c r="C962" s="32" t="s">
        <v>1303</v>
      </c>
      <c r="D962" s="33"/>
      <c r="E962" s="29">
        <v>6800000</v>
      </c>
      <c r="F962" s="34">
        <f t="shared" si="63"/>
        <v>544000</v>
      </c>
      <c r="G962" s="37">
        <f t="shared" si="59"/>
        <v>7344000</v>
      </c>
      <c r="H962" s="35"/>
      <c r="I962" s="36">
        <f t="shared" si="58"/>
        <v>7344000</v>
      </c>
    </row>
    <row r="963" spans="1:9" ht="15" hidden="1" customHeight="1" x14ac:dyDescent="0.3">
      <c r="A963" s="30" t="s">
        <v>21</v>
      </c>
      <c r="B963" s="31" t="s">
        <v>1328</v>
      </c>
      <c r="C963" s="32" t="s">
        <v>1304</v>
      </c>
      <c r="D963" s="33"/>
      <c r="E963" s="29">
        <v>3630000</v>
      </c>
      <c r="F963" s="34">
        <f t="shared" si="63"/>
        <v>290400</v>
      </c>
      <c r="G963" s="37">
        <f t="shared" si="59"/>
        <v>3920400</v>
      </c>
      <c r="H963" s="35"/>
      <c r="I963" s="36">
        <f t="shared" si="58"/>
        <v>3920400</v>
      </c>
    </row>
    <row r="964" spans="1:9" ht="15" hidden="1" customHeight="1" x14ac:dyDescent="0.3">
      <c r="A964" s="30" t="s">
        <v>25</v>
      </c>
      <c r="B964" s="31" t="s">
        <v>1328</v>
      </c>
      <c r="C964" s="32" t="s">
        <v>1305</v>
      </c>
      <c r="D964" s="33"/>
      <c r="E964" s="29">
        <v>6585000</v>
      </c>
      <c r="F964" s="34">
        <f t="shared" si="63"/>
        <v>526800</v>
      </c>
      <c r="G964" s="37">
        <f t="shared" si="59"/>
        <v>7111800</v>
      </c>
      <c r="H964" s="35"/>
      <c r="I964" s="36">
        <f t="shared" si="58"/>
        <v>7111800</v>
      </c>
    </row>
    <row r="965" spans="1:9" ht="15" hidden="1" customHeight="1" x14ac:dyDescent="0.3">
      <c r="A965" s="30" t="s">
        <v>25</v>
      </c>
      <c r="B965" s="31" t="s">
        <v>1328</v>
      </c>
      <c r="C965" s="32" t="s">
        <v>1306</v>
      </c>
      <c r="D965" s="33"/>
      <c r="E965" s="29">
        <v>990000</v>
      </c>
      <c r="F965" s="34">
        <f t="shared" si="63"/>
        <v>79200</v>
      </c>
      <c r="G965" s="37">
        <f t="shared" si="59"/>
        <v>1069200</v>
      </c>
      <c r="H965" s="35"/>
      <c r="I965" s="36">
        <f t="shared" si="58"/>
        <v>1069200</v>
      </c>
    </row>
    <row r="966" spans="1:9" ht="15" hidden="1" customHeight="1" x14ac:dyDescent="0.3">
      <c r="A966" s="30" t="s">
        <v>23</v>
      </c>
      <c r="B966" s="31" t="s">
        <v>1329</v>
      </c>
      <c r="C966" s="32" t="s">
        <v>1307</v>
      </c>
      <c r="D966" s="33"/>
      <c r="E966" s="29">
        <v>8775000</v>
      </c>
      <c r="F966" s="34">
        <f t="shared" si="63"/>
        <v>702000</v>
      </c>
      <c r="G966" s="37">
        <f t="shared" si="59"/>
        <v>9477000</v>
      </c>
      <c r="H966" s="35"/>
      <c r="I966" s="36">
        <f t="shared" si="58"/>
        <v>9477000</v>
      </c>
    </row>
    <row r="967" spans="1:9" ht="15" hidden="1" customHeight="1" x14ac:dyDescent="0.3">
      <c r="A967" s="30" t="s">
        <v>21</v>
      </c>
      <c r="B967" s="31" t="s">
        <v>1329</v>
      </c>
      <c r="C967" s="84" t="s">
        <v>1308</v>
      </c>
      <c r="D967" s="33"/>
      <c r="E967" s="29">
        <v>1005000</v>
      </c>
      <c r="F967" s="34">
        <f t="shared" si="63"/>
        <v>80400</v>
      </c>
      <c r="G967" s="37">
        <f t="shared" si="59"/>
        <v>1085400</v>
      </c>
      <c r="H967" s="35"/>
      <c r="I967" s="36">
        <f t="shared" si="58"/>
        <v>1085400</v>
      </c>
    </row>
    <row r="968" spans="1:9" ht="15" hidden="1" customHeight="1" x14ac:dyDescent="0.3">
      <c r="A968" s="30" t="s">
        <v>27</v>
      </c>
      <c r="B968" s="31" t="s">
        <v>1329</v>
      </c>
      <c r="C968" s="32" t="s">
        <v>1309</v>
      </c>
      <c r="D968" s="33"/>
      <c r="E968" s="29">
        <v>5480000</v>
      </c>
      <c r="F968" s="34">
        <f t="shared" si="63"/>
        <v>438400</v>
      </c>
      <c r="G968" s="37">
        <f t="shared" si="59"/>
        <v>5918400</v>
      </c>
      <c r="H968" s="35"/>
      <c r="I968" s="36">
        <f t="shared" si="58"/>
        <v>5918400</v>
      </c>
    </row>
    <row r="969" spans="1:9" ht="15" hidden="1" customHeight="1" x14ac:dyDescent="0.3">
      <c r="A969" s="30" t="s">
        <v>30</v>
      </c>
      <c r="B969" s="31" t="s">
        <v>1329</v>
      </c>
      <c r="C969" s="32" t="s">
        <v>1310</v>
      </c>
      <c r="D969" s="33"/>
      <c r="E969" s="29">
        <v>3585000</v>
      </c>
      <c r="F969" s="34">
        <f t="shared" si="63"/>
        <v>286800</v>
      </c>
      <c r="G969" s="37">
        <f t="shared" si="59"/>
        <v>3871800</v>
      </c>
      <c r="H969" s="35"/>
      <c r="I969" s="36">
        <f t="shared" si="58"/>
        <v>3871800</v>
      </c>
    </row>
    <row r="970" spans="1:9" ht="15" hidden="1" customHeight="1" x14ac:dyDescent="0.3">
      <c r="A970" s="30" t="s">
        <v>32</v>
      </c>
      <c r="B970" s="31" t="s">
        <v>1329</v>
      </c>
      <c r="C970" s="32" t="s">
        <v>1311</v>
      </c>
      <c r="D970" s="33"/>
      <c r="E970" s="29">
        <v>4835000</v>
      </c>
      <c r="F970" s="34">
        <f t="shared" si="63"/>
        <v>386800</v>
      </c>
      <c r="G970" s="37">
        <f t="shared" si="59"/>
        <v>5221800</v>
      </c>
      <c r="H970" s="35"/>
      <c r="I970" s="36">
        <f t="shared" si="58"/>
        <v>5221800</v>
      </c>
    </row>
    <row r="971" spans="1:9" ht="15" hidden="1" customHeight="1" x14ac:dyDescent="0.3">
      <c r="A971" s="30" t="s">
        <v>1226</v>
      </c>
      <c r="B971" s="31" t="s">
        <v>1329</v>
      </c>
      <c r="C971" s="32" t="s">
        <v>1312</v>
      </c>
      <c r="D971" s="33"/>
      <c r="E971" s="29">
        <v>7125000</v>
      </c>
      <c r="F971" s="34">
        <f t="shared" si="63"/>
        <v>570000</v>
      </c>
      <c r="G971" s="37">
        <f t="shared" si="59"/>
        <v>7695000</v>
      </c>
      <c r="H971" s="35"/>
      <c r="I971" s="36">
        <f t="shared" si="58"/>
        <v>7695000</v>
      </c>
    </row>
    <row r="972" spans="1:9" ht="15" hidden="1" customHeight="1" x14ac:dyDescent="0.3">
      <c r="A972" s="30" t="s">
        <v>295</v>
      </c>
      <c r="B972" s="31" t="s">
        <v>1330</v>
      </c>
      <c r="C972" s="32" t="s">
        <v>1313</v>
      </c>
      <c r="D972" s="33"/>
      <c r="E972" s="29">
        <v>6500000</v>
      </c>
      <c r="F972" s="34">
        <f t="shared" si="63"/>
        <v>520000</v>
      </c>
      <c r="G972" s="37">
        <f t="shared" si="59"/>
        <v>7020000</v>
      </c>
      <c r="H972" s="35"/>
      <c r="I972" s="36">
        <f t="shared" si="58"/>
        <v>7020000</v>
      </c>
    </row>
    <row r="973" spans="1:9" ht="15" hidden="1" customHeight="1" x14ac:dyDescent="0.3">
      <c r="A973" s="30" t="s">
        <v>17</v>
      </c>
      <c r="B973" s="31" t="s">
        <v>1330</v>
      </c>
      <c r="C973" s="32" t="s">
        <v>1314</v>
      </c>
      <c r="D973" s="33"/>
      <c r="E973" s="29">
        <v>15485000</v>
      </c>
      <c r="F973" s="34">
        <f t="shared" si="63"/>
        <v>1238800</v>
      </c>
      <c r="G973" s="37">
        <f t="shared" si="59"/>
        <v>16723800</v>
      </c>
      <c r="H973" s="35"/>
      <c r="I973" s="36">
        <f t="shared" si="58"/>
        <v>16723800</v>
      </c>
    </row>
    <row r="974" spans="1:9" ht="15" hidden="1" customHeight="1" x14ac:dyDescent="0.3">
      <c r="A974" s="30" t="s">
        <v>18</v>
      </c>
      <c r="B974" s="31" t="s">
        <v>1331</v>
      </c>
      <c r="C974" s="32" t="s">
        <v>1315</v>
      </c>
      <c r="D974" s="33"/>
      <c r="E974" s="29">
        <v>3825000</v>
      </c>
      <c r="F974" s="34">
        <f t="shared" si="63"/>
        <v>306000</v>
      </c>
      <c r="G974" s="37">
        <f t="shared" si="59"/>
        <v>4131000</v>
      </c>
      <c r="H974" s="35"/>
      <c r="I974" s="36">
        <f t="shared" si="58"/>
        <v>4131000</v>
      </c>
    </row>
    <row r="975" spans="1:9" ht="15" hidden="1" customHeight="1" x14ac:dyDescent="0.3">
      <c r="A975" s="30" t="s">
        <v>27</v>
      </c>
      <c r="B975" s="31" t="s">
        <v>1332</v>
      </c>
      <c r="C975" s="32" t="s">
        <v>1316</v>
      </c>
      <c r="D975" s="33"/>
      <c r="E975" s="29">
        <v>990000</v>
      </c>
      <c r="F975" s="34">
        <f t="shared" si="63"/>
        <v>79200</v>
      </c>
      <c r="G975" s="37">
        <f t="shared" si="59"/>
        <v>1069200</v>
      </c>
      <c r="H975" s="35"/>
      <c r="I975" s="36">
        <f t="shared" si="58"/>
        <v>1069200</v>
      </c>
    </row>
    <row r="976" spans="1:9" ht="15" hidden="1" customHeight="1" x14ac:dyDescent="0.3">
      <c r="A976" s="30" t="s">
        <v>295</v>
      </c>
      <c r="B976" s="31" t="s">
        <v>1333</v>
      </c>
      <c r="C976" s="33" t="s">
        <v>1317</v>
      </c>
      <c r="D976" s="33"/>
      <c r="E976" s="29">
        <v>8060000</v>
      </c>
      <c r="F976" s="34">
        <f t="shared" si="63"/>
        <v>644800</v>
      </c>
      <c r="G976" s="37">
        <f t="shared" si="59"/>
        <v>8704800</v>
      </c>
      <c r="H976" s="35"/>
      <c r="I976" s="36">
        <f t="shared" si="58"/>
        <v>8704800</v>
      </c>
    </row>
    <row r="977" spans="1:9" ht="15" hidden="1" customHeight="1" x14ac:dyDescent="0.3">
      <c r="A977" s="30" t="s">
        <v>21</v>
      </c>
      <c r="B977" s="31" t="s">
        <v>1333</v>
      </c>
      <c r="C977" s="32" t="s">
        <v>1318</v>
      </c>
      <c r="D977" s="33"/>
      <c r="E977" s="29">
        <v>4800000</v>
      </c>
      <c r="F977" s="34">
        <f t="shared" si="63"/>
        <v>384000</v>
      </c>
      <c r="G977" s="37">
        <f t="shared" si="59"/>
        <v>5184000</v>
      </c>
      <c r="H977" s="35"/>
      <c r="I977" s="36">
        <f t="shared" si="58"/>
        <v>5184000</v>
      </c>
    </row>
    <row r="978" spans="1:9" ht="15" hidden="1" customHeight="1" x14ac:dyDescent="0.3">
      <c r="A978" s="30" t="s">
        <v>45</v>
      </c>
      <c r="B978" s="31" t="s">
        <v>1333</v>
      </c>
      <c r="C978" s="32" t="s">
        <v>1319</v>
      </c>
      <c r="D978" s="33"/>
      <c r="E978" s="29">
        <v>8655000</v>
      </c>
      <c r="F978" s="34">
        <f t="shared" si="63"/>
        <v>692400</v>
      </c>
      <c r="G978" s="37">
        <f t="shared" si="59"/>
        <v>9347400</v>
      </c>
      <c r="H978" s="35"/>
      <c r="I978" s="36">
        <f t="shared" si="58"/>
        <v>9347400</v>
      </c>
    </row>
    <row r="979" spans="1:9" ht="15" hidden="1" customHeight="1" x14ac:dyDescent="0.3">
      <c r="A979" s="30" t="s">
        <v>18</v>
      </c>
      <c r="B979" s="31" t="s">
        <v>1333</v>
      </c>
      <c r="C979" s="32" t="s">
        <v>1320</v>
      </c>
      <c r="D979" s="33"/>
      <c r="E979" s="29">
        <v>1815000</v>
      </c>
      <c r="F979" s="34">
        <f t="shared" si="63"/>
        <v>145200</v>
      </c>
      <c r="G979" s="37">
        <f t="shared" si="59"/>
        <v>1960200</v>
      </c>
      <c r="H979" s="35"/>
      <c r="I979" s="36">
        <f t="shared" si="58"/>
        <v>1960200</v>
      </c>
    </row>
    <row r="980" spans="1:9" ht="15" hidden="1" customHeight="1" x14ac:dyDescent="0.3">
      <c r="A980" s="30" t="s">
        <v>48</v>
      </c>
      <c r="B980" s="31" t="s">
        <v>1333</v>
      </c>
      <c r="C980" s="32" t="s">
        <v>1321</v>
      </c>
      <c r="D980" s="33"/>
      <c r="E980" s="29">
        <v>11325000</v>
      </c>
      <c r="F980" s="34">
        <f t="shared" si="63"/>
        <v>906000</v>
      </c>
      <c r="G980" s="37">
        <f t="shared" si="59"/>
        <v>12231000</v>
      </c>
      <c r="H980" s="35"/>
      <c r="I980" s="36">
        <f t="shared" si="58"/>
        <v>12231000</v>
      </c>
    </row>
    <row r="981" spans="1:9" ht="15" hidden="1" customHeight="1" x14ac:dyDescent="0.3">
      <c r="A981" s="30" t="s">
        <v>32</v>
      </c>
      <c r="B981" s="31" t="s">
        <v>1333</v>
      </c>
      <c r="C981" s="32" t="s">
        <v>1322</v>
      </c>
      <c r="D981" s="33"/>
      <c r="E981" s="29">
        <v>16205000</v>
      </c>
      <c r="F981" s="34">
        <f t="shared" si="63"/>
        <v>1296400</v>
      </c>
      <c r="G981" s="37">
        <f t="shared" si="59"/>
        <v>17501400</v>
      </c>
      <c r="H981" s="35"/>
      <c r="I981" s="36">
        <f t="shared" ref="I981:I1008" si="64">G981-H981</f>
        <v>17501400</v>
      </c>
    </row>
    <row r="982" spans="1:9" ht="15" hidden="1" customHeight="1" x14ac:dyDescent="0.3">
      <c r="A982" s="30" t="s">
        <v>295</v>
      </c>
      <c r="B982" s="31" t="s">
        <v>1333</v>
      </c>
      <c r="C982" s="33" t="s">
        <v>1323</v>
      </c>
      <c r="D982" s="33"/>
      <c r="E982" s="29">
        <v>2855000</v>
      </c>
      <c r="F982" s="34">
        <f t="shared" si="63"/>
        <v>228400</v>
      </c>
      <c r="G982" s="37">
        <f t="shared" si="59"/>
        <v>3083400</v>
      </c>
      <c r="H982" s="35"/>
      <c r="I982" s="36">
        <f t="shared" si="64"/>
        <v>3083400</v>
      </c>
    </row>
    <row r="983" spans="1:9" ht="15" hidden="1" customHeight="1" x14ac:dyDescent="0.3">
      <c r="A983" s="30" t="s">
        <v>23</v>
      </c>
      <c r="B983" s="31" t="s">
        <v>1333</v>
      </c>
      <c r="C983" s="32" t="s">
        <v>1324</v>
      </c>
      <c r="D983" s="33"/>
      <c r="E983" s="29">
        <v>12805000</v>
      </c>
      <c r="F983" s="34">
        <f t="shared" si="63"/>
        <v>1024400</v>
      </c>
      <c r="G983" s="37">
        <f t="shared" si="59"/>
        <v>13829400</v>
      </c>
      <c r="H983" s="35"/>
      <c r="I983" s="36">
        <f t="shared" si="64"/>
        <v>13829400</v>
      </c>
    </row>
    <row r="984" spans="1:9" ht="15" hidden="1" customHeight="1" x14ac:dyDescent="0.3">
      <c r="A984" s="30" t="s">
        <v>17</v>
      </c>
      <c r="B984" s="31" t="s">
        <v>1333</v>
      </c>
      <c r="C984" s="32" t="s">
        <v>1325</v>
      </c>
      <c r="D984" s="33"/>
      <c r="E984" s="29">
        <v>6660000</v>
      </c>
      <c r="F984" s="34">
        <f t="shared" si="63"/>
        <v>532800</v>
      </c>
      <c r="G984" s="37">
        <f t="shared" si="59"/>
        <v>7192800</v>
      </c>
      <c r="H984" s="35"/>
      <c r="I984" s="36">
        <f t="shared" si="64"/>
        <v>7192800</v>
      </c>
    </row>
    <row r="985" spans="1:9" ht="15" hidden="1" customHeight="1" x14ac:dyDescent="0.3">
      <c r="A985" s="30" t="s">
        <v>27</v>
      </c>
      <c r="B985" s="31" t="s">
        <v>1333</v>
      </c>
      <c r="C985" s="33" t="s">
        <v>1326</v>
      </c>
      <c r="D985" s="33"/>
      <c r="E985" s="29">
        <v>11535000</v>
      </c>
      <c r="F985" s="34">
        <f t="shared" si="63"/>
        <v>922800</v>
      </c>
      <c r="G985" s="37">
        <f t="shared" si="59"/>
        <v>12457800</v>
      </c>
      <c r="H985" s="35"/>
      <c r="I985" s="36">
        <f t="shared" si="64"/>
        <v>12457800</v>
      </c>
    </row>
    <row r="986" spans="1:9" ht="15" hidden="1" customHeight="1" x14ac:dyDescent="0.3">
      <c r="A986" s="30" t="s">
        <v>17</v>
      </c>
      <c r="B986" s="31" t="s">
        <v>1351</v>
      </c>
      <c r="C986" s="33" t="s">
        <v>1335</v>
      </c>
      <c r="D986" s="33"/>
      <c r="E986" s="29">
        <v>6855000</v>
      </c>
      <c r="F986" s="34">
        <f t="shared" si="63"/>
        <v>548400</v>
      </c>
      <c r="G986" s="37">
        <f t="shared" si="59"/>
        <v>7403400</v>
      </c>
      <c r="H986" s="35"/>
      <c r="I986" s="36">
        <f t="shared" si="64"/>
        <v>7403400</v>
      </c>
    </row>
    <row r="987" spans="1:9" ht="15" hidden="1" customHeight="1" x14ac:dyDescent="0.3">
      <c r="A987" s="30" t="s">
        <v>295</v>
      </c>
      <c r="B987" s="31" t="s">
        <v>1351</v>
      </c>
      <c r="C987" s="33" t="s">
        <v>1336</v>
      </c>
      <c r="D987" s="33"/>
      <c r="E987" s="29">
        <v>2010000</v>
      </c>
      <c r="F987" s="34">
        <f t="shared" si="63"/>
        <v>160800</v>
      </c>
      <c r="G987" s="37">
        <f t="shared" ref="G987:G1007" si="65">+F987+E987</f>
        <v>2170800</v>
      </c>
      <c r="H987" s="35"/>
      <c r="I987" s="36">
        <f t="shared" si="64"/>
        <v>2170800</v>
      </c>
    </row>
    <row r="988" spans="1:9" ht="15" hidden="1" customHeight="1" x14ac:dyDescent="0.3">
      <c r="A988" s="30" t="s">
        <v>20</v>
      </c>
      <c r="B988" s="31" t="s">
        <v>1351</v>
      </c>
      <c r="C988" s="33" t="s">
        <v>1337</v>
      </c>
      <c r="D988" s="33"/>
      <c r="E988" s="29">
        <v>2850000</v>
      </c>
      <c r="F988" s="34">
        <f t="shared" si="63"/>
        <v>228000</v>
      </c>
      <c r="G988" s="37">
        <f t="shared" si="65"/>
        <v>3078000</v>
      </c>
      <c r="H988" s="35"/>
      <c r="I988" s="36">
        <f t="shared" si="64"/>
        <v>3078000</v>
      </c>
    </row>
    <row r="989" spans="1:9" ht="15" hidden="1" customHeight="1" x14ac:dyDescent="0.3">
      <c r="A989" s="30" t="s">
        <v>21</v>
      </c>
      <c r="B989" s="31" t="s">
        <v>1351</v>
      </c>
      <c r="C989" s="32" t="s">
        <v>1338</v>
      </c>
      <c r="D989" s="33"/>
      <c r="E989" s="29">
        <v>2040000</v>
      </c>
      <c r="F989" s="34">
        <f t="shared" si="63"/>
        <v>163200</v>
      </c>
      <c r="G989" s="37">
        <f t="shared" si="65"/>
        <v>2203200</v>
      </c>
      <c r="H989" s="35"/>
      <c r="I989" s="36">
        <f t="shared" si="64"/>
        <v>2203200</v>
      </c>
    </row>
    <row r="990" spans="1:9" ht="15" hidden="1" customHeight="1" x14ac:dyDescent="0.3">
      <c r="A990" s="30" t="s">
        <v>23</v>
      </c>
      <c r="B990" s="31" t="s">
        <v>1351</v>
      </c>
      <c r="C990" s="32" t="s">
        <v>1339</v>
      </c>
      <c r="D990" s="33"/>
      <c r="E990" s="29">
        <v>3735000</v>
      </c>
      <c r="F990" s="34">
        <f t="shared" si="63"/>
        <v>298800</v>
      </c>
      <c r="G990" s="37">
        <f t="shared" si="65"/>
        <v>4033800</v>
      </c>
      <c r="H990" s="35"/>
      <c r="I990" s="36">
        <f t="shared" si="64"/>
        <v>4033800</v>
      </c>
    </row>
    <row r="991" spans="1:9" ht="15" hidden="1" customHeight="1" x14ac:dyDescent="0.3">
      <c r="A991" s="30" t="s">
        <v>28</v>
      </c>
      <c r="B991" s="31" t="s">
        <v>1351</v>
      </c>
      <c r="C991" s="33" t="s">
        <v>1340</v>
      </c>
      <c r="D991" s="33"/>
      <c r="E991" s="29">
        <v>1770000</v>
      </c>
      <c r="F991" s="34">
        <f t="shared" si="63"/>
        <v>141600</v>
      </c>
      <c r="G991" s="37">
        <f t="shared" si="65"/>
        <v>1911600</v>
      </c>
      <c r="H991" s="35"/>
      <c r="I991" s="36">
        <f t="shared" si="64"/>
        <v>1911600</v>
      </c>
    </row>
    <row r="992" spans="1:9" ht="15" hidden="1" customHeight="1" x14ac:dyDescent="0.3">
      <c r="A992" s="30" t="s">
        <v>22</v>
      </c>
      <c r="B992" s="31" t="s">
        <v>1351</v>
      </c>
      <c r="C992" s="33" t="s">
        <v>1341</v>
      </c>
      <c r="D992" s="33"/>
      <c r="E992" s="29">
        <v>3795000</v>
      </c>
      <c r="F992" s="34">
        <f t="shared" si="63"/>
        <v>303600</v>
      </c>
      <c r="G992" s="37">
        <f t="shared" si="65"/>
        <v>4098600</v>
      </c>
      <c r="H992" s="35"/>
      <c r="I992" s="36">
        <f t="shared" si="64"/>
        <v>4098600</v>
      </c>
    </row>
    <row r="993" spans="1:9" ht="15" hidden="1" customHeight="1" x14ac:dyDescent="0.3">
      <c r="A993" s="30" t="s">
        <v>294</v>
      </c>
      <c r="B993" s="31" t="s">
        <v>1351</v>
      </c>
      <c r="C993" s="33" t="s">
        <v>1342</v>
      </c>
      <c r="D993" s="33"/>
      <c r="E993" s="29">
        <v>1560000</v>
      </c>
      <c r="F993" s="34">
        <f t="shared" si="63"/>
        <v>124800</v>
      </c>
      <c r="G993" s="37">
        <f t="shared" si="65"/>
        <v>1684800</v>
      </c>
      <c r="H993" s="35"/>
      <c r="I993" s="36">
        <f t="shared" si="64"/>
        <v>1684800</v>
      </c>
    </row>
    <row r="994" spans="1:9" ht="15" hidden="1" customHeight="1" x14ac:dyDescent="0.3">
      <c r="A994" s="30" t="s">
        <v>26</v>
      </c>
      <c r="B994" s="31" t="s">
        <v>1351</v>
      </c>
      <c r="C994" s="32" t="s">
        <v>1343</v>
      </c>
      <c r="D994" s="33"/>
      <c r="E994" s="29">
        <v>4220000</v>
      </c>
      <c r="F994" s="34">
        <f t="shared" si="63"/>
        <v>337600</v>
      </c>
      <c r="G994" s="37">
        <f t="shared" si="65"/>
        <v>4557600</v>
      </c>
      <c r="H994" s="35"/>
      <c r="I994" s="36">
        <f t="shared" si="64"/>
        <v>4557600</v>
      </c>
    </row>
    <row r="995" spans="1:9" ht="15" hidden="1" customHeight="1" x14ac:dyDescent="0.3">
      <c r="A995" s="30" t="s">
        <v>32</v>
      </c>
      <c r="B995" s="31" t="s">
        <v>1351</v>
      </c>
      <c r="C995" s="32" t="s">
        <v>1344</v>
      </c>
      <c r="D995" s="33"/>
      <c r="E995" s="29">
        <v>22840000</v>
      </c>
      <c r="F995" s="34">
        <f t="shared" si="63"/>
        <v>1827200</v>
      </c>
      <c r="G995" s="37">
        <f t="shared" si="65"/>
        <v>24667200</v>
      </c>
      <c r="H995" s="35"/>
      <c r="I995" s="36">
        <f t="shared" si="64"/>
        <v>24667200</v>
      </c>
    </row>
    <row r="996" spans="1:9" ht="15" hidden="1" customHeight="1" x14ac:dyDescent="0.3">
      <c r="A996" s="30" t="s">
        <v>22</v>
      </c>
      <c r="B996" s="31" t="s">
        <v>1352</v>
      </c>
      <c r="C996" s="33" t="s">
        <v>702</v>
      </c>
      <c r="D996" s="33"/>
      <c r="E996" s="29">
        <v>-67000</v>
      </c>
      <c r="F996" s="34">
        <f t="shared" ref="F996:F1008" si="66">+E996*0.08</f>
        <v>-5360</v>
      </c>
      <c r="G996" s="37">
        <f t="shared" si="65"/>
        <v>-72360</v>
      </c>
      <c r="H996" s="35">
        <v>-72360</v>
      </c>
      <c r="I996" s="36">
        <f t="shared" si="64"/>
        <v>0</v>
      </c>
    </row>
    <row r="997" spans="1:9" ht="15" hidden="1" customHeight="1" x14ac:dyDescent="0.3">
      <c r="A997" s="30" t="s">
        <v>1354</v>
      </c>
      <c r="B997" s="31" t="s">
        <v>1352</v>
      </c>
      <c r="C997" s="33" t="s">
        <v>703</v>
      </c>
      <c r="D997" s="33"/>
      <c r="E997" s="29">
        <v>-643188</v>
      </c>
      <c r="F997" s="34">
        <f t="shared" si="66"/>
        <v>-51455.040000000001</v>
      </c>
      <c r="G997" s="37">
        <f t="shared" si="65"/>
        <v>-694643.04</v>
      </c>
      <c r="H997" s="35">
        <v>-694643.04</v>
      </c>
      <c r="I997" s="36">
        <f t="shared" si="64"/>
        <v>0</v>
      </c>
    </row>
    <row r="998" spans="1:9" ht="15" hidden="1" customHeight="1" x14ac:dyDescent="0.3">
      <c r="A998" s="30" t="s">
        <v>1354</v>
      </c>
      <c r="B998" s="31" t="s">
        <v>1352</v>
      </c>
      <c r="C998" s="33" t="s">
        <v>704</v>
      </c>
      <c r="D998" s="33"/>
      <c r="E998" s="29">
        <v>-594000</v>
      </c>
      <c r="F998" s="34">
        <f t="shared" si="66"/>
        <v>-47520</v>
      </c>
      <c r="G998" s="37">
        <f t="shared" si="65"/>
        <v>-641520</v>
      </c>
      <c r="H998" s="35">
        <v>-641520</v>
      </c>
      <c r="I998" s="36">
        <f t="shared" si="64"/>
        <v>0</v>
      </c>
    </row>
    <row r="999" spans="1:9" ht="15" hidden="1" customHeight="1" x14ac:dyDescent="0.3">
      <c r="A999" s="30" t="s">
        <v>28</v>
      </c>
      <c r="B999" s="31" t="s">
        <v>1352</v>
      </c>
      <c r="C999" s="33" t="s">
        <v>1350</v>
      </c>
      <c r="D999" s="33"/>
      <c r="E999" s="29">
        <v>-148500</v>
      </c>
      <c r="F999" s="34">
        <f t="shared" si="66"/>
        <v>-11880</v>
      </c>
      <c r="G999" s="37">
        <f t="shared" si="65"/>
        <v>-160380</v>
      </c>
      <c r="H999" s="35">
        <v>-160380</v>
      </c>
      <c r="I999" s="36">
        <f t="shared" si="64"/>
        <v>0</v>
      </c>
    </row>
    <row r="1000" spans="1:9" ht="15" hidden="1" customHeight="1" x14ac:dyDescent="0.3">
      <c r="A1000" s="30" t="s">
        <v>18</v>
      </c>
      <c r="B1000" s="31" t="s">
        <v>1352</v>
      </c>
      <c r="C1000" s="33" t="s">
        <v>1345</v>
      </c>
      <c r="D1000" s="33"/>
      <c r="E1000" s="29">
        <v>-518350</v>
      </c>
      <c r="F1000" s="34">
        <f t="shared" si="66"/>
        <v>-41468</v>
      </c>
      <c r="G1000" s="37">
        <f t="shared" si="65"/>
        <v>-559818</v>
      </c>
      <c r="H1000" s="35">
        <v>-559818</v>
      </c>
      <c r="I1000" s="36">
        <f t="shared" si="64"/>
        <v>0</v>
      </c>
    </row>
    <row r="1001" spans="1:9" ht="15" hidden="1" customHeight="1" x14ac:dyDescent="0.3">
      <c r="A1001" s="30" t="s">
        <v>48</v>
      </c>
      <c r="B1001" s="31" t="s">
        <v>1353</v>
      </c>
      <c r="C1001" s="33" t="s">
        <v>1346</v>
      </c>
      <c r="D1001" s="33"/>
      <c r="E1001" s="29">
        <v>3000000</v>
      </c>
      <c r="F1001" s="34">
        <f t="shared" si="66"/>
        <v>240000</v>
      </c>
      <c r="G1001" s="37">
        <f t="shared" si="65"/>
        <v>3240000</v>
      </c>
      <c r="H1001" s="35"/>
      <c r="I1001" s="36">
        <f t="shared" si="64"/>
        <v>3240000</v>
      </c>
    </row>
    <row r="1002" spans="1:9" ht="15" hidden="1" customHeight="1" x14ac:dyDescent="0.3">
      <c r="A1002" s="30" t="s">
        <v>295</v>
      </c>
      <c r="B1002" s="31" t="s">
        <v>1353</v>
      </c>
      <c r="C1002" s="33" t="s">
        <v>1347</v>
      </c>
      <c r="D1002" s="33"/>
      <c r="E1002" s="29">
        <v>2040000</v>
      </c>
      <c r="F1002" s="34">
        <f t="shared" si="66"/>
        <v>163200</v>
      </c>
      <c r="G1002" s="37">
        <f t="shared" si="65"/>
        <v>2203200</v>
      </c>
      <c r="H1002" s="35"/>
      <c r="I1002" s="36">
        <f t="shared" si="64"/>
        <v>2203200</v>
      </c>
    </row>
    <row r="1003" spans="1:9" ht="15" hidden="1" customHeight="1" x14ac:dyDescent="0.3">
      <c r="A1003" s="30" t="s">
        <v>17</v>
      </c>
      <c r="B1003" s="31" t="s">
        <v>1353</v>
      </c>
      <c r="C1003" s="33" t="s">
        <v>1348</v>
      </c>
      <c r="D1003" s="33"/>
      <c r="E1003" s="29">
        <v>1815000</v>
      </c>
      <c r="F1003" s="34">
        <f t="shared" si="66"/>
        <v>145200</v>
      </c>
      <c r="G1003" s="37">
        <f t="shared" si="65"/>
        <v>1960200</v>
      </c>
      <c r="H1003" s="35"/>
      <c r="I1003" s="36">
        <f t="shared" si="64"/>
        <v>1960200</v>
      </c>
    </row>
    <row r="1004" spans="1:9" ht="15" hidden="1" customHeight="1" x14ac:dyDescent="0.3">
      <c r="A1004" s="30" t="s">
        <v>25</v>
      </c>
      <c r="B1004" s="31" t="s">
        <v>1353</v>
      </c>
      <c r="C1004" s="32" t="s">
        <v>1349</v>
      </c>
      <c r="D1004" s="33"/>
      <c r="E1004" s="29">
        <v>4965000</v>
      </c>
      <c r="F1004" s="34">
        <f t="shared" si="66"/>
        <v>397200</v>
      </c>
      <c r="G1004" s="37">
        <f t="shared" si="65"/>
        <v>5362200</v>
      </c>
      <c r="H1004" s="35"/>
      <c r="I1004" s="36">
        <f t="shared" si="64"/>
        <v>5362200</v>
      </c>
    </row>
    <row r="1005" spans="1:9" ht="15" hidden="1" customHeight="1" x14ac:dyDescent="0.3">
      <c r="A1005" s="30"/>
      <c r="B1005" s="31"/>
      <c r="C1005" s="33"/>
      <c r="D1005" s="33"/>
      <c r="E1005" s="29"/>
      <c r="F1005" s="34">
        <f t="shared" si="66"/>
        <v>0</v>
      </c>
      <c r="G1005" s="37">
        <f t="shared" si="65"/>
        <v>0</v>
      </c>
      <c r="H1005" s="35"/>
      <c r="I1005" s="36">
        <f t="shared" si="64"/>
        <v>0</v>
      </c>
    </row>
    <row r="1006" spans="1:9" ht="15" hidden="1" customHeight="1" x14ac:dyDescent="0.3">
      <c r="A1006" s="30"/>
      <c r="B1006" s="31"/>
      <c r="C1006" s="33"/>
      <c r="D1006" s="33"/>
      <c r="E1006" s="29"/>
      <c r="F1006" s="34">
        <f t="shared" si="66"/>
        <v>0</v>
      </c>
      <c r="G1006" s="37">
        <f t="shared" si="65"/>
        <v>0</v>
      </c>
      <c r="H1006" s="35"/>
      <c r="I1006" s="36">
        <f t="shared" si="64"/>
        <v>0</v>
      </c>
    </row>
    <row r="1007" spans="1:9" ht="15" hidden="1" customHeight="1" x14ac:dyDescent="0.3">
      <c r="A1007" s="30"/>
      <c r="B1007" s="31"/>
      <c r="C1007" s="33"/>
      <c r="D1007" s="33"/>
      <c r="E1007" s="29"/>
      <c r="F1007" s="34">
        <f t="shared" si="66"/>
        <v>0</v>
      </c>
      <c r="G1007" s="37">
        <f t="shared" si="65"/>
        <v>0</v>
      </c>
      <c r="H1007" s="35"/>
      <c r="I1007" s="36">
        <f t="shared" si="64"/>
        <v>0</v>
      </c>
    </row>
    <row r="1008" spans="1:9" ht="15" hidden="1" customHeight="1" x14ac:dyDescent="0.3">
      <c r="A1008" s="30"/>
      <c r="B1008" s="31"/>
      <c r="C1008" s="33"/>
      <c r="D1008" s="33"/>
      <c r="E1008" s="29"/>
      <c r="F1008" s="34">
        <f t="shared" si="66"/>
        <v>0</v>
      </c>
      <c r="G1008" s="37"/>
      <c r="H1008" s="35"/>
      <c r="I1008" s="36">
        <f t="shared" si="64"/>
        <v>0</v>
      </c>
    </row>
    <row r="1009" spans="1:9" ht="15" customHeight="1" x14ac:dyDescent="0.3">
      <c r="A1009" s="30"/>
      <c r="B1009" s="31"/>
      <c r="C1009" s="33"/>
      <c r="D1009" s="33"/>
      <c r="E1009" s="29"/>
      <c r="F1009" s="34"/>
      <c r="G1009" s="37"/>
      <c r="H1009" s="35"/>
      <c r="I1009" s="36"/>
    </row>
    <row r="1010" spans="1:9" ht="15" customHeight="1" x14ac:dyDescent="0.3">
      <c r="A1010" s="30"/>
      <c r="B1010" s="31"/>
      <c r="C1010" s="33"/>
      <c r="D1010" s="33"/>
      <c r="E1010" s="29"/>
      <c r="F1010" s="34"/>
      <c r="G1010" s="37"/>
      <c r="H1010" s="35"/>
      <c r="I1010" s="36"/>
    </row>
    <row r="1011" spans="1:9" ht="15" customHeight="1" x14ac:dyDescent="0.3">
      <c r="A1011" s="30"/>
      <c r="B1011" s="31"/>
      <c r="C1011" s="33"/>
      <c r="D1011" s="33"/>
      <c r="E1011" s="29"/>
      <c r="F1011" s="34"/>
      <c r="G1011" s="37"/>
      <c r="H1011" s="35"/>
      <c r="I1011" s="36"/>
    </row>
    <row r="1012" spans="1:9" ht="15" customHeight="1" x14ac:dyDescent="0.3">
      <c r="A1012" s="30"/>
      <c r="B1012" s="31"/>
      <c r="C1012" s="33"/>
      <c r="D1012" s="33"/>
      <c r="E1012" s="29"/>
      <c r="F1012" s="34"/>
      <c r="G1012" s="37"/>
      <c r="H1012" s="35"/>
      <c r="I1012" s="36"/>
    </row>
    <row r="1013" spans="1:9" ht="15" customHeight="1" x14ac:dyDescent="0.3">
      <c r="A1013" s="30"/>
      <c r="B1013" s="31"/>
      <c r="C1013" s="33"/>
      <c r="D1013" s="33"/>
      <c r="E1013" s="29"/>
      <c r="F1013" s="34"/>
      <c r="G1013" s="37"/>
      <c r="H1013" s="35"/>
      <c r="I1013" s="36"/>
    </row>
    <row r="1014" spans="1:9" ht="15" customHeight="1" x14ac:dyDescent="0.3">
      <c r="A1014" s="30"/>
      <c r="B1014" s="31"/>
      <c r="C1014" s="33"/>
      <c r="D1014" s="33"/>
      <c r="E1014" s="29"/>
      <c r="F1014" s="34"/>
      <c r="G1014" s="37"/>
      <c r="H1014" s="35"/>
      <c r="I1014" s="36"/>
    </row>
    <row r="1015" spans="1:9" ht="15" customHeight="1" x14ac:dyDescent="0.3">
      <c r="A1015" s="30"/>
      <c r="B1015" s="31"/>
      <c r="C1015" s="33"/>
      <c r="D1015" s="33"/>
      <c r="E1015" s="29"/>
      <c r="F1015" s="34"/>
      <c r="G1015" s="37"/>
      <c r="H1015" s="35"/>
      <c r="I1015" s="36"/>
    </row>
    <row r="1016" spans="1:9" ht="15" customHeight="1" x14ac:dyDescent="0.3">
      <c r="A1016" s="30"/>
      <c r="B1016" s="31"/>
      <c r="C1016" s="33"/>
      <c r="D1016" s="33"/>
      <c r="E1016" s="29"/>
      <c r="F1016" s="34"/>
      <c r="G1016" s="37"/>
      <c r="H1016" s="35"/>
      <c r="I1016" s="36"/>
    </row>
    <row r="1017" spans="1:9" ht="15" customHeight="1" x14ac:dyDescent="0.3">
      <c r="A1017" s="30"/>
      <c r="B1017" s="31"/>
      <c r="C1017" s="33"/>
      <c r="D1017" s="33"/>
      <c r="E1017" s="29"/>
      <c r="F1017" s="34"/>
      <c r="G1017" s="37"/>
      <c r="H1017" s="35"/>
      <c r="I1017" s="36"/>
    </row>
    <row r="1018" spans="1:9" ht="15" customHeight="1" x14ac:dyDescent="0.3">
      <c r="A1018" s="30"/>
      <c r="B1018" s="31"/>
      <c r="C1018" s="33"/>
      <c r="D1018" s="33"/>
      <c r="E1018" s="29"/>
      <c r="F1018" s="34"/>
      <c r="G1018" s="37"/>
      <c r="H1018" s="35"/>
      <c r="I1018" s="36"/>
    </row>
    <row r="1019" spans="1:9" ht="15" customHeight="1" x14ac:dyDescent="0.3">
      <c r="A1019" s="30"/>
      <c r="B1019" s="31"/>
      <c r="C1019" s="33"/>
      <c r="D1019" s="33"/>
      <c r="E1019" s="29"/>
      <c r="F1019" s="34"/>
      <c r="G1019" s="37"/>
      <c r="H1019" s="35"/>
      <c r="I1019" s="36"/>
    </row>
    <row r="1020" spans="1:9" ht="15" customHeight="1" x14ac:dyDescent="0.3">
      <c r="A1020" s="30"/>
      <c r="B1020" s="31"/>
      <c r="C1020" s="33"/>
      <c r="D1020" s="33"/>
      <c r="E1020" s="29"/>
      <c r="F1020" s="34"/>
      <c r="G1020" s="37"/>
      <c r="H1020" s="35"/>
      <c r="I1020" s="36"/>
    </row>
    <row r="1021" spans="1:9" ht="15" customHeight="1" x14ac:dyDescent="0.3">
      <c r="A1021" s="30"/>
      <c r="B1021" s="31"/>
      <c r="C1021" s="33"/>
      <c r="D1021" s="33"/>
      <c r="E1021" s="29"/>
      <c r="F1021" s="34"/>
      <c r="G1021" s="37"/>
      <c r="H1021" s="35"/>
      <c r="I1021" s="36"/>
    </row>
    <row r="1022" spans="1:9" ht="15" customHeight="1" x14ac:dyDescent="0.3">
      <c r="A1022" s="30"/>
      <c r="B1022" s="31"/>
      <c r="C1022" s="33"/>
      <c r="D1022" s="33"/>
      <c r="E1022" s="29"/>
      <c r="F1022" s="34"/>
      <c r="G1022" s="37"/>
      <c r="H1022" s="35"/>
      <c r="I1022" s="36"/>
    </row>
    <row r="1023" spans="1:9" ht="15" customHeight="1" x14ac:dyDescent="0.3">
      <c r="A1023" s="30"/>
      <c r="B1023" s="31"/>
      <c r="C1023" s="33"/>
      <c r="D1023" s="33"/>
      <c r="E1023" s="29"/>
      <c r="F1023" s="34"/>
      <c r="G1023" s="37"/>
      <c r="H1023" s="35"/>
      <c r="I1023" s="36"/>
    </row>
    <row r="1024" spans="1:9" ht="15" customHeight="1" x14ac:dyDescent="0.3">
      <c r="A1024" s="30"/>
      <c r="B1024" s="31"/>
      <c r="C1024" s="33"/>
      <c r="D1024" s="33"/>
      <c r="E1024" s="29"/>
      <c r="F1024" s="34"/>
      <c r="G1024" s="37"/>
      <c r="H1024" s="35"/>
      <c r="I1024" s="36"/>
    </row>
    <row r="1025" spans="1:9" ht="15" customHeight="1" x14ac:dyDescent="0.3">
      <c r="A1025" s="30"/>
      <c r="B1025" s="31"/>
      <c r="C1025" s="33"/>
      <c r="D1025" s="33"/>
      <c r="E1025" s="29"/>
      <c r="F1025" s="34"/>
      <c r="G1025" s="37"/>
      <c r="H1025" s="35"/>
      <c r="I1025" s="36"/>
    </row>
    <row r="1026" spans="1:9" ht="15" customHeight="1" x14ac:dyDescent="0.3">
      <c r="A1026" s="30"/>
      <c r="B1026" s="31"/>
      <c r="C1026" s="33"/>
      <c r="D1026" s="33"/>
      <c r="E1026" s="29"/>
      <c r="F1026" s="34"/>
      <c r="G1026" s="37"/>
      <c r="H1026" s="35"/>
      <c r="I1026" s="36"/>
    </row>
    <row r="1027" spans="1:9" ht="15" customHeight="1" x14ac:dyDescent="0.3">
      <c r="A1027" s="30"/>
      <c r="B1027" s="31"/>
      <c r="C1027" s="33"/>
      <c r="D1027" s="33"/>
      <c r="E1027" s="29"/>
      <c r="F1027" s="34"/>
      <c r="G1027" s="37"/>
      <c r="H1027" s="35"/>
      <c r="I1027" s="36"/>
    </row>
    <row r="1028" spans="1:9" ht="15" customHeight="1" x14ac:dyDescent="0.3">
      <c r="A1028" s="30"/>
      <c r="B1028" s="31"/>
      <c r="C1028" s="33"/>
      <c r="D1028" s="33"/>
      <c r="E1028" s="29"/>
      <c r="F1028" s="34"/>
      <c r="G1028" s="37"/>
      <c r="H1028" s="35"/>
      <c r="I1028" s="36"/>
    </row>
    <row r="1029" spans="1:9" ht="15" customHeight="1" x14ac:dyDescent="0.3">
      <c r="A1029" s="30"/>
      <c r="B1029" s="31"/>
      <c r="C1029" s="33"/>
      <c r="D1029" s="33"/>
      <c r="E1029" s="29"/>
      <c r="F1029" s="34"/>
      <c r="G1029" s="37"/>
      <c r="H1029" s="35"/>
      <c r="I1029" s="36"/>
    </row>
    <row r="1030" spans="1:9" ht="15" customHeight="1" x14ac:dyDescent="0.3">
      <c r="A1030" s="30"/>
      <c r="B1030" s="31"/>
      <c r="C1030" s="33"/>
      <c r="D1030" s="33"/>
      <c r="E1030" s="29"/>
      <c r="F1030" s="34"/>
      <c r="G1030" s="37"/>
      <c r="H1030" s="35"/>
      <c r="I1030" s="36"/>
    </row>
    <row r="1031" spans="1:9" ht="15" customHeight="1" x14ac:dyDescent="0.3">
      <c r="A1031" s="30"/>
      <c r="B1031" s="31"/>
      <c r="C1031" s="33"/>
      <c r="D1031" s="33"/>
      <c r="E1031" s="29"/>
      <c r="F1031" s="34"/>
      <c r="G1031" s="37"/>
      <c r="H1031" s="35"/>
      <c r="I1031" s="36"/>
    </row>
    <row r="1032" spans="1:9" ht="15" customHeight="1" x14ac:dyDescent="0.3">
      <c r="A1032" s="30"/>
      <c r="B1032" s="31"/>
      <c r="C1032" s="33"/>
      <c r="D1032" s="33"/>
      <c r="E1032" s="29"/>
      <c r="F1032" s="34"/>
      <c r="G1032" s="37"/>
      <c r="H1032" s="35"/>
      <c r="I1032" s="36"/>
    </row>
    <row r="1033" spans="1:9" ht="15" customHeight="1" x14ac:dyDescent="0.3">
      <c r="A1033" s="30"/>
      <c r="B1033" s="31"/>
      <c r="C1033" s="33"/>
      <c r="D1033" s="33"/>
      <c r="E1033" s="29"/>
      <c r="F1033" s="34"/>
      <c r="G1033" s="37"/>
      <c r="H1033" s="35"/>
      <c r="I1033" s="36"/>
    </row>
    <row r="1034" spans="1:9" ht="15" customHeight="1" x14ac:dyDescent="0.3">
      <c r="A1034" s="30"/>
      <c r="B1034" s="31"/>
      <c r="C1034" s="33"/>
      <c r="D1034" s="33"/>
      <c r="E1034" s="29"/>
      <c r="F1034" s="34"/>
      <c r="G1034" s="37"/>
      <c r="H1034" s="35"/>
      <c r="I1034" s="36"/>
    </row>
    <row r="1035" spans="1:9" ht="15" customHeight="1" x14ac:dyDescent="0.3">
      <c r="A1035" s="30"/>
      <c r="B1035" s="31"/>
      <c r="C1035" s="33"/>
      <c r="D1035" s="33"/>
      <c r="E1035" s="29"/>
      <c r="F1035" s="34"/>
      <c r="G1035" s="37"/>
      <c r="H1035" s="35"/>
      <c r="I1035" s="36"/>
    </row>
    <row r="1036" spans="1:9" ht="15" customHeight="1" x14ac:dyDescent="0.3">
      <c r="A1036" s="30"/>
      <c r="B1036" s="31"/>
      <c r="C1036" s="33"/>
      <c r="D1036" s="33"/>
      <c r="E1036" s="29"/>
      <c r="F1036" s="34"/>
      <c r="G1036" s="37"/>
      <c r="H1036" s="35"/>
      <c r="I1036" s="36"/>
    </row>
    <row r="1037" spans="1:9" ht="15" customHeight="1" x14ac:dyDescent="0.3">
      <c r="A1037" s="30"/>
      <c r="B1037" s="31"/>
      <c r="C1037" s="33"/>
      <c r="D1037" s="33"/>
      <c r="E1037" s="29"/>
      <c r="F1037" s="34"/>
      <c r="G1037" s="37"/>
      <c r="H1037" s="35"/>
      <c r="I1037" s="36"/>
    </row>
    <row r="1038" spans="1:9" ht="15" customHeight="1" x14ac:dyDescent="0.3">
      <c r="A1038" s="30"/>
      <c r="B1038" s="31"/>
      <c r="C1038" s="33"/>
      <c r="D1038" s="33"/>
      <c r="E1038" s="29"/>
      <c r="F1038" s="34"/>
      <c r="G1038" s="37"/>
      <c r="H1038" s="35"/>
      <c r="I1038" s="36"/>
    </row>
    <row r="1039" spans="1:9" ht="15" customHeight="1" x14ac:dyDescent="0.3">
      <c r="A1039" s="30"/>
      <c r="B1039" s="31"/>
      <c r="C1039" s="33"/>
      <c r="D1039" s="33"/>
      <c r="E1039" s="29"/>
      <c r="F1039" s="34"/>
      <c r="G1039" s="37"/>
      <c r="H1039" s="35"/>
      <c r="I1039" s="36"/>
    </row>
    <row r="1040" spans="1:9" ht="15" customHeight="1" x14ac:dyDescent="0.3">
      <c r="A1040" s="30"/>
      <c r="B1040" s="31"/>
      <c r="C1040" s="33"/>
      <c r="D1040" s="33"/>
      <c r="E1040" s="29"/>
      <c r="F1040" s="34"/>
      <c r="G1040" s="37"/>
      <c r="H1040" s="35"/>
      <c r="I1040" s="36"/>
    </row>
    <row r="1041" spans="1:9" ht="15" customHeight="1" x14ac:dyDescent="0.3">
      <c r="A1041" s="30"/>
      <c r="B1041" s="31"/>
      <c r="C1041" s="33"/>
      <c r="D1041" s="33"/>
      <c r="E1041" s="29"/>
      <c r="F1041" s="34"/>
      <c r="G1041" s="37"/>
      <c r="H1041" s="35"/>
      <c r="I1041" s="36"/>
    </row>
    <row r="1042" spans="1:9" ht="15" customHeight="1" x14ac:dyDescent="0.3">
      <c r="A1042" s="30"/>
      <c r="B1042" s="31"/>
      <c r="C1042" s="33"/>
      <c r="D1042" s="33"/>
      <c r="E1042" s="29"/>
      <c r="F1042" s="34"/>
      <c r="G1042" s="37"/>
      <c r="H1042" s="35"/>
      <c r="I1042" s="36"/>
    </row>
    <row r="1043" spans="1:9" ht="15" customHeight="1" x14ac:dyDescent="0.3">
      <c r="A1043" s="30"/>
      <c r="B1043" s="31"/>
      <c r="C1043" s="33"/>
      <c r="D1043" s="33"/>
      <c r="E1043" s="29"/>
      <c r="F1043" s="34"/>
      <c r="G1043" s="37"/>
      <c r="H1043" s="35"/>
      <c r="I1043" s="36"/>
    </row>
    <row r="1044" spans="1:9" ht="15" customHeight="1" x14ac:dyDescent="0.3">
      <c r="A1044" s="30"/>
      <c r="B1044" s="31"/>
      <c r="C1044" s="33"/>
      <c r="D1044" s="33"/>
      <c r="E1044" s="29"/>
      <c r="F1044" s="34"/>
      <c r="G1044" s="37"/>
      <c r="H1044" s="35"/>
      <c r="I1044" s="36"/>
    </row>
    <row r="1045" spans="1:9" ht="15" customHeight="1" x14ac:dyDescent="0.3">
      <c r="A1045" s="30"/>
      <c r="B1045" s="31"/>
      <c r="C1045" s="33"/>
      <c r="D1045" s="33"/>
      <c r="E1045" s="29"/>
      <c r="F1045" s="34"/>
      <c r="G1045" s="37"/>
      <c r="H1045" s="35"/>
      <c r="I1045" s="36"/>
    </row>
    <row r="1046" spans="1:9" ht="15" customHeight="1" x14ac:dyDescent="0.3">
      <c r="A1046" s="30"/>
      <c r="B1046" s="31"/>
      <c r="C1046" s="33"/>
      <c r="D1046" s="33"/>
      <c r="E1046" s="29"/>
      <c r="F1046" s="34"/>
      <c r="G1046" s="37"/>
      <c r="H1046" s="35"/>
      <c r="I1046" s="36"/>
    </row>
    <row r="1047" spans="1:9" ht="15" customHeight="1" x14ac:dyDescent="0.3">
      <c r="A1047" s="30"/>
      <c r="B1047" s="31"/>
      <c r="C1047" s="33"/>
      <c r="D1047" s="33"/>
      <c r="E1047" s="29"/>
      <c r="F1047" s="34"/>
      <c r="G1047" s="37"/>
      <c r="H1047" s="35"/>
      <c r="I1047" s="36"/>
    </row>
    <row r="1048" spans="1:9" ht="15" customHeight="1" x14ac:dyDescent="0.3">
      <c r="A1048" s="30"/>
      <c r="B1048" s="31"/>
      <c r="C1048" s="33"/>
      <c r="D1048" s="33"/>
      <c r="E1048" s="29"/>
      <c r="F1048" s="34"/>
      <c r="G1048" s="37"/>
      <c r="H1048" s="35"/>
      <c r="I1048" s="36"/>
    </row>
    <row r="1049" spans="1:9" ht="15" customHeight="1" x14ac:dyDescent="0.3">
      <c r="A1049" s="30"/>
      <c r="B1049" s="31"/>
      <c r="C1049" s="33"/>
      <c r="D1049" s="33"/>
      <c r="E1049" s="29"/>
      <c r="F1049" s="34"/>
      <c r="G1049" s="37"/>
      <c r="H1049" s="35"/>
      <c r="I1049" s="36"/>
    </row>
    <row r="1050" spans="1:9" ht="15" customHeight="1" x14ac:dyDescent="0.3">
      <c r="A1050" s="30"/>
      <c r="B1050" s="31"/>
      <c r="C1050" s="33"/>
      <c r="D1050" s="33"/>
      <c r="E1050" s="29"/>
      <c r="F1050" s="34"/>
      <c r="G1050" s="37"/>
      <c r="H1050" s="35"/>
      <c r="I1050" s="36"/>
    </row>
    <row r="1051" spans="1:9" ht="15" customHeight="1" x14ac:dyDescent="0.3">
      <c r="A1051" s="30"/>
      <c r="B1051" s="31"/>
      <c r="C1051" s="33"/>
      <c r="D1051" s="33"/>
      <c r="E1051" s="29"/>
      <c r="F1051" s="34"/>
      <c r="G1051" s="37"/>
      <c r="H1051" s="35"/>
      <c r="I1051" s="36"/>
    </row>
    <row r="1052" spans="1:9" ht="15" customHeight="1" x14ac:dyDescent="0.3">
      <c r="A1052" s="30"/>
      <c r="B1052" s="31"/>
      <c r="C1052" s="33"/>
      <c r="D1052" s="33"/>
      <c r="E1052" s="29"/>
      <c r="F1052" s="34"/>
      <c r="G1052" s="37"/>
      <c r="H1052" s="35"/>
      <c r="I1052" s="36"/>
    </row>
    <row r="1053" spans="1:9" ht="15" customHeight="1" x14ac:dyDescent="0.3">
      <c r="A1053" s="30"/>
      <c r="B1053" s="31"/>
      <c r="C1053" s="33"/>
      <c r="D1053" s="33"/>
      <c r="E1053" s="29"/>
      <c r="F1053" s="34"/>
      <c r="G1053" s="37"/>
      <c r="H1053" s="35"/>
      <c r="I1053" s="36"/>
    </row>
    <row r="1054" spans="1:9" ht="15" customHeight="1" x14ac:dyDescent="0.3">
      <c r="A1054" s="30"/>
      <c r="B1054" s="31"/>
      <c r="C1054" s="33"/>
      <c r="D1054" s="33"/>
      <c r="E1054" s="29"/>
      <c r="F1054" s="34"/>
      <c r="G1054" s="37"/>
      <c r="H1054" s="35"/>
      <c r="I1054" s="36"/>
    </row>
    <row r="1055" spans="1:9" ht="15" customHeight="1" x14ac:dyDescent="0.3">
      <c r="A1055" s="30"/>
      <c r="B1055" s="31"/>
      <c r="C1055" s="33"/>
      <c r="D1055" s="33"/>
      <c r="E1055" s="29"/>
      <c r="F1055" s="34"/>
      <c r="G1055" s="37"/>
      <c r="H1055" s="35"/>
      <c r="I1055" s="36"/>
    </row>
    <row r="1056" spans="1:9" ht="15" customHeight="1" x14ac:dyDescent="0.3">
      <c r="A1056" s="30"/>
      <c r="B1056" s="31"/>
      <c r="C1056" s="33"/>
      <c r="D1056" s="33"/>
      <c r="E1056" s="29"/>
      <c r="F1056" s="34"/>
      <c r="G1056" s="37"/>
      <c r="H1056" s="35"/>
      <c r="I1056" s="36"/>
    </row>
    <row r="1057" spans="1:9" ht="15" customHeight="1" x14ac:dyDescent="0.3">
      <c r="A1057" s="30"/>
      <c r="B1057" s="31"/>
      <c r="C1057" s="33"/>
      <c r="D1057" s="33"/>
      <c r="E1057" s="29"/>
      <c r="F1057" s="34"/>
      <c r="G1057" s="37"/>
      <c r="H1057" s="35"/>
      <c r="I1057" s="36"/>
    </row>
    <row r="1058" spans="1:9" ht="15" customHeight="1" x14ac:dyDescent="0.3">
      <c r="A1058" s="30"/>
      <c r="B1058" s="31"/>
      <c r="C1058" s="33"/>
      <c r="D1058" s="33"/>
      <c r="E1058" s="29"/>
      <c r="F1058" s="34"/>
      <c r="G1058" s="37"/>
      <c r="H1058" s="35"/>
      <c r="I1058" s="36"/>
    </row>
    <row r="1059" spans="1:9" ht="15" customHeight="1" x14ac:dyDescent="0.3">
      <c r="A1059" s="30"/>
      <c r="B1059" s="31"/>
      <c r="C1059" s="33"/>
      <c r="D1059" s="33"/>
      <c r="E1059" s="29"/>
      <c r="F1059" s="34"/>
      <c r="G1059" s="37"/>
      <c r="H1059" s="35"/>
      <c r="I1059" s="36"/>
    </row>
    <row r="1060" spans="1:9" ht="15" customHeight="1" x14ac:dyDescent="0.3">
      <c r="A1060" s="30"/>
      <c r="B1060" s="31"/>
      <c r="C1060" s="33"/>
      <c r="D1060" s="33"/>
      <c r="E1060" s="29"/>
      <c r="F1060" s="34"/>
      <c r="G1060" s="37"/>
      <c r="H1060" s="35"/>
      <c r="I1060" s="36"/>
    </row>
    <row r="1061" spans="1:9" ht="15" customHeight="1" x14ac:dyDescent="0.3">
      <c r="A1061" s="30"/>
      <c r="B1061" s="31"/>
      <c r="C1061" s="33"/>
      <c r="D1061" s="33"/>
      <c r="E1061" s="29"/>
      <c r="F1061" s="34"/>
      <c r="G1061" s="37"/>
      <c r="H1061" s="35"/>
      <c r="I1061" s="36"/>
    </row>
    <row r="1062" spans="1:9" ht="15" customHeight="1" x14ac:dyDescent="0.3">
      <c r="A1062" s="30"/>
      <c r="B1062" s="31"/>
      <c r="C1062" s="33"/>
      <c r="D1062" s="33"/>
      <c r="E1062" s="29"/>
      <c r="F1062" s="34"/>
      <c r="G1062" s="37"/>
      <c r="H1062" s="35"/>
      <c r="I1062" s="36"/>
    </row>
    <row r="1063" spans="1:9" ht="15" customHeight="1" x14ac:dyDescent="0.3">
      <c r="A1063" s="30"/>
      <c r="B1063" s="31"/>
      <c r="C1063" s="33"/>
      <c r="D1063" s="33"/>
      <c r="E1063" s="29"/>
      <c r="F1063" s="34"/>
      <c r="G1063" s="37"/>
      <c r="H1063" s="35"/>
      <c r="I1063" s="36"/>
    </row>
    <row r="1064" spans="1:9" ht="15" customHeight="1" x14ac:dyDescent="0.3">
      <c r="A1064" s="30"/>
      <c r="B1064" s="31"/>
      <c r="C1064" s="33"/>
      <c r="D1064" s="33"/>
      <c r="E1064" s="29"/>
      <c r="F1064" s="34"/>
      <c r="G1064" s="37"/>
      <c r="H1064" s="35"/>
      <c r="I1064" s="36"/>
    </row>
    <row r="1065" spans="1:9" ht="15" customHeight="1" x14ac:dyDescent="0.3">
      <c r="A1065" s="30"/>
      <c r="B1065" s="31"/>
      <c r="C1065" s="33"/>
      <c r="D1065" s="33"/>
      <c r="E1065" s="29"/>
      <c r="F1065" s="34"/>
      <c r="G1065" s="37"/>
      <c r="H1065" s="35"/>
      <c r="I1065" s="36"/>
    </row>
    <row r="1066" spans="1:9" ht="15" customHeight="1" x14ac:dyDescent="0.3">
      <c r="A1066" s="30"/>
      <c r="B1066" s="31"/>
      <c r="C1066" s="33"/>
      <c r="D1066" s="33"/>
      <c r="E1066" s="29"/>
      <c r="F1066" s="34"/>
      <c r="G1066" s="37"/>
      <c r="H1066" s="35"/>
      <c r="I1066" s="36"/>
    </row>
    <row r="1067" spans="1:9" ht="15" customHeight="1" x14ac:dyDescent="0.3">
      <c r="A1067" s="30"/>
      <c r="B1067" s="31"/>
      <c r="C1067" s="33"/>
      <c r="D1067" s="33"/>
      <c r="E1067" s="29"/>
      <c r="F1067" s="34"/>
      <c r="G1067" s="37"/>
      <c r="H1067" s="35"/>
      <c r="I1067" s="36"/>
    </row>
    <row r="1068" spans="1:9" ht="15" customHeight="1" x14ac:dyDescent="0.3">
      <c r="A1068" s="30"/>
      <c r="B1068" s="31"/>
      <c r="C1068" s="33"/>
      <c r="D1068" s="33"/>
      <c r="E1068" s="29"/>
      <c r="F1068" s="34"/>
      <c r="G1068" s="37"/>
      <c r="H1068" s="35"/>
      <c r="I1068" s="36"/>
    </row>
  </sheetData>
  <autoFilter ref="A8:N1008" xr:uid="{0681C94A-3A20-48F9-BC70-EC586EDBDC28}">
    <filterColumn colId="7">
      <filters blank="1"/>
    </filterColumn>
    <filterColumn colId="9">
      <filters>
        <dateGroupItem year="2026" dateTimeGrouping="year"/>
      </filters>
    </filterColumn>
  </autoFilter>
  <mergeCells count="6">
    <mergeCell ref="A5:A6"/>
    <mergeCell ref="B5:B6"/>
    <mergeCell ref="C5:D6"/>
    <mergeCell ref="E5:I5"/>
    <mergeCell ref="A1:I1"/>
    <mergeCell ref="A2:I2"/>
  </mergeCells>
  <pageMargins left="0" right="0" top="0.75" bottom="0.75" header="0" footer="0"/>
  <pageSetup scale="9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T5.2022-MISA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2026-08-19T09:56:46Z</dcterms:modified>
</cp:coreProperties>
</file>