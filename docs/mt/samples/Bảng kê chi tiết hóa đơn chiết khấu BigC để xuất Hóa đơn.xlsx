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CHIEN\hgc\VĂN PHÒNG\CÁ NHÂN\BÍCH HẰNG\CÔNG NỢ KÊNH MT\BẢNG KÊ HÓA ĐƠN CHIẾT KHẤU\BẢNG KÊ HĐ CHIẾT KHẤU -EB\"/>
    </mc:Choice>
  </mc:AlternateContent>
  <xr:revisionPtr revIDLastSave="0" documentId="13_ncr:1_{68DF135E-A04C-4B3E-B33C-00F0F99B032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06.2026" sheetId="3" r:id="rId1"/>
  </sheets>
  <definedNames>
    <definedName name="_xlnm._FilterDatabase" localSheetId="0" hidden="1">'06.2026'!$A$15:$G$180</definedName>
    <definedName name="_xlnm.Print_Titles" localSheetId="0">'06.2026'!$15:$15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80" i="3" l="1"/>
  <c r="F180" i="3" s="1"/>
  <c r="D179" i="3"/>
  <c r="E33" i="3"/>
  <c r="F33" i="3" s="1"/>
  <c r="E32" i="3"/>
  <c r="F32" i="3" s="1"/>
  <c r="E31" i="3"/>
  <c r="F31" i="3" s="1"/>
  <c r="E30" i="3"/>
  <c r="F30" i="3" s="1"/>
  <c r="E29" i="3"/>
  <c r="F29" i="3" s="1"/>
  <c r="E28" i="3"/>
  <c r="F28" i="3" s="1"/>
  <c r="E27" i="3"/>
  <c r="F27" i="3" s="1"/>
  <c r="E26" i="3"/>
  <c r="F26" i="3" s="1"/>
  <c r="E25" i="3"/>
  <c r="F25" i="3" s="1"/>
  <c r="E49" i="3"/>
  <c r="F49" i="3" s="1"/>
  <c r="E48" i="3"/>
  <c r="F48" i="3" s="1"/>
  <c r="E47" i="3"/>
  <c r="F47" i="3" s="1"/>
  <c r="E46" i="3"/>
  <c r="F46" i="3" s="1"/>
  <c r="E45" i="3"/>
  <c r="F45" i="3" s="1"/>
  <c r="E44" i="3"/>
  <c r="F44" i="3" s="1"/>
  <c r="E43" i="3"/>
  <c r="F43" i="3" s="1"/>
  <c r="E42" i="3"/>
  <c r="F42" i="3" s="1"/>
  <c r="E41" i="3"/>
  <c r="F41" i="3" s="1"/>
  <c r="E40" i="3"/>
  <c r="F40" i="3" s="1"/>
  <c r="E39" i="3"/>
  <c r="F39" i="3" s="1"/>
  <c r="E38" i="3"/>
  <c r="F38" i="3" s="1"/>
  <c r="E71" i="3" l="1"/>
  <c r="F71" i="3" s="1"/>
  <c r="E70" i="3"/>
  <c r="F70" i="3" s="1"/>
  <c r="E69" i="3"/>
  <c r="F69" i="3" s="1"/>
  <c r="E68" i="3"/>
  <c r="F68" i="3" s="1"/>
  <c r="E67" i="3"/>
  <c r="F67" i="3" s="1"/>
  <c r="E66" i="3"/>
  <c r="F66" i="3" s="1"/>
  <c r="E65" i="3"/>
  <c r="F65" i="3" s="1"/>
  <c r="E64" i="3"/>
  <c r="F64" i="3" s="1"/>
  <c r="E63" i="3"/>
  <c r="F63" i="3" s="1"/>
  <c r="E62" i="3"/>
  <c r="F62" i="3" s="1"/>
  <c r="E61" i="3"/>
  <c r="F61" i="3" s="1"/>
  <c r="E60" i="3"/>
  <c r="F60" i="3" s="1"/>
  <c r="E59" i="3"/>
  <c r="F59" i="3" s="1"/>
  <c r="E16" i="3"/>
  <c r="E17" i="3"/>
  <c r="F17" i="3" s="1"/>
  <c r="E18" i="3"/>
  <c r="F18" i="3" s="1"/>
  <c r="E19" i="3"/>
  <c r="F19" i="3" s="1"/>
  <c r="E20" i="3"/>
  <c r="F20" i="3" s="1"/>
  <c r="E21" i="3"/>
  <c r="F21" i="3" s="1"/>
  <c r="E22" i="3"/>
  <c r="F22" i="3" s="1"/>
  <c r="E23" i="3"/>
  <c r="F23" i="3" s="1"/>
  <c r="E24" i="3"/>
  <c r="F24" i="3" s="1"/>
  <c r="E34" i="3"/>
  <c r="F34" i="3" s="1"/>
  <c r="E35" i="3"/>
  <c r="F35" i="3" s="1"/>
  <c r="E36" i="3"/>
  <c r="F36" i="3" s="1"/>
  <c r="E37" i="3"/>
  <c r="F37" i="3" s="1"/>
  <c r="E50" i="3"/>
  <c r="F50" i="3" s="1"/>
  <c r="E51" i="3"/>
  <c r="F51" i="3" s="1"/>
  <c r="E52" i="3"/>
  <c r="F52" i="3" s="1"/>
  <c r="E53" i="3"/>
  <c r="F53" i="3" s="1"/>
  <c r="E54" i="3"/>
  <c r="F54" i="3" s="1"/>
  <c r="E55" i="3"/>
  <c r="F55" i="3" s="1"/>
  <c r="E56" i="3"/>
  <c r="F56" i="3" s="1"/>
  <c r="E57" i="3"/>
  <c r="F57" i="3" s="1"/>
  <c r="E58" i="3"/>
  <c r="F58" i="3" s="1"/>
  <c r="E72" i="3"/>
  <c r="F72" i="3" s="1"/>
  <c r="E73" i="3"/>
  <c r="F73" i="3" s="1"/>
  <c r="E74" i="3"/>
  <c r="F74" i="3" s="1"/>
  <c r="E75" i="3"/>
  <c r="F75" i="3" s="1"/>
  <c r="E76" i="3"/>
  <c r="F76" i="3" s="1"/>
  <c r="E77" i="3"/>
  <c r="F77" i="3" s="1"/>
  <c r="E78" i="3"/>
  <c r="F78" i="3" s="1"/>
  <c r="E79" i="3"/>
  <c r="F79" i="3" s="1"/>
  <c r="E80" i="3"/>
  <c r="F80" i="3" s="1"/>
  <c r="E81" i="3"/>
  <c r="F81" i="3" s="1"/>
  <c r="E82" i="3"/>
  <c r="F82" i="3" s="1"/>
  <c r="E83" i="3"/>
  <c r="F83" i="3" s="1"/>
  <c r="E84" i="3"/>
  <c r="F84" i="3" s="1"/>
  <c r="E85" i="3"/>
  <c r="F85" i="3" s="1"/>
  <c r="E86" i="3"/>
  <c r="F86" i="3" s="1"/>
  <c r="E87" i="3"/>
  <c r="F87" i="3" s="1"/>
  <c r="E88" i="3"/>
  <c r="F88" i="3" s="1"/>
  <c r="E89" i="3"/>
  <c r="F89" i="3" s="1"/>
  <c r="E90" i="3"/>
  <c r="F90" i="3" s="1"/>
  <c r="E91" i="3"/>
  <c r="F91" i="3" s="1"/>
  <c r="E92" i="3"/>
  <c r="F92" i="3" s="1"/>
  <c r="E93" i="3"/>
  <c r="F93" i="3" s="1"/>
  <c r="E94" i="3"/>
  <c r="F94" i="3" s="1"/>
  <c r="E95" i="3"/>
  <c r="F95" i="3" s="1"/>
  <c r="E96" i="3"/>
  <c r="F96" i="3" s="1"/>
  <c r="E97" i="3"/>
  <c r="F97" i="3" s="1"/>
  <c r="E98" i="3"/>
  <c r="F98" i="3" s="1"/>
  <c r="E99" i="3"/>
  <c r="F99" i="3" s="1"/>
  <c r="E100" i="3"/>
  <c r="F100" i="3" s="1"/>
  <c r="E101" i="3"/>
  <c r="F101" i="3" s="1"/>
  <c r="E102" i="3"/>
  <c r="F102" i="3" s="1"/>
  <c r="E103" i="3"/>
  <c r="F103" i="3" s="1"/>
  <c r="E104" i="3"/>
  <c r="F104" i="3" s="1"/>
  <c r="E105" i="3"/>
  <c r="F105" i="3" s="1"/>
  <c r="E106" i="3"/>
  <c r="F106" i="3" s="1"/>
  <c r="E107" i="3"/>
  <c r="F107" i="3" s="1"/>
  <c r="E108" i="3"/>
  <c r="F108" i="3" s="1"/>
  <c r="E109" i="3"/>
  <c r="F109" i="3" s="1"/>
  <c r="E110" i="3"/>
  <c r="F110" i="3" s="1"/>
  <c r="E111" i="3"/>
  <c r="F111" i="3" s="1"/>
  <c r="E112" i="3"/>
  <c r="F112" i="3" s="1"/>
  <c r="E113" i="3"/>
  <c r="F113" i="3" s="1"/>
  <c r="E114" i="3"/>
  <c r="F114" i="3" s="1"/>
  <c r="E115" i="3"/>
  <c r="F115" i="3" s="1"/>
  <c r="E116" i="3"/>
  <c r="F116" i="3" s="1"/>
  <c r="E117" i="3"/>
  <c r="F117" i="3" s="1"/>
  <c r="E118" i="3"/>
  <c r="F118" i="3" s="1"/>
  <c r="E119" i="3"/>
  <c r="F119" i="3" s="1"/>
  <c r="E120" i="3"/>
  <c r="F120" i="3" s="1"/>
  <c r="E121" i="3"/>
  <c r="F121" i="3" s="1"/>
  <c r="E122" i="3"/>
  <c r="F122" i="3" s="1"/>
  <c r="E123" i="3"/>
  <c r="F123" i="3" s="1"/>
  <c r="E124" i="3"/>
  <c r="F124" i="3" s="1"/>
  <c r="E125" i="3"/>
  <c r="F125" i="3" s="1"/>
  <c r="E126" i="3"/>
  <c r="F126" i="3" s="1"/>
  <c r="E127" i="3"/>
  <c r="F127" i="3" s="1"/>
  <c r="E128" i="3"/>
  <c r="F128" i="3" s="1"/>
  <c r="E129" i="3"/>
  <c r="F129" i="3" s="1"/>
  <c r="E130" i="3"/>
  <c r="F130" i="3" s="1"/>
  <c r="E131" i="3"/>
  <c r="F131" i="3" s="1"/>
  <c r="E132" i="3"/>
  <c r="F132" i="3" s="1"/>
  <c r="E133" i="3"/>
  <c r="F133" i="3" s="1"/>
  <c r="E134" i="3"/>
  <c r="F134" i="3" s="1"/>
  <c r="E135" i="3"/>
  <c r="F135" i="3" s="1"/>
  <c r="E136" i="3"/>
  <c r="F136" i="3" s="1"/>
  <c r="E137" i="3"/>
  <c r="F137" i="3" s="1"/>
  <c r="E138" i="3"/>
  <c r="F138" i="3" s="1"/>
  <c r="E139" i="3"/>
  <c r="F139" i="3" s="1"/>
  <c r="E140" i="3"/>
  <c r="F140" i="3" s="1"/>
  <c r="E141" i="3"/>
  <c r="F141" i="3" s="1"/>
  <c r="E142" i="3"/>
  <c r="F142" i="3" s="1"/>
  <c r="E143" i="3"/>
  <c r="F143" i="3" s="1"/>
  <c r="E144" i="3"/>
  <c r="F144" i="3" s="1"/>
  <c r="E145" i="3"/>
  <c r="F145" i="3" s="1"/>
  <c r="E146" i="3"/>
  <c r="F146" i="3" s="1"/>
  <c r="E147" i="3"/>
  <c r="F147" i="3" s="1"/>
  <c r="E148" i="3"/>
  <c r="F148" i="3" s="1"/>
  <c r="E149" i="3"/>
  <c r="F149" i="3" s="1"/>
  <c r="E150" i="3"/>
  <c r="F150" i="3" s="1"/>
  <c r="E151" i="3"/>
  <c r="F151" i="3" s="1"/>
  <c r="E152" i="3"/>
  <c r="F152" i="3" s="1"/>
  <c r="E153" i="3"/>
  <c r="F153" i="3" s="1"/>
  <c r="E154" i="3"/>
  <c r="F154" i="3" s="1"/>
  <c r="E155" i="3"/>
  <c r="F155" i="3" s="1"/>
  <c r="E156" i="3"/>
  <c r="F156" i="3" s="1"/>
  <c r="E157" i="3"/>
  <c r="F157" i="3" s="1"/>
  <c r="E158" i="3"/>
  <c r="F158" i="3" s="1"/>
  <c r="E159" i="3"/>
  <c r="F159" i="3" s="1"/>
  <c r="E160" i="3"/>
  <c r="F160" i="3" s="1"/>
  <c r="E161" i="3"/>
  <c r="F161" i="3" s="1"/>
  <c r="E162" i="3"/>
  <c r="F162" i="3" s="1"/>
  <c r="E163" i="3"/>
  <c r="F163" i="3" s="1"/>
  <c r="E164" i="3"/>
  <c r="F164" i="3" s="1"/>
  <c r="E165" i="3"/>
  <c r="F165" i="3" s="1"/>
  <c r="E166" i="3"/>
  <c r="F166" i="3" s="1"/>
  <c r="E167" i="3"/>
  <c r="F167" i="3" s="1"/>
  <c r="E168" i="3"/>
  <c r="F168" i="3" s="1"/>
  <c r="E169" i="3"/>
  <c r="F169" i="3" s="1"/>
  <c r="E170" i="3"/>
  <c r="F170" i="3" s="1"/>
  <c r="E171" i="3"/>
  <c r="F171" i="3" s="1"/>
  <c r="E172" i="3"/>
  <c r="F172" i="3" s="1"/>
  <c r="E173" i="3"/>
  <c r="F173" i="3" s="1"/>
  <c r="E174" i="3"/>
  <c r="F174" i="3" s="1"/>
  <c r="E175" i="3"/>
  <c r="F175" i="3" s="1"/>
  <c r="E176" i="3"/>
  <c r="F176" i="3" s="1"/>
  <c r="E177" i="3"/>
  <c r="F177" i="3" s="1"/>
  <c r="E178" i="3"/>
  <c r="F178" i="3" s="1"/>
  <c r="F16" i="3" l="1"/>
  <c r="F179" i="3" s="1"/>
  <c r="E179" i="3"/>
</calcChain>
</file>

<file path=xl/sharedStrings.xml><?xml version="1.0" encoding="utf-8"?>
<sst xmlns="http://schemas.openxmlformats.org/spreadsheetml/2006/main" count="679" uniqueCount="389">
  <si>
    <r>
      <rPr>
        <sz val="12"/>
        <color rgb="FF000000"/>
        <rFont val="Times New Roman"/>
        <family val="1"/>
      </rPr>
      <t>Hai bên cùng nhau xác nhận chiết khấu các hóa đơn sau:</t>
    </r>
  </si>
  <si>
    <r>
      <rPr>
        <b/>
        <sz val="12"/>
        <color rgb="FF000000"/>
        <rFont val="Times New Roman"/>
        <family val="1"/>
      </rPr>
      <t>Số hóa đơn</t>
    </r>
  </si>
  <si>
    <r>
      <rPr>
        <b/>
        <sz val="12"/>
        <color rgb="FF000000"/>
        <rFont val="Times New Roman"/>
        <family val="1"/>
      </rPr>
      <t>Ký hiệu</t>
    </r>
  </si>
  <si>
    <r>
      <rPr>
        <b/>
        <sz val="12"/>
        <color rgb="FF000000"/>
        <rFont val="Times New Roman"/>
        <family val="1"/>
      </rPr>
      <t>Ngày</t>
    </r>
  </si>
  <si>
    <r>
      <rPr>
        <b/>
        <sz val="12"/>
        <color rgb="FF000000"/>
        <rFont val="Times New Roman"/>
        <family val="1"/>
      </rPr>
      <t>Tổng cộng thanh toán</t>
    </r>
  </si>
  <si>
    <r>
      <rPr>
        <b/>
        <sz val="12"/>
        <color rgb="FF000000"/>
        <rFont val="Times New Roman"/>
        <family val="1"/>
      </rPr>
      <t>Tổng Cộng:</t>
    </r>
  </si>
  <si>
    <t>CỘNG HÒA XÃ HỘI CHỦ NGHĨA VIỆT NAM</t>
  </si>
  <si>
    <t>Độc lập – Tự do – Hạnh phúc</t>
  </si>
  <si>
    <t>Đơn vị bán hàng: Công ty Cổ phần Hoàng Giang     </t>
  </si>
  <si>
    <t>Mã số thuế:</t>
  </si>
  <si>
    <t xml:space="preserve">Đại diện: </t>
  </si>
  <si>
    <t>Đại diện</t>
  </si>
  <si>
    <t>Chức vụ:</t>
  </si>
  <si>
    <t>Thành tiền trước thuế</t>
  </si>
  <si>
    <t>Ghi chú</t>
  </si>
  <si>
    <t>Tiền thuế GTGT</t>
  </si>
  <si>
    <t>Công ty Cổ phần Hoàng Giang
***</t>
  </si>
  <si>
    <t>BẢNG KÊ HÓA ĐƠN CHIẾT KHẤU</t>
  </si>
  <si>
    <t>0800280839</t>
  </si>
  <si>
    <r>
      <rPr>
        <b/>
        <sz val="12"/>
        <color rgb="FF000000"/>
        <rFont val="Times New Roman"/>
        <family val="1"/>
      </rPr>
      <t xml:space="preserve">Đơn vị mua hàng: </t>
    </r>
    <r>
      <rPr>
        <b/>
        <sz val="12"/>
        <color rgb="FF222222"/>
        <rFont val="Times New Roman"/>
        <family val="1"/>
      </rPr>
      <t>CÔNG TY TNHH DỊCH VỤ EB</t>
    </r>
  </si>
  <si>
    <t>Mã số thuế: 0105696842</t>
  </si>
  <si>
    <t>Địa chỉ: Số 163, Đường Phan Đăng Lưu, Phường Cầu Kiệu, TP Hồ Chí Minh, Việt Nam</t>
  </si>
  <si>
    <t>Địa chỉ: Đường An Lưu, Cụm CN Cẩm Thượng, Phường Thành Đông, Thành phố Hải Phòng, Việt Nam</t>
  </si>
  <si>
    <t>Số tiền chiết khấu 3.35%:</t>
  </si>
  <si>
    <r>
      <t xml:space="preserve">NGƯỜI LẬP BẢNG KÊ
</t>
    </r>
    <r>
      <rPr>
        <i/>
        <sz val="12"/>
        <color rgb="FF000000"/>
        <rFont val="Times New Roman"/>
        <family val="1"/>
      </rPr>
      <t>(Ký , đóng dấu, ghi rõ họ tên)</t>
    </r>
    <r>
      <rPr>
        <sz val="12"/>
        <color rgb="FF222222"/>
        <rFont val="Arial"/>
        <family val="2"/>
      </rPr>
      <t xml:space="preserve">
</t>
    </r>
    <r>
      <rPr>
        <sz val="12"/>
        <color rgb="FF000000"/>
        <rFont val="Times New Roman"/>
        <family val="1"/>
      </rPr>
      <t> </t>
    </r>
  </si>
  <si>
    <t>1C26THG</t>
  </si>
  <si>
    <t>K26TRT</t>
  </si>
  <si>
    <t>28/04/2026</t>
  </si>
  <si>
    <t>27/04/2026</t>
  </si>
  <si>
    <t>21/04/2026</t>
  </si>
  <si>
    <t>20/04/2026</t>
  </si>
  <si>
    <t>23/04/2026</t>
  </si>
  <si>
    <t>14/04/2026</t>
  </si>
  <si>
    <t>15/04/2026</t>
  </si>
  <si>
    <t>25/04/2026</t>
  </si>
  <si>
    <t>13/04/2026</t>
  </si>
  <si>
    <t>22/04/2026</t>
  </si>
  <si>
    <t>08/04/2026</t>
  </si>
  <si>
    <t>17/04/2026</t>
  </si>
  <si>
    <t>29/04/2026</t>
  </si>
  <si>
    <t>12/05/2026</t>
  </si>
  <si>
    <t>25/05/2026</t>
  </si>
  <si>
    <t>15/05/2026</t>
  </si>
  <si>
    <t>28/05/2026</t>
  </si>
  <si>
    <t>27/05/2026</t>
  </si>
  <si>
    <t>13/05/2026</t>
  </si>
  <si>
    <t>05/05/2026</t>
  </si>
  <si>
    <t>19/05/2026</t>
  </si>
  <si>
    <t>21/05/2026</t>
  </si>
  <si>
    <t>06/05/2026</t>
  </si>
  <si>
    <t>18/05/2026</t>
  </si>
  <si>
    <t>04/05/2026</t>
  </si>
  <si>
    <t>08/05/2026</t>
  </si>
  <si>
    <t>02/05/2026</t>
  </si>
  <si>
    <t>11/05/2026</t>
  </si>
  <si>
    <t>14/05/2026</t>
  </si>
  <si>
    <t>09/05/2026</t>
  </si>
  <si>
    <t>07/05/2026</t>
  </si>
  <si>
    <t>20/05/2026</t>
  </si>
  <si>
    <t>26/05/2026</t>
  </si>
  <si>
    <t>16/05/2026</t>
  </si>
  <si>
    <t>23/05/2026</t>
  </si>
  <si>
    <t>C26THG|4355</t>
  </si>
  <si>
    <t>C26THG|5056</t>
  </si>
  <si>
    <t>C26THG|4754</t>
  </si>
  <si>
    <t>C26THG|4750</t>
  </si>
  <si>
    <t>C26THG|4542</t>
  </si>
  <si>
    <t>C26THG|4352</t>
  </si>
  <si>
    <t>C26THG|4683</t>
  </si>
  <si>
    <t>C26THG|5044</t>
  </si>
  <si>
    <t>C26THG|4363</t>
  </si>
  <si>
    <t>C26THG|4537</t>
  </si>
  <si>
    <t>1C26THG|4451</t>
  </si>
  <si>
    <t>1C26THG|4674</t>
  </si>
  <si>
    <t>1C26THG|5246</t>
  </si>
  <si>
    <t>C26THG|4930</t>
  </si>
  <si>
    <t>C26THG|4513</t>
  </si>
  <si>
    <t>C26THG|5304</t>
  </si>
  <si>
    <t>C26THG|4361</t>
  </si>
  <si>
    <t>C26THG|4767</t>
  </si>
  <si>
    <t>C26THG|4769</t>
  </si>
  <si>
    <t>C26THG|5026</t>
  </si>
  <si>
    <t>C26THG|4358</t>
  </si>
  <si>
    <t>C26THG|4910</t>
  </si>
  <si>
    <t>C26THG|4762</t>
  </si>
  <si>
    <t>C26THG|5164</t>
  </si>
  <si>
    <t>C26THG|5065</t>
  </si>
  <si>
    <t>C26THG|4795</t>
  </si>
  <si>
    <t>C26THG|4356</t>
  </si>
  <si>
    <t>C26THG|4524</t>
  </si>
  <si>
    <t>C26THG|4354</t>
  </si>
  <si>
    <t>C26THG|5062</t>
  </si>
  <si>
    <t>C26THG|4380</t>
  </si>
  <si>
    <t>C26THG|4682</t>
  </si>
  <si>
    <t>C26THG|4753</t>
  </si>
  <si>
    <t>C26THG|4869</t>
  </si>
  <si>
    <t>C26THG|5045</t>
  </si>
  <si>
    <t>C26THG|3919</t>
  </si>
  <si>
    <t>C26THG|4329</t>
  </si>
  <si>
    <t>C26THG|4519</t>
  </si>
  <si>
    <t>C26THG|4746</t>
  </si>
  <si>
    <t>C26THG|4430</t>
  </si>
  <si>
    <t>C26THG|4511</t>
  </si>
  <si>
    <t>C26THG|4359</t>
  </si>
  <si>
    <t>C26THG|4504</t>
  </si>
  <si>
    <t>C26THG|4516</t>
  </si>
  <si>
    <t>C26THG|4442</t>
  </si>
  <si>
    <t>C26THG|4527</t>
  </si>
  <si>
    <t>C26THG|4853</t>
  </si>
  <si>
    <t>C26THG|5034</t>
  </si>
  <si>
    <t>C26THG|4431</t>
  </si>
  <si>
    <t>C26THG|4539</t>
  </si>
  <si>
    <t>C26THG|4776</t>
  </si>
  <si>
    <t>C26THG|5037</t>
  </si>
  <si>
    <t>C26THG|4543</t>
  </si>
  <si>
    <t>C26THG|4764</t>
  </si>
  <si>
    <t>C26THG|5244</t>
  </si>
  <si>
    <t>C26THG|5014</t>
  </si>
  <si>
    <t>C26THG|4508</t>
  </si>
  <si>
    <t>C26THG|4675</t>
  </si>
  <si>
    <t>C26THG|4852</t>
  </si>
  <si>
    <t>C26THG|4503</t>
  </si>
  <si>
    <t>C26THG|4961</t>
  </si>
  <si>
    <t>K26TRT|18881</t>
  </si>
  <si>
    <t>C26THG|4520</t>
  </si>
  <si>
    <t>C26THG|4521</t>
  </si>
  <si>
    <t>C26THG|4773</t>
  </si>
  <si>
    <t>C26THG|4327</t>
  </si>
  <si>
    <t>C26THG|4528</t>
  </si>
  <si>
    <t>K26TRT|17892</t>
  </si>
  <si>
    <t>C26THG|5038</t>
  </si>
  <si>
    <t>C26THG|4759</t>
  </si>
  <si>
    <t>C26THG|5041</t>
  </si>
  <si>
    <t>C26THG|4747</t>
  </si>
  <si>
    <t>C26THG|4348</t>
  </si>
  <si>
    <t>C26THG|5068</t>
  </si>
  <si>
    <t>C26THG|4512</t>
  </si>
  <si>
    <t>C26THG|4768</t>
  </si>
  <si>
    <t>C26THG|4510</t>
  </si>
  <si>
    <t>C26THG|4851</t>
  </si>
  <si>
    <t>C26THG|5305</t>
  </si>
  <si>
    <t>K26TRT|17930</t>
  </si>
  <si>
    <t>C26THG|4833</t>
  </si>
  <si>
    <t>C26THG|4381</t>
  </si>
  <si>
    <t>C26THG|4357</t>
  </si>
  <si>
    <t>C26THG|4523</t>
  </si>
  <si>
    <t>C26THG|5049</t>
  </si>
  <si>
    <t>C26THG|5054</t>
  </si>
  <si>
    <t>C26THG|4755</t>
  </si>
  <si>
    <t>C26THG|5059</t>
  </si>
  <si>
    <t>C26THG|4325</t>
  </si>
  <si>
    <t>C26THG|4756</t>
  </si>
  <si>
    <t>C26THG|5058</t>
  </si>
  <si>
    <t>C26THG|4526</t>
  </si>
  <si>
    <t>C26THG|5048</t>
  </si>
  <si>
    <t>C26THG|5043</t>
  </si>
  <si>
    <t>C26THG|4351</t>
  </si>
  <si>
    <t>C26THG|4752</t>
  </si>
  <si>
    <t>C26THG|4760</t>
  </si>
  <si>
    <t>C26THG|4757</t>
  </si>
  <si>
    <t>C26THG|5067</t>
  </si>
  <si>
    <t>C26THG|4509</t>
  </si>
  <si>
    <t>C26THG|5024</t>
  </si>
  <si>
    <t>C26THG|5025</t>
  </si>
  <si>
    <t>C26THG|5047</t>
  </si>
  <si>
    <t>C26THG|4502</t>
  </si>
  <si>
    <t>C26THG|5053</t>
  </si>
  <si>
    <t>C26THG|5057</t>
  </si>
  <si>
    <t>C26THG|4529</t>
  </si>
  <si>
    <t>C26THG|5060</t>
  </si>
  <si>
    <t>C26THG|5061</t>
  </si>
  <si>
    <t>C26THG|4534</t>
  </si>
  <si>
    <t>C26THG|4541</t>
  </si>
  <si>
    <t>C26THG|5046</t>
  </si>
  <si>
    <t>C26THG|4749</t>
  </si>
  <si>
    <t>C26THG|5039</t>
  </si>
  <si>
    <t>C26THG|5035</t>
  </si>
  <si>
    <t>C26THG|4345</t>
  </si>
  <si>
    <t>C26THG|4518</t>
  </si>
  <si>
    <t>C26THG|4347</t>
  </si>
  <si>
    <t>C26THG|4515</t>
  </si>
  <si>
    <t>C26THG|5063</t>
  </si>
  <si>
    <t>C26THG|4330</t>
  </si>
  <si>
    <t>C26THG|4681</t>
  </si>
  <si>
    <t>C26THG|5242</t>
  </si>
  <si>
    <t>C26THG|4989</t>
  </si>
  <si>
    <t>C26THG|4788</t>
  </si>
  <si>
    <t>C26THG|5051</t>
  </si>
  <si>
    <t>C26THG|4525</t>
  </si>
  <si>
    <t>1C26THG|5303</t>
  </si>
  <si>
    <t>C26THG|5040</t>
  </si>
  <si>
    <t>C26THG|4346</t>
  </si>
  <si>
    <t>C26THG|4536</t>
  </si>
  <si>
    <t>C26THG|4535</t>
  </si>
  <si>
    <t>C26THG|4532</t>
  </si>
  <si>
    <t>1C26THG|4517</t>
  </si>
  <si>
    <t>C26THG|5243</t>
  </si>
  <si>
    <t>C26THG|5069</t>
  </si>
  <si>
    <t>C26THG|4328</t>
  </si>
  <si>
    <t>C26THG|5241</t>
  </si>
  <si>
    <t>C26THG|4633</t>
  </si>
  <si>
    <t>C26THG|4765</t>
  </si>
  <si>
    <t>C26THG|4530</t>
  </si>
  <si>
    <t>C26THG|4326</t>
  </si>
  <si>
    <t>C26THG|4963</t>
  </si>
  <si>
    <t>C26THG|4353</t>
  </si>
  <si>
    <t>C26THG|4751</t>
  </si>
  <si>
    <t>C26THG|4676</t>
  </si>
  <si>
    <t>K26TRT|20203</t>
  </si>
  <si>
    <t>C26THG|4350</t>
  </si>
  <si>
    <t>C26THG|4538</t>
  </si>
  <si>
    <t>C26THG|4775</t>
  </si>
  <si>
    <t>C26THG|4774</t>
  </si>
  <si>
    <t>C26THG|5036</t>
  </si>
  <si>
    <t>K26TRT|19698</t>
  </si>
  <si>
    <t>C26THG|4364</t>
  </si>
  <si>
    <t>C26THG|4531</t>
  </si>
  <si>
    <t>C26THG|4748</t>
  </si>
  <si>
    <t>C26THG|4360</t>
  </si>
  <si>
    <t>C26THG|5245</t>
  </si>
  <si>
    <t>C26THG|5306</t>
  </si>
  <si>
    <t>C26THG|4761</t>
  </si>
  <si>
    <t>C26THG|5050</t>
  </si>
  <si>
    <t>C26THG|4522</t>
  </si>
  <si>
    <t>C26THG|5052</t>
  </si>
  <si>
    <t>2622056296191</t>
  </si>
  <si>
    <t>2625056764742</t>
  </si>
  <si>
    <t>2624056617818</t>
  </si>
  <si>
    <t>2624056599833</t>
  </si>
  <si>
    <t>2623056448855</t>
  </si>
  <si>
    <t>2622056307972</t>
  </si>
  <si>
    <t>2623056446450</t>
  </si>
  <si>
    <t>2625056776764</t>
  </si>
  <si>
    <t>2622056291067</t>
  </si>
  <si>
    <t>2623056467685</t>
  </si>
  <si>
    <t>2618055776272</t>
  </si>
  <si>
    <t>2622056342674</t>
  </si>
  <si>
    <t>2625056769368</t>
  </si>
  <si>
    <t>2624056693185</t>
  </si>
  <si>
    <t>2623056456922</t>
  </si>
  <si>
    <t>2625056768857</t>
  </si>
  <si>
    <t>2622056300814</t>
  </si>
  <si>
    <t>2624056604891</t>
  </si>
  <si>
    <t>2624056613025</t>
  </si>
  <si>
    <t>2625056768345</t>
  </si>
  <si>
    <t>2622056307054</t>
  </si>
  <si>
    <t>2624056665580</t>
  </si>
  <si>
    <t>2624056612915</t>
  </si>
  <si>
    <t>2625056769205</t>
  </si>
  <si>
    <t>2625056766922</t>
  </si>
  <si>
    <t>2624056589551</t>
  </si>
  <si>
    <t>2622056309953</t>
  </si>
  <si>
    <t>2623056455485</t>
  </si>
  <si>
    <t>2622056297024</t>
  </si>
  <si>
    <t>2625056769044</t>
  </si>
  <si>
    <t>2622056284409</t>
  </si>
  <si>
    <t>2623056451649</t>
  </si>
  <si>
    <t>2624056616219</t>
  </si>
  <si>
    <t>2624056655147</t>
  </si>
  <si>
    <t>2625056759025</t>
  </si>
  <si>
    <t>2620055970713</t>
  </si>
  <si>
    <t>2621056169839</t>
  </si>
  <si>
    <t>2623056445647</t>
  </si>
  <si>
    <t>2624056594367</t>
  </si>
  <si>
    <t>2620056004543</t>
  </si>
  <si>
    <t>2623056456448</t>
  </si>
  <si>
    <t>2622056298518</t>
  </si>
  <si>
    <t>2623056464376</t>
  </si>
  <si>
    <t>2623056462396</t>
  </si>
  <si>
    <t>2622056355772</t>
  </si>
  <si>
    <t>2623056451288</t>
  </si>
  <si>
    <t>2622056388378</t>
  </si>
  <si>
    <t>2625056760047</t>
  </si>
  <si>
    <t>2621056148908</t>
  </si>
  <si>
    <t>2623056465147</t>
  </si>
  <si>
    <t>2624056596975</t>
  </si>
  <si>
    <t>2625056758718</t>
  </si>
  <si>
    <t>2623056444761</t>
  </si>
  <si>
    <t>2624056614251</t>
  </si>
  <si>
    <t>2623056508918</t>
  </si>
  <si>
    <t>2625056775476</t>
  </si>
  <si>
    <t>2623056456444</t>
  </si>
  <si>
    <t>2623056454500</t>
  </si>
  <si>
    <t>2623056462775</t>
  </si>
  <si>
    <t>2623056454873</t>
  </si>
  <si>
    <t>2624056602898</t>
  </si>
  <si>
    <t>0000028971172</t>
  </si>
  <si>
    <t>2623056462597</t>
  </si>
  <si>
    <t>2623056452476</t>
  </si>
  <si>
    <t>2624056610585</t>
  </si>
  <si>
    <t>2621056155612</t>
  </si>
  <si>
    <t>2623056462073</t>
  </si>
  <si>
    <t>0000028969064</t>
  </si>
  <si>
    <t>2625056758877</t>
  </si>
  <si>
    <t>2624056618140</t>
  </si>
  <si>
    <t>2625056758335</t>
  </si>
  <si>
    <t>2624056595293</t>
  </si>
  <si>
    <t>2622056288943</t>
  </si>
  <si>
    <t>2625056769479</t>
  </si>
  <si>
    <t>2623056466493</t>
  </si>
  <si>
    <t>2624056611376</t>
  </si>
  <si>
    <t>2623056464917</t>
  </si>
  <si>
    <t>2623056454941</t>
  </si>
  <si>
    <t>2625056766509</t>
  </si>
  <si>
    <t>0000028966816</t>
  </si>
  <si>
    <t>2624056603948</t>
  </si>
  <si>
    <t>2621056262554</t>
  </si>
  <si>
    <t>2622056307545</t>
  </si>
  <si>
    <t>2623056452607</t>
  </si>
  <si>
    <t>2625056773133</t>
  </si>
  <si>
    <t>2625056778698</t>
  </si>
  <si>
    <t>2624056602187</t>
  </si>
  <si>
    <t>2625056764627</t>
  </si>
  <si>
    <t>2621056141665</t>
  </si>
  <si>
    <t>2624056617857</t>
  </si>
  <si>
    <t>2625056779102</t>
  </si>
  <si>
    <t>2623056456746</t>
  </si>
  <si>
    <t>2625056778711</t>
  </si>
  <si>
    <t>2625056780187</t>
  </si>
  <si>
    <t>2622056291653</t>
  </si>
  <si>
    <t>2624056597268</t>
  </si>
  <si>
    <t>2624056596855</t>
  </si>
  <si>
    <t>2624056595089</t>
  </si>
  <si>
    <t>2625056767299</t>
  </si>
  <si>
    <t>2623056463466</t>
  </si>
  <si>
    <t>2625056776730</t>
  </si>
  <si>
    <t>2625056766847</t>
  </si>
  <si>
    <t>2625056765515</t>
  </si>
  <si>
    <t>2623056451696</t>
  </si>
  <si>
    <t>2625056767763</t>
  </si>
  <si>
    <t>2625056768287</t>
  </si>
  <si>
    <t>2623056461625</t>
  </si>
  <si>
    <t>2625056776137</t>
  </si>
  <si>
    <t>2625056764209</t>
  </si>
  <si>
    <t>2623056449946</t>
  </si>
  <si>
    <t>2623056467204</t>
  </si>
  <si>
    <t>2625056775869</t>
  </si>
  <si>
    <t>2624056617865</t>
  </si>
  <si>
    <t>2625056759472</t>
  </si>
  <si>
    <t>2625056759269</t>
  </si>
  <si>
    <t>2622056290913</t>
  </si>
  <si>
    <t>2623056446349</t>
  </si>
  <si>
    <t>2622056289486</t>
  </si>
  <si>
    <t>2623056457152</t>
  </si>
  <si>
    <t>2625056779963</t>
  </si>
  <si>
    <t>2621056159434</t>
  </si>
  <si>
    <t>2623056464554</t>
  </si>
  <si>
    <t>2624056603791</t>
  </si>
  <si>
    <t>2625056752579</t>
  </si>
  <si>
    <t>2624056601846</t>
  </si>
  <si>
    <t>2625056768701</t>
  </si>
  <si>
    <t>2623056451487</t>
  </si>
  <si>
    <t>2625056775769</t>
  </si>
  <si>
    <t>2625056758790</t>
  </si>
  <si>
    <t>2622056291163</t>
  </si>
  <si>
    <t>2623056446746</t>
  </si>
  <si>
    <t>2623056446716</t>
  </si>
  <si>
    <t>2623056444179</t>
  </si>
  <si>
    <t>2623056457312</t>
  </si>
  <si>
    <t>2624056617743</t>
  </si>
  <si>
    <t>2625056767373</t>
  </si>
  <si>
    <t>2621056156324</t>
  </si>
  <si>
    <t>2624056617013</t>
  </si>
  <si>
    <t>2623056467111</t>
  </si>
  <si>
    <t>2624056600644</t>
  </si>
  <si>
    <t>2623056455746</t>
  </si>
  <si>
    <t>2621056163198</t>
  </si>
  <si>
    <t>2623056507635</t>
  </si>
  <si>
    <t>2622056309643</t>
  </si>
  <si>
    <t>2624056617257</t>
  </si>
  <si>
    <t>2622056307483</t>
  </si>
  <si>
    <t>0000028975231</t>
  </si>
  <si>
    <t>2622056291420</t>
  </si>
  <si>
    <t>2623056446875</t>
  </si>
  <si>
    <t>2624056596618</t>
  </si>
  <si>
    <t>2624056596948</t>
  </si>
  <si>
    <t>2625056758918</t>
  </si>
  <si>
    <t>0000028975094</t>
  </si>
  <si>
    <t>2622056289354</t>
  </si>
  <si>
    <t>2623056443854</t>
  </si>
  <si>
    <t>2624056594403</t>
  </si>
  <si>
    <t>2622056297441</t>
  </si>
  <si>
    <t>2624056604456</t>
  </si>
  <si>
    <t>2625056778231</t>
  </si>
  <si>
    <t>2624056603568</t>
  </si>
  <si>
    <t>2625056764460</t>
  </si>
  <si>
    <t>2623056456194</t>
  </si>
  <si>
    <t>2625056767974</t>
  </si>
  <si>
    <r>
      <t xml:space="preserve">Số: 261/BKCK/HG-MT
</t>
    </r>
    <r>
      <rPr>
        <sz val="12"/>
        <color rgb="FF000000"/>
        <rFont val="Times New Roman"/>
        <family val="1"/>
      </rPr>
      <t>Ngày 06 tháng 07 năm 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</si>
</sst>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name val="Calibri"/>
    </font>
    <font>
      <sz val="11"/>
      <name val="Calibri"/>
      <family val="2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rgb="FF222222"/>
      <name val="Arial"/>
      <family val="2"/>
    </font>
    <font>
      <i/>
      <sz val="12"/>
      <color rgb="FF000000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6"/>
      <color rgb="FF222222"/>
      <name val="Times New Roman"/>
      <family val="1"/>
    </font>
    <font>
      <b/>
      <sz val="12"/>
      <color rgb="FF222222"/>
      <name val="Times New Roman"/>
      <family val="1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43" fontId="10" fillId="0" borderId="0" applyFont="0" applyFill="0" applyBorder="0" applyAlignment="0" applyProtection="0"/>
  </cellStyleXfs>
  <cellXfs count="28">
    <xf numFmtId="0" fontId="0" fillId="0" borderId="0" xfId="0"/>
    <xf numFmtId="0" fontId="1" fillId="0" borderId="0" xfId="0" applyFont="1"/>
    <xf numFmtId="0" fontId="3" fillId="0" borderId="0" xfId="0" applyFont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2" fillId="2" borderId="6" xfId="0" applyFont="1" applyFill="1" applyBorder="1" applyAlignment="1">
      <alignment horizontal="right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3" fillId="0" borderId="0" xfId="0" quotePrefix="1" applyFont="1" applyAlignment="1">
      <alignment horizontal="left" vertical="top" wrapText="1"/>
    </xf>
    <xf numFmtId="164" fontId="2" fillId="2" borderId="1" xfId="1" applyNumberFormat="1" applyFont="1" applyFill="1" applyBorder="1" applyAlignment="1">
      <alignment horizontal="center" vertical="center" wrapText="1"/>
    </xf>
    <xf numFmtId="164" fontId="4" fillId="2" borderId="1" xfId="1" applyNumberFormat="1" applyFont="1" applyFill="1" applyBorder="1" applyAlignment="1">
      <alignment horizontal="center" vertical="center" wrapText="1"/>
    </xf>
    <xf numFmtId="164" fontId="1" fillId="0" borderId="0" xfId="0" applyNumberFormat="1" applyFont="1"/>
    <xf numFmtId="0" fontId="2" fillId="0" borderId="0" xfId="0" applyFont="1" applyAlignment="1">
      <alignment horizontal="left" vertical="top" wrapText="1"/>
    </xf>
    <xf numFmtId="0" fontId="6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top" wrapText="1"/>
    </xf>
    <xf numFmtId="0" fontId="2" fillId="2" borderId="2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  <xf numFmtId="0" fontId="2" fillId="2" borderId="4" xfId="0" applyFont="1" applyFill="1" applyBorder="1" applyAlignment="1">
      <alignment horizontal="right" vertical="center" wrapText="1"/>
    </xf>
    <xf numFmtId="0" fontId="2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649432</xdr:colOff>
      <xdr:row>2</xdr:row>
      <xdr:rowOff>8659</xdr:rowOff>
    </xdr:from>
    <xdr:to>
      <xdr:col>6</xdr:col>
      <xdr:colOff>207819</xdr:colOff>
      <xdr:row>2</xdr:row>
      <xdr:rowOff>8659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5F8FD3EF-2A45-4B85-A8D8-FC45705F7DFC}"/>
            </a:ext>
          </a:extLst>
        </xdr:cNvPr>
        <xdr:cNvCxnSpPr/>
      </xdr:nvCxnSpPr>
      <xdr:spPr>
        <a:xfrm>
          <a:off x="3705052" y="420139"/>
          <a:ext cx="815687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876CE-C04E-4E33-8A42-AA3EC3A93D7F}">
  <dimension ref="A1:G186"/>
  <sheetViews>
    <sheetView tabSelected="1" topLeftCell="A178" zoomScale="120" zoomScaleNormal="120" workbookViewId="0">
      <selection activeCell="I183" sqref="I183"/>
    </sheetView>
  </sheetViews>
  <sheetFormatPr defaultRowHeight="14.4" x14ac:dyDescent="0.3"/>
  <cols>
    <col min="1" max="1" width="17.44140625" style="1" customWidth="1"/>
    <col min="2" max="2" width="12.33203125" style="1" customWidth="1"/>
    <col min="3" max="3" width="12.44140625" style="1" customWidth="1"/>
    <col min="4" max="4" width="16.109375" style="1" customWidth="1"/>
    <col min="5" max="5" width="14.77734375" style="1" customWidth="1"/>
    <col min="6" max="6" width="16" style="1" customWidth="1"/>
    <col min="7" max="7" width="19.77734375" style="1" customWidth="1"/>
    <col min="8" max="8" width="23.88671875" customWidth="1"/>
  </cols>
  <sheetData>
    <row r="1" spans="1:7" s="1" customFormat="1" ht="14.4" customHeight="1" x14ac:dyDescent="0.3">
      <c r="A1" s="17" t="s">
        <v>16</v>
      </c>
      <c r="B1" s="17"/>
      <c r="C1" s="17"/>
      <c r="D1" s="8"/>
      <c r="E1" s="18" t="s">
        <v>6</v>
      </c>
      <c r="F1" s="18"/>
      <c r="G1" s="18"/>
    </row>
    <row r="2" spans="1:7" s="1" customFormat="1" ht="18" customHeight="1" x14ac:dyDescent="0.3">
      <c r="A2" s="17"/>
      <c r="B2" s="17"/>
      <c r="C2" s="17"/>
      <c r="D2" s="8"/>
      <c r="E2" s="18" t="s">
        <v>7</v>
      </c>
      <c r="F2" s="18"/>
      <c r="G2" s="18"/>
    </row>
    <row r="3" spans="1:7" ht="9.6" customHeight="1" x14ac:dyDescent="0.3">
      <c r="A3" s="6"/>
      <c r="B3" s="6"/>
      <c r="C3" s="6"/>
      <c r="D3" s="6"/>
      <c r="E3" s="7"/>
      <c r="F3" s="7"/>
      <c r="G3" s="7"/>
    </row>
    <row r="4" spans="1:7" ht="28.2" customHeight="1" x14ac:dyDescent="0.3">
      <c r="A4" s="19" t="s">
        <v>17</v>
      </c>
      <c r="B4" s="19"/>
      <c r="C4" s="19"/>
      <c r="D4" s="19"/>
      <c r="E4" s="19"/>
      <c r="F4" s="19"/>
      <c r="G4" s="19"/>
    </row>
    <row r="5" spans="1:7" ht="30.6" customHeight="1" x14ac:dyDescent="0.3">
      <c r="A5" s="20" t="s">
        <v>388</v>
      </c>
      <c r="B5" s="20"/>
      <c r="C5" s="20"/>
      <c r="D5" s="20"/>
      <c r="E5" s="20"/>
      <c r="F5" s="20"/>
      <c r="G5" s="20"/>
    </row>
    <row r="6" spans="1:7" ht="19.2" customHeight="1" x14ac:dyDescent="0.3">
      <c r="A6" s="16" t="s">
        <v>8</v>
      </c>
      <c r="B6" s="16"/>
      <c r="C6" s="16"/>
      <c r="D6" s="16"/>
      <c r="E6" s="16"/>
      <c r="F6" s="16"/>
      <c r="G6" s="16"/>
    </row>
    <row r="7" spans="1:7" ht="19.2" customHeight="1" x14ac:dyDescent="0.3">
      <c r="A7" s="2" t="s">
        <v>9</v>
      </c>
      <c r="B7" s="12" t="s">
        <v>18</v>
      </c>
      <c r="C7" s="2"/>
      <c r="D7" s="2"/>
      <c r="E7" s="2"/>
      <c r="F7" s="2"/>
      <c r="G7" s="2"/>
    </row>
    <row r="8" spans="1:7" ht="19.2" customHeight="1" x14ac:dyDescent="0.3">
      <c r="A8" s="25" t="s">
        <v>22</v>
      </c>
      <c r="B8" s="25"/>
      <c r="C8" s="25"/>
      <c r="D8" s="25"/>
      <c r="E8" s="25"/>
      <c r="F8" s="25"/>
      <c r="G8" s="25"/>
    </row>
    <row r="9" spans="1:7" ht="19.2" customHeight="1" x14ac:dyDescent="0.3">
      <c r="A9" s="2" t="s">
        <v>10</v>
      </c>
      <c r="B9" s="2"/>
      <c r="C9" s="2"/>
      <c r="D9" s="2"/>
      <c r="E9" s="2" t="s">
        <v>12</v>
      </c>
      <c r="F9" s="2"/>
      <c r="G9" s="2"/>
    </row>
    <row r="10" spans="1:7" ht="19.2" customHeight="1" x14ac:dyDescent="0.3">
      <c r="A10" s="26" t="s">
        <v>19</v>
      </c>
      <c r="B10" s="26"/>
      <c r="C10" s="26"/>
      <c r="D10" s="26"/>
      <c r="E10" s="26"/>
      <c r="F10" s="26"/>
      <c r="G10" s="26"/>
    </row>
    <row r="11" spans="1:7" ht="19.2" customHeight="1" x14ac:dyDescent="0.3">
      <c r="A11" s="25" t="s">
        <v>20</v>
      </c>
      <c r="B11" s="25"/>
      <c r="C11" s="25"/>
      <c r="D11" s="25"/>
      <c r="E11" s="25"/>
      <c r="F11" s="25"/>
      <c r="G11" s="25"/>
    </row>
    <row r="12" spans="1:7" ht="19.2" customHeight="1" x14ac:dyDescent="0.3">
      <c r="A12" s="25" t="s">
        <v>21</v>
      </c>
      <c r="B12" s="25"/>
      <c r="C12" s="25"/>
      <c r="D12" s="25"/>
      <c r="E12" s="25"/>
      <c r="F12" s="25"/>
      <c r="G12" s="25"/>
    </row>
    <row r="13" spans="1:7" ht="19.2" customHeight="1" x14ac:dyDescent="0.3">
      <c r="A13" s="2" t="s">
        <v>11</v>
      </c>
      <c r="B13" s="2"/>
      <c r="C13" s="2"/>
      <c r="D13" s="2"/>
      <c r="E13" s="2" t="s">
        <v>12</v>
      </c>
      <c r="F13" s="2"/>
      <c r="G13" s="2"/>
    </row>
    <row r="14" spans="1:7" ht="19.2" customHeight="1" x14ac:dyDescent="0.3">
      <c r="A14" s="27" t="s">
        <v>0</v>
      </c>
      <c r="B14" s="27"/>
      <c r="C14" s="27"/>
      <c r="D14" s="27"/>
      <c r="E14" s="27"/>
      <c r="F14" s="27"/>
      <c r="G14" s="27"/>
    </row>
    <row r="15" spans="1:7" ht="31.8" customHeight="1" x14ac:dyDescent="0.3">
      <c r="A15" s="3" t="s">
        <v>1</v>
      </c>
      <c r="B15" s="3" t="s">
        <v>2</v>
      </c>
      <c r="C15" s="3" t="s">
        <v>3</v>
      </c>
      <c r="D15" s="3" t="s">
        <v>13</v>
      </c>
      <c r="E15" s="3" t="s">
        <v>15</v>
      </c>
      <c r="F15" s="3" t="s">
        <v>4</v>
      </c>
      <c r="G15" s="3" t="s">
        <v>14</v>
      </c>
    </row>
    <row r="16" spans="1:7" ht="15.75" customHeight="1" x14ac:dyDescent="0.3">
      <c r="A16" s="4" t="s">
        <v>62</v>
      </c>
      <c r="B16" s="5" t="s">
        <v>25</v>
      </c>
      <c r="C16" s="5" t="s">
        <v>39</v>
      </c>
      <c r="D16" s="14">
        <v>2910000</v>
      </c>
      <c r="E16" s="14">
        <f t="shared" ref="E16:E20" si="0">+D16*0.08</f>
        <v>232800</v>
      </c>
      <c r="F16" s="14">
        <f t="shared" ref="F16:F20" si="1">+E16+D16</f>
        <v>3142800</v>
      </c>
      <c r="G16" s="5" t="s">
        <v>225</v>
      </c>
    </row>
    <row r="17" spans="1:7" ht="15.75" customHeight="1" x14ac:dyDescent="0.3">
      <c r="A17" s="4" t="s">
        <v>63</v>
      </c>
      <c r="B17" s="5" t="s">
        <v>25</v>
      </c>
      <c r="C17" s="5" t="s">
        <v>40</v>
      </c>
      <c r="D17" s="14">
        <v>3030000</v>
      </c>
      <c r="E17" s="14">
        <f t="shared" si="0"/>
        <v>242400</v>
      </c>
      <c r="F17" s="14">
        <f t="shared" si="1"/>
        <v>3272400</v>
      </c>
      <c r="G17" s="5" t="s">
        <v>226</v>
      </c>
    </row>
    <row r="18" spans="1:7" ht="15.75" customHeight="1" x14ac:dyDescent="0.3">
      <c r="A18" s="4" t="s">
        <v>64</v>
      </c>
      <c r="B18" s="5" t="s">
        <v>25</v>
      </c>
      <c r="C18" s="5" t="s">
        <v>41</v>
      </c>
      <c r="D18" s="14">
        <v>8805000</v>
      </c>
      <c r="E18" s="14">
        <f t="shared" si="0"/>
        <v>704400</v>
      </c>
      <c r="F18" s="14">
        <f t="shared" si="1"/>
        <v>9509400</v>
      </c>
      <c r="G18" s="5" t="s">
        <v>227</v>
      </c>
    </row>
    <row r="19" spans="1:7" ht="15.75" customHeight="1" x14ac:dyDescent="0.3">
      <c r="A19" s="4" t="s">
        <v>65</v>
      </c>
      <c r="B19" s="5" t="s">
        <v>25</v>
      </c>
      <c r="C19" s="5" t="s">
        <v>40</v>
      </c>
      <c r="D19" s="14">
        <v>1005000</v>
      </c>
      <c r="E19" s="14">
        <f t="shared" si="0"/>
        <v>80400</v>
      </c>
      <c r="F19" s="14">
        <f t="shared" si="1"/>
        <v>1085400</v>
      </c>
      <c r="G19" s="5" t="s">
        <v>228</v>
      </c>
    </row>
    <row r="20" spans="1:7" ht="15.75" customHeight="1" x14ac:dyDescent="0.3">
      <c r="A20" s="4" t="s">
        <v>66</v>
      </c>
      <c r="B20" s="5" t="s">
        <v>25</v>
      </c>
      <c r="C20" s="5" t="s">
        <v>42</v>
      </c>
      <c r="D20" s="14">
        <v>11310000</v>
      </c>
      <c r="E20" s="14">
        <f t="shared" si="0"/>
        <v>904800</v>
      </c>
      <c r="F20" s="14">
        <f t="shared" si="1"/>
        <v>12214800</v>
      </c>
      <c r="G20" s="5" t="s">
        <v>229</v>
      </c>
    </row>
    <row r="21" spans="1:7" ht="15.75" customHeight="1" x14ac:dyDescent="0.3">
      <c r="A21" s="4" t="s">
        <v>67</v>
      </c>
      <c r="B21" s="5" t="s">
        <v>25</v>
      </c>
      <c r="C21" s="5" t="s">
        <v>43</v>
      </c>
      <c r="D21" s="14">
        <v>2910000</v>
      </c>
      <c r="E21" s="14">
        <f t="shared" ref="E21:E54" si="2">+D21*0.08</f>
        <v>232800</v>
      </c>
      <c r="F21" s="14">
        <f t="shared" ref="F21:F54" si="3">+E21+D21</f>
        <v>3142800</v>
      </c>
      <c r="G21" s="5" t="s">
        <v>230</v>
      </c>
    </row>
    <row r="22" spans="1:7" ht="15.75" customHeight="1" x14ac:dyDescent="0.3">
      <c r="A22" s="4" t="s">
        <v>68</v>
      </c>
      <c r="B22" s="5" t="s">
        <v>25</v>
      </c>
      <c r="C22" s="5" t="s">
        <v>44</v>
      </c>
      <c r="D22" s="14">
        <v>3902000</v>
      </c>
      <c r="E22" s="14">
        <f t="shared" si="2"/>
        <v>312160</v>
      </c>
      <c r="F22" s="14">
        <f t="shared" si="3"/>
        <v>4214160</v>
      </c>
      <c r="G22" s="5" t="s">
        <v>231</v>
      </c>
    </row>
    <row r="23" spans="1:7" ht="15.75" customHeight="1" x14ac:dyDescent="0.3">
      <c r="A23" s="4" t="s">
        <v>69</v>
      </c>
      <c r="B23" s="5" t="s">
        <v>25</v>
      </c>
      <c r="C23" s="5" t="s">
        <v>27</v>
      </c>
      <c r="D23" s="14">
        <v>9540000</v>
      </c>
      <c r="E23" s="14">
        <f t="shared" si="2"/>
        <v>763200</v>
      </c>
      <c r="F23" s="14">
        <f t="shared" si="3"/>
        <v>10303200</v>
      </c>
      <c r="G23" s="5" t="s">
        <v>232</v>
      </c>
    </row>
    <row r="24" spans="1:7" ht="15.75" customHeight="1" x14ac:dyDescent="0.3">
      <c r="A24" s="4" t="s">
        <v>70</v>
      </c>
      <c r="B24" s="5" t="s">
        <v>25</v>
      </c>
      <c r="C24" s="5" t="s">
        <v>39</v>
      </c>
      <c r="D24" s="14">
        <v>4050000</v>
      </c>
      <c r="E24" s="14">
        <f t="shared" si="2"/>
        <v>324000</v>
      </c>
      <c r="F24" s="14">
        <f t="shared" si="3"/>
        <v>4374000</v>
      </c>
      <c r="G24" s="5" t="s">
        <v>233</v>
      </c>
    </row>
    <row r="25" spans="1:7" ht="15.75" customHeight="1" x14ac:dyDescent="0.3">
      <c r="A25" s="4" t="s">
        <v>71</v>
      </c>
      <c r="B25" s="5" t="s">
        <v>25</v>
      </c>
      <c r="C25" s="5" t="s">
        <v>45</v>
      </c>
      <c r="D25" s="14">
        <v>750000</v>
      </c>
      <c r="E25" s="14">
        <f t="shared" si="2"/>
        <v>60000</v>
      </c>
      <c r="F25" s="14">
        <f t="shared" si="3"/>
        <v>810000</v>
      </c>
      <c r="G25" s="5" t="s">
        <v>234</v>
      </c>
    </row>
    <row r="26" spans="1:7" ht="15.75" customHeight="1" x14ac:dyDescent="0.3">
      <c r="A26" s="4" t="s">
        <v>72</v>
      </c>
      <c r="B26" s="5" t="s">
        <v>25</v>
      </c>
      <c r="C26" s="5" t="s">
        <v>46</v>
      </c>
      <c r="D26" s="14">
        <v>3309000</v>
      </c>
      <c r="E26" s="14">
        <f t="shared" si="2"/>
        <v>264720</v>
      </c>
      <c r="F26" s="14">
        <f t="shared" si="3"/>
        <v>3573720</v>
      </c>
      <c r="G26" s="5" t="s">
        <v>235</v>
      </c>
    </row>
    <row r="27" spans="1:7" ht="15.75" customHeight="1" x14ac:dyDescent="0.3">
      <c r="A27" s="4" t="s">
        <v>73</v>
      </c>
      <c r="B27" s="5" t="s">
        <v>25</v>
      </c>
      <c r="C27" s="5" t="s">
        <v>41</v>
      </c>
      <c r="D27" s="14">
        <v>7552000</v>
      </c>
      <c r="E27" s="14">
        <f t="shared" si="2"/>
        <v>604160</v>
      </c>
      <c r="F27" s="14">
        <f t="shared" si="3"/>
        <v>8156160</v>
      </c>
      <c r="G27" s="5" t="s">
        <v>236</v>
      </c>
    </row>
    <row r="28" spans="1:7" ht="15.75" customHeight="1" x14ac:dyDescent="0.3">
      <c r="A28" s="4" t="s">
        <v>74</v>
      </c>
      <c r="B28" s="5" t="s">
        <v>25</v>
      </c>
      <c r="C28" s="5" t="s">
        <v>40</v>
      </c>
      <c r="D28" s="14">
        <v>5834000</v>
      </c>
      <c r="E28" s="14">
        <f t="shared" si="2"/>
        <v>466720</v>
      </c>
      <c r="F28" s="14">
        <f t="shared" si="3"/>
        <v>6300720</v>
      </c>
      <c r="G28" s="5" t="s">
        <v>237</v>
      </c>
    </row>
    <row r="29" spans="1:7" ht="15.75" customHeight="1" x14ac:dyDescent="0.3">
      <c r="A29" s="4" t="s">
        <v>75</v>
      </c>
      <c r="B29" s="5" t="s">
        <v>25</v>
      </c>
      <c r="C29" s="5" t="s">
        <v>41</v>
      </c>
      <c r="D29" s="14">
        <v>3045000</v>
      </c>
      <c r="E29" s="14">
        <f t="shared" si="2"/>
        <v>243600</v>
      </c>
      <c r="F29" s="14">
        <f t="shared" si="3"/>
        <v>3288600</v>
      </c>
      <c r="G29" s="5" t="s">
        <v>238</v>
      </c>
    </row>
    <row r="30" spans="1:7" ht="15.75" customHeight="1" x14ac:dyDescent="0.3">
      <c r="A30" s="4" t="s">
        <v>76</v>
      </c>
      <c r="B30" s="5" t="s">
        <v>25</v>
      </c>
      <c r="C30" s="5" t="s">
        <v>45</v>
      </c>
      <c r="D30" s="14">
        <v>9550000</v>
      </c>
      <c r="E30" s="14">
        <f t="shared" ref="E30:E33" si="4">+D30*0.08</f>
        <v>764000</v>
      </c>
      <c r="F30" s="14">
        <f t="shared" ref="F30:F33" si="5">+E30+D30</f>
        <v>10314000</v>
      </c>
      <c r="G30" s="5" t="s">
        <v>239</v>
      </c>
    </row>
    <row r="31" spans="1:7" ht="15.75" customHeight="1" x14ac:dyDescent="0.3">
      <c r="A31" s="4" t="s">
        <v>77</v>
      </c>
      <c r="B31" s="5" t="s">
        <v>25</v>
      </c>
      <c r="C31" s="5" t="s">
        <v>40</v>
      </c>
      <c r="D31" s="14">
        <v>11049500</v>
      </c>
      <c r="E31" s="14">
        <f t="shared" si="4"/>
        <v>883960</v>
      </c>
      <c r="F31" s="14">
        <f t="shared" si="5"/>
        <v>11933460</v>
      </c>
      <c r="G31" s="5" t="s">
        <v>240</v>
      </c>
    </row>
    <row r="32" spans="1:7" ht="15.75" customHeight="1" x14ac:dyDescent="0.3">
      <c r="A32" s="4" t="s">
        <v>78</v>
      </c>
      <c r="B32" s="5" t="s">
        <v>25</v>
      </c>
      <c r="C32" s="5" t="s">
        <v>27</v>
      </c>
      <c r="D32" s="14">
        <v>5030000</v>
      </c>
      <c r="E32" s="14">
        <f t="shared" si="4"/>
        <v>402400</v>
      </c>
      <c r="F32" s="14">
        <f t="shared" si="5"/>
        <v>5432400</v>
      </c>
      <c r="G32" s="5" t="s">
        <v>241</v>
      </c>
    </row>
    <row r="33" spans="1:7" ht="15.75" customHeight="1" x14ac:dyDescent="0.3">
      <c r="A33" s="4" t="s">
        <v>79</v>
      </c>
      <c r="B33" s="5" t="s">
        <v>25</v>
      </c>
      <c r="C33" s="5" t="s">
        <v>41</v>
      </c>
      <c r="D33" s="14">
        <v>6630000</v>
      </c>
      <c r="E33" s="14">
        <f t="shared" si="4"/>
        <v>530400</v>
      </c>
      <c r="F33" s="14">
        <f t="shared" si="5"/>
        <v>7160400</v>
      </c>
      <c r="G33" s="5" t="s">
        <v>242</v>
      </c>
    </row>
    <row r="34" spans="1:7" ht="15.75" customHeight="1" x14ac:dyDescent="0.3">
      <c r="A34" s="4" t="s">
        <v>80</v>
      </c>
      <c r="B34" s="5" t="s">
        <v>25</v>
      </c>
      <c r="C34" s="5" t="s">
        <v>45</v>
      </c>
      <c r="D34" s="14">
        <v>2040000</v>
      </c>
      <c r="E34" s="14">
        <f t="shared" si="2"/>
        <v>163200</v>
      </c>
      <c r="F34" s="14">
        <f t="shared" si="3"/>
        <v>2203200</v>
      </c>
      <c r="G34" s="5" t="s">
        <v>243</v>
      </c>
    </row>
    <row r="35" spans="1:7" ht="15.75" customHeight="1" x14ac:dyDescent="0.3">
      <c r="A35" s="4" t="s">
        <v>81</v>
      </c>
      <c r="B35" s="5" t="s">
        <v>25</v>
      </c>
      <c r="C35" s="5" t="s">
        <v>27</v>
      </c>
      <c r="D35" s="14">
        <v>2925000</v>
      </c>
      <c r="E35" s="14">
        <f t="shared" si="2"/>
        <v>234000</v>
      </c>
      <c r="F35" s="14">
        <f t="shared" si="3"/>
        <v>3159000</v>
      </c>
      <c r="G35" s="5" t="s">
        <v>244</v>
      </c>
    </row>
    <row r="36" spans="1:7" ht="15.75" customHeight="1" x14ac:dyDescent="0.3">
      <c r="A36" s="4" t="s">
        <v>82</v>
      </c>
      <c r="B36" s="5" t="s">
        <v>25</v>
      </c>
      <c r="C36" s="5" t="s">
        <v>47</v>
      </c>
      <c r="D36" s="14">
        <v>5760000</v>
      </c>
      <c r="E36" s="14">
        <f t="shared" si="2"/>
        <v>460800</v>
      </c>
      <c r="F36" s="14">
        <f t="shared" si="3"/>
        <v>6220800</v>
      </c>
      <c r="G36" s="5" t="s">
        <v>245</v>
      </c>
    </row>
    <row r="37" spans="1:7" ht="15.75" customHeight="1" x14ac:dyDescent="0.3">
      <c r="A37" s="4" t="s">
        <v>83</v>
      </c>
      <c r="B37" s="5" t="s">
        <v>25</v>
      </c>
      <c r="C37" s="5" t="s">
        <v>48</v>
      </c>
      <c r="D37" s="14">
        <v>3045000</v>
      </c>
      <c r="E37" s="14">
        <f t="shared" si="2"/>
        <v>243600</v>
      </c>
      <c r="F37" s="14">
        <f t="shared" si="3"/>
        <v>3288600</v>
      </c>
      <c r="G37" s="5" t="s">
        <v>246</v>
      </c>
    </row>
    <row r="38" spans="1:7" ht="15.75" customHeight="1" x14ac:dyDescent="0.3">
      <c r="A38" s="4" t="s">
        <v>84</v>
      </c>
      <c r="B38" s="5" t="s">
        <v>25</v>
      </c>
      <c r="C38" s="5" t="s">
        <v>46</v>
      </c>
      <c r="D38" s="14">
        <v>2850000</v>
      </c>
      <c r="E38" s="14">
        <f t="shared" si="2"/>
        <v>228000</v>
      </c>
      <c r="F38" s="14">
        <f t="shared" si="3"/>
        <v>3078000</v>
      </c>
      <c r="G38" s="5" t="s">
        <v>247</v>
      </c>
    </row>
    <row r="39" spans="1:7" ht="15.75" customHeight="1" x14ac:dyDescent="0.3">
      <c r="A39" s="4" t="s">
        <v>85</v>
      </c>
      <c r="B39" s="5" t="s">
        <v>25</v>
      </c>
      <c r="C39" s="5" t="s">
        <v>49</v>
      </c>
      <c r="D39" s="14">
        <v>17087500</v>
      </c>
      <c r="E39" s="14">
        <f t="shared" si="2"/>
        <v>1367000</v>
      </c>
      <c r="F39" s="14">
        <f t="shared" si="3"/>
        <v>18454500</v>
      </c>
      <c r="G39" s="5" t="s">
        <v>248</v>
      </c>
    </row>
    <row r="40" spans="1:7" ht="15.75" customHeight="1" x14ac:dyDescent="0.3">
      <c r="A40" s="4" t="s">
        <v>86</v>
      </c>
      <c r="B40" s="5" t="s">
        <v>25</v>
      </c>
      <c r="C40" s="5" t="s">
        <v>43</v>
      </c>
      <c r="D40" s="14">
        <v>7395000</v>
      </c>
      <c r="E40" s="14">
        <f t="shared" si="2"/>
        <v>591600</v>
      </c>
      <c r="F40" s="14">
        <f t="shared" si="3"/>
        <v>7986600</v>
      </c>
      <c r="G40" s="5" t="s">
        <v>249</v>
      </c>
    </row>
    <row r="41" spans="1:7" ht="15.75" customHeight="1" x14ac:dyDescent="0.3">
      <c r="A41" s="4" t="s">
        <v>87</v>
      </c>
      <c r="B41" s="5" t="s">
        <v>25</v>
      </c>
      <c r="C41" s="5" t="s">
        <v>47</v>
      </c>
      <c r="D41" s="14">
        <v>5765000</v>
      </c>
      <c r="E41" s="14">
        <f t="shared" si="2"/>
        <v>461200</v>
      </c>
      <c r="F41" s="14">
        <f t="shared" si="3"/>
        <v>6226200</v>
      </c>
      <c r="G41" s="5" t="s">
        <v>250</v>
      </c>
    </row>
    <row r="42" spans="1:7" ht="15.75" customHeight="1" x14ac:dyDescent="0.3">
      <c r="A42" s="4" t="s">
        <v>88</v>
      </c>
      <c r="B42" s="5" t="s">
        <v>25</v>
      </c>
      <c r="C42" s="5" t="s">
        <v>32</v>
      </c>
      <c r="D42" s="14">
        <v>6720000</v>
      </c>
      <c r="E42" s="14">
        <f t="shared" ref="E42:E49" si="6">+D42*0.08</f>
        <v>537600</v>
      </c>
      <c r="F42" s="14">
        <f t="shared" ref="F42:F49" si="7">+E42+D42</f>
        <v>7257600</v>
      </c>
      <c r="G42" s="5" t="s">
        <v>251</v>
      </c>
    </row>
    <row r="43" spans="1:7" ht="15.75" customHeight="1" x14ac:dyDescent="0.3">
      <c r="A43" s="4" t="s">
        <v>89</v>
      </c>
      <c r="B43" s="5" t="s">
        <v>25</v>
      </c>
      <c r="C43" s="5" t="s">
        <v>46</v>
      </c>
      <c r="D43" s="14">
        <v>7210000</v>
      </c>
      <c r="E43" s="14">
        <f t="shared" si="6"/>
        <v>576800</v>
      </c>
      <c r="F43" s="14">
        <f t="shared" si="7"/>
        <v>7786800</v>
      </c>
      <c r="G43" s="5" t="s">
        <v>252</v>
      </c>
    </row>
    <row r="44" spans="1:7" ht="15.75" customHeight="1" x14ac:dyDescent="0.3">
      <c r="A44" s="4" t="s">
        <v>90</v>
      </c>
      <c r="B44" s="5" t="s">
        <v>25</v>
      </c>
      <c r="C44" s="5" t="s">
        <v>45</v>
      </c>
      <c r="D44" s="14">
        <v>5040000</v>
      </c>
      <c r="E44" s="14">
        <f t="shared" si="6"/>
        <v>403200</v>
      </c>
      <c r="F44" s="14">
        <f t="shared" si="7"/>
        <v>5443200</v>
      </c>
      <c r="G44" s="5" t="s">
        <v>253</v>
      </c>
    </row>
    <row r="45" spans="1:7" ht="15.75" customHeight="1" x14ac:dyDescent="0.3">
      <c r="A45" s="4" t="s">
        <v>91</v>
      </c>
      <c r="B45" s="5" t="s">
        <v>25</v>
      </c>
      <c r="C45" s="5" t="s">
        <v>27</v>
      </c>
      <c r="D45" s="14">
        <v>5680000</v>
      </c>
      <c r="E45" s="14">
        <f t="shared" si="6"/>
        <v>454400</v>
      </c>
      <c r="F45" s="14">
        <f t="shared" si="7"/>
        <v>6134400</v>
      </c>
      <c r="G45" s="5" t="s">
        <v>254</v>
      </c>
    </row>
    <row r="46" spans="1:7" ht="15.75" customHeight="1" x14ac:dyDescent="0.3">
      <c r="A46" s="4" t="s">
        <v>92</v>
      </c>
      <c r="B46" s="5" t="s">
        <v>25</v>
      </c>
      <c r="C46" s="5" t="s">
        <v>27</v>
      </c>
      <c r="D46" s="14">
        <v>990000</v>
      </c>
      <c r="E46" s="14">
        <f t="shared" si="6"/>
        <v>79200</v>
      </c>
      <c r="F46" s="14">
        <f t="shared" si="7"/>
        <v>1069200</v>
      </c>
      <c r="G46" s="5" t="s">
        <v>255</v>
      </c>
    </row>
    <row r="47" spans="1:7" ht="15.75" customHeight="1" x14ac:dyDescent="0.3">
      <c r="A47" s="4" t="s">
        <v>93</v>
      </c>
      <c r="B47" s="5" t="s">
        <v>25</v>
      </c>
      <c r="C47" s="5" t="s">
        <v>50</v>
      </c>
      <c r="D47" s="14">
        <v>17708500</v>
      </c>
      <c r="E47" s="14">
        <f t="shared" si="6"/>
        <v>1416680</v>
      </c>
      <c r="F47" s="14">
        <f t="shared" si="7"/>
        <v>19125180</v>
      </c>
      <c r="G47" s="5" t="s">
        <v>256</v>
      </c>
    </row>
    <row r="48" spans="1:7" ht="15.75" customHeight="1" x14ac:dyDescent="0.3">
      <c r="A48" s="4" t="s">
        <v>94</v>
      </c>
      <c r="B48" s="5" t="s">
        <v>25</v>
      </c>
      <c r="C48" s="5" t="s">
        <v>41</v>
      </c>
      <c r="D48" s="14">
        <v>4195000</v>
      </c>
      <c r="E48" s="14">
        <f t="shared" si="6"/>
        <v>335600</v>
      </c>
      <c r="F48" s="14">
        <f t="shared" si="7"/>
        <v>4530600</v>
      </c>
      <c r="G48" s="5" t="s">
        <v>257</v>
      </c>
    </row>
    <row r="49" spans="1:7" ht="15.75" customHeight="1" x14ac:dyDescent="0.3">
      <c r="A49" s="4" t="s">
        <v>95</v>
      </c>
      <c r="B49" s="5" t="s">
        <v>25</v>
      </c>
      <c r="C49" s="5" t="s">
        <v>51</v>
      </c>
      <c r="D49" s="14">
        <v>6645000</v>
      </c>
      <c r="E49" s="14">
        <f t="shared" si="6"/>
        <v>531600</v>
      </c>
      <c r="F49" s="14">
        <f t="shared" si="7"/>
        <v>7176600</v>
      </c>
      <c r="G49" s="5" t="s">
        <v>258</v>
      </c>
    </row>
    <row r="50" spans="1:7" ht="15.75" customHeight="1" x14ac:dyDescent="0.3">
      <c r="A50" s="4" t="s">
        <v>96</v>
      </c>
      <c r="B50" s="5" t="s">
        <v>25</v>
      </c>
      <c r="C50" s="5" t="s">
        <v>52</v>
      </c>
      <c r="D50" s="14">
        <v>1005000</v>
      </c>
      <c r="E50" s="14">
        <f t="shared" si="2"/>
        <v>80400</v>
      </c>
      <c r="F50" s="14">
        <f t="shared" si="3"/>
        <v>1085400</v>
      </c>
      <c r="G50" s="5" t="s">
        <v>259</v>
      </c>
    </row>
    <row r="51" spans="1:7" ht="15.75" customHeight="1" x14ac:dyDescent="0.3">
      <c r="A51" s="4" t="s">
        <v>97</v>
      </c>
      <c r="B51" s="5" t="s">
        <v>25</v>
      </c>
      <c r="C51" s="5" t="s">
        <v>44</v>
      </c>
      <c r="D51" s="14">
        <v>2790000</v>
      </c>
      <c r="E51" s="14">
        <f t="shared" si="2"/>
        <v>223200</v>
      </c>
      <c r="F51" s="14">
        <f t="shared" si="3"/>
        <v>3013200</v>
      </c>
      <c r="G51" s="5" t="s">
        <v>260</v>
      </c>
    </row>
    <row r="52" spans="1:7" ht="15.75" customHeight="1" x14ac:dyDescent="0.3">
      <c r="A52" s="4" t="s">
        <v>98</v>
      </c>
      <c r="B52" s="5" t="s">
        <v>25</v>
      </c>
      <c r="C52" s="5" t="s">
        <v>27</v>
      </c>
      <c r="D52" s="14">
        <v>1864500</v>
      </c>
      <c r="E52" s="14">
        <f t="shared" si="2"/>
        <v>149160</v>
      </c>
      <c r="F52" s="14">
        <f t="shared" si="3"/>
        <v>2013660</v>
      </c>
      <c r="G52" s="5" t="s">
        <v>261</v>
      </c>
    </row>
    <row r="53" spans="1:7" ht="15.75" customHeight="1" x14ac:dyDescent="0.3">
      <c r="A53" s="4" t="s">
        <v>99</v>
      </c>
      <c r="B53" s="5" t="s">
        <v>25</v>
      </c>
      <c r="C53" s="5" t="s">
        <v>40</v>
      </c>
      <c r="D53" s="14">
        <v>1920000</v>
      </c>
      <c r="E53" s="14">
        <f t="shared" si="2"/>
        <v>153600</v>
      </c>
      <c r="F53" s="14">
        <f t="shared" si="3"/>
        <v>2073600</v>
      </c>
      <c r="G53" s="5" t="s">
        <v>262</v>
      </c>
    </row>
    <row r="54" spans="1:7" ht="15.75" customHeight="1" x14ac:dyDescent="0.3">
      <c r="A54" s="4" t="s">
        <v>100</v>
      </c>
      <c r="B54" s="5" t="s">
        <v>25</v>
      </c>
      <c r="C54" s="5" t="s">
        <v>52</v>
      </c>
      <c r="D54" s="14">
        <v>1005000</v>
      </c>
      <c r="E54" s="14">
        <f t="shared" si="2"/>
        <v>80400</v>
      </c>
      <c r="F54" s="14">
        <f t="shared" si="3"/>
        <v>1085400</v>
      </c>
      <c r="G54" s="5" t="s">
        <v>263</v>
      </c>
    </row>
    <row r="55" spans="1:7" ht="15.75" customHeight="1" x14ac:dyDescent="0.3">
      <c r="A55" s="4" t="s">
        <v>101</v>
      </c>
      <c r="B55" s="5" t="s">
        <v>25</v>
      </c>
      <c r="C55" s="5" t="s">
        <v>50</v>
      </c>
      <c r="D55" s="14">
        <v>4866000</v>
      </c>
      <c r="E55" s="14">
        <f t="shared" ref="E55:E73" si="8">+D55*0.08</f>
        <v>389280</v>
      </c>
      <c r="F55" s="14">
        <f t="shared" ref="F55:F73" si="9">+E55+D55</f>
        <v>5255280</v>
      </c>
      <c r="G55" s="5" t="s">
        <v>264</v>
      </c>
    </row>
    <row r="56" spans="1:7" ht="15.75" customHeight="1" x14ac:dyDescent="0.3">
      <c r="A56" s="4" t="s">
        <v>102</v>
      </c>
      <c r="B56" s="5" t="s">
        <v>25</v>
      </c>
      <c r="C56" s="5" t="s">
        <v>44</v>
      </c>
      <c r="D56" s="14">
        <v>5110000</v>
      </c>
      <c r="E56" s="14">
        <f t="shared" si="8"/>
        <v>408800</v>
      </c>
      <c r="F56" s="14">
        <f t="shared" si="9"/>
        <v>5518800</v>
      </c>
      <c r="G56" s="5" t="s">
        <v>265</v>
      </c>
    </row>
    <row r="57" spans="1:7" ht="15.75" customHeight="1" x14ac:dyDescent="0.3">
      <c r="A57" s="4" t="s">
        <v>103</v>
      </c>
      <c r="B57" s="5" t="s">
        <v>25</v>
      </c>
      <c r="C57" s="5" t="s">
        <v>37</v>
      </c>
      <c r="D57" s="14">
        <v>1850000</v>
      </c>
      <c r="E57" s="14">
        <f t="shared" si="8"/>
        <v>148000</v>
      </c>
      <c r="F57" s="14">
        <f t="shared" si="9"/>
        <v>1998000</v>
      </c>
      <c r="G57" s="5" t="s">
        <v>266</v>
      </c>
    </row>
    <row r="58" spans="1:7" ht="15.75" customHeight="1" x14ac:dyDescent="0.3">
      <c r="A58" s="4" t="s">
        <v>104</v>
      </c>
      <c r="B58" s="5" t="s">
        <v>25</v>
      </c>
      <c r="C58" s="5" t="s">
        <v>51</v>
      </c>
      <c r="D58" s="14">
        <v>1390000</v>
      </c>
      <c r="E58" s="14">
        <f t="shared" si="8"/>
        <v>111200</v>
      </c>
      <c r="F58" s="14">
        <f t="shared" si="9"/>
        <v>1501200</v>
      </c>
      <c r="G58" s="5" t="s">
        <v>267</v>
      </c>
    </row>
    <row r="59" spans="1:7" ht="15.75" customHeight="1" x14ac:dyDescent="0.3">
      <c r="A59" s="4" t="s">
        <v>105</v>
      </c>
      <c r="B59" s="5" t="s">
        <v>25</v>
      </c>
      <c r="C59" s="5" t="s">
        <v>53</v>
      </c>
      <c r="D59" s="14">
        <v>1630000</v>
      </c>
      <c r="E59" s="14">
        <f t="shared" si="8"/>
        <v>130400</v>
      </c>
      <c r="F59" s="14">
        <f t="shared" si="9"/>
        <v>1760400</v>
      </c>
      <c r="G59" s="5" t="s">
        <v>268</v>
      </c>
    </row>
    <row r="60" spans="1:7" ht="15.75" customHeight="1" x14ac:dyDescent="0.3">
      <c r="A60" s="4" t="s">
        <v>106</v>
      </c>
      <c r="B60" s="5" t="s">
        <v>25</v>
      </c>
      <c r="C60" s="5" t="s">
        <v>54</v>
      </c>
      <c r="D60" s="14">
        <v>6120000</v>
      </c>
      <c r="E60" s="14">
        <f t="shared" si="8"/>
        <v>489600</v>
      </c>
      <c r="F60" s="14">
        <f t="shared" si="9"/>
        <v>6609600</v>
      </c>
      <c r="G60" s="5" t="s">
        <v>269</v>
      </c>
    </row>
    <row r="61" spans="1:7" ht="15.75" customHeight="1" x14ac:dyDescent="0.3">
      <c r="A61" s="4" t="s">
        <v>107</v>
      </c>
      <c r="B61" s="5" t="s">
        <v>25</v>
      </c>
      <c r="C61" s="5" t="s">
        <v>27</v>
      </c>
      <c r="D61" s="14">
        <v>2040000</v>
      </c>
      <c r="E61" s="14">
        <f t="shared" si="8"/>
        <v>163200</v>
      </c>
      <c r="F61" s="14">
        <f t="shared" si="9"/>
        <v>2203200</v>
      </c>
      <c r="G61" s="5" t="s">
        <v>270</v>
      </c>
    </row>
    <row r="62" spans="1:7" ht="15.75" customHeight="1" x14ac:dyDescent="0.3">
      <c r="A62" s="4" t="s">
        <v>108</v>
      </c>
      <c r="B62" s="5" t="s">
        <v>25</v>
      </c>
      <c r="C62" s="5" t="s">
        <v>43</v>
      </c>
      <c r="D62" s="14">
        <v>13046500</v>
      </c>
      <c r="E62" s="14">
        <f t="shared" si="8"/>
        <v>1043720</v>
      </c>
      <c r="F62" s="14">
        <f t="shared" si="9"/>
        <v>14090220</v>
      </c>
      <c r="G62" s="5" t="s">
        <v>271</v>
      </c>
    </row>
    <row r="63" spans="1:7" ht="15.75" customHeight="1" x14ac:dyDescent="0.3">
      <c r="A63" s="4" t="s">
        <v>109</v>
      </c>
      <c r="B63" s="5" t="s">
        <v>25</v>
      </c>
      <c r="C63" s="5" t="s">
        <v>45</v>
      </c>
      <c r="D63" s="14">
        <v>1920000</v>
      </c>
      <c r="E63" s="14">
        <f t="shared" si="8"/>
        <v>153600</v>
      </c>
      <c r="F63" s="14">
        <f t="shared" si="9"/>
        <v>2073600</v>
      </c>
      <c r="G63" s="5" t="s">
        <v>272</v>
      </c>
    </row>
    <row r="64" spans="1:7" ht="15.75" customHeight="1" x14ac:dyDescent="0.3">
      <c r="A64" s="4" t="s">
        <v>110</v>
      </c>
      <c r="B64" s="5" t="s">
        <v>25</v>
      </c>
      <c r="C64" s="5" t="s">
        <v>45</v>
      </c>
      <c r="D64" s="14">
        <v>3128000</v>
      </c>
      <c r="E64" s="14">
        <f t="shared" si="8"/>
        <v>250240</v>
      </c>
      <c r="F64" s="14">
        <f t="shared" si="9"/>
        <v>3378240</v>
      </c>
      <c r="G64" s="5" t="s">
        <v>273</v>
      </c>
    </row>
    <row r="65" spans="1:7" ht="15.75" customHeight="1" x14ac:dyDescent="0.3">
      <c r="A65" s="4" t="s">
        <v>111</v>
      </c>
      <c r="B65" s="5" t="s">
        <v>25</v>
      </c>
      <c r="C65" s="5" t="s">
        <v>50</v>
      </c>
      <c r="D65" s="14">
        <v>3520000</v>
      </c>
      <c r="E65" s="14">
        <f t="shared" si="8"/>
        <v>281600</v>
      </c>
      <c r="F65" s="14">
        <f t="shared" si="9"/>
        <v>3801600</v>
      </c>
      <c r="G65" s="5" t="s">
        <v>274</v>
      </c>
    </row>
    <row r="66" spans="1:7" ht="15.75" customHeight="1" x14ac:dyDescent="0.3">
      <c r="A66" s="4" t="s">
        <v>112</v>
      </c>
      <c r="B66" s="5" t="s">
        <v>25</v>
      </c>
      <c r="C66" s="5" t="s">
        <v>54</v>
      </c>
      <c r="D66" s="14">
        <v>960000</v>
      </c>
      <c r="E66" s="14">
        <f t="shared" si="8"/>
        <v>76800</v>
      </c>
      <c r="F66" s="14">
        <f t="shared" si="9"/>
        <v>1036800</v>
      </c>
      <c r="G66" s="5" t="s">
        <v>275</v>
      </c>
    </row>
    <row r="67" spans="1:7" ht="15.75" customHeight="1" x14ac:dyDescent="0.3">
      <c r="A67" s="4" t="s">
        <v>113</v>
      </c>
      <c r="B67" s="5" t="s">
        <v>26</v>
      </c>
      <c r="C67" s="5" t="s">
        <v>52</v>
      </c>
      <c r="D67" s="14">
        <v>2040000</v>
      </c>
      <c r="E67" s="14">
        <f t="shared" si="8"/>
        <v>163200</v>
      </c>
      <c r="F67" s="14">
        <f t="shared" si="9"/>
        <v>2203200</v>
      </c>
      <c r="G67" s="5" t="s">
        <v>276</v>
      </c>
    </row>
    <row r="68" spans="1:7" ht="15.75" customHeight="1" x14ac:dyDescent="0.3">
      <c r="A68" s="4" t="s">
        <v>114</v>
      </c>
      <c r="B68" s="5" t="s">
        <v>25</v>
      </c>
      <c r="C68" s="5" t="s">
        <v>45</v>
      </c>
      <c r="D68" s="14">
        <v>1005000</v>
      </c>
      <c r="E68" s="14">
        <f t="shared" ref="E68:E71" si="10">+D68*0.08</f>
        <v>80400</v>
      </c>
      <c r="F68" s="14">
        <f t="shared" ref="F68:F71" si="11">+E68+D68</f>
        <v>1085400</v>
      </c>
      <c r="G68" s="5" t="s">
        <v>277</v>
      </c>
    </row>
    <row r="69" spans="1:7" ht="15.75" customHeight="1" x14ac:dyDescent="0.3">
      <c r="A69" s="4" t="s">
        <v>115</v>
      </c>
      <c r="B69" s="5" t="s">
        <v>25</v>
      </c>
      <c r="C69" s="5" t="s">
        <v>53</v>
      </c>
      <c r="D69" s="14">
        <v>5950000</v>
      </c>
      <c r="E69" s="14">
        <f t="shared" si="10"/>
        <v>476000</v>
      </c>
      <c r="F69" s="14">
        <f t="shared" si="11"/>
        <v>6426000</v>
      </c>
      <c r="G69" s="5" t="s">
        <v>278</v>
      </c>
    </row>
    <row r="70" spans="1:7" ht="15.75" customHeight="1" x14ac:dyDescent="0.3">
      <c r="A70" s="4" t="s">
        <v>116</v>
      </c>
      <c r="B70" s="5" t="s">
        <v>25</v>
      </c>
      <c r="C70" s="5" t="s">
        <v>35</v>
      </c>
      <c r="D70" s="14">
        <v>3478500</v>
      </c>
      <c r="E70" s="14">
        <f t="shared" si="10"/>
        <v>278280</v>
      </c>
      <c r="F70" s="14">
        <f t="shared" si="11"/>
        <v>3756780</v>
      </c>
      <c r="G70" s="5" t="s">
        <v>279</v>
      </c>
    </row>
    <row r="71" spans="1:7" ht="15.75" customHeight="1" x14ac:dyDescent="0.3">
      <c r="A71" s="4" t="s">
        <v>117</v>
      </c>
      <c r="B71" s="5" t="s">
        <v>25</v>
      </c>
      <c r="C71" s="5" t="s">
        <v>50</v>
      </c>
      <c r="D71" s="14">
        <v>11855000</v>
      </c>
      <c r="E71" s="14">
        <f t="shared" si="10"/>
        <v>948400</v>
      </c>
      <c r="F71" s="14">
        <f t="shared" si="11"/>
        <v>12803400</v>
      </c>
      <c r="G71" s="5" t="s">
        <v>280</v>
      </c>
    </row>
    <row r="72" spans="1:7" ht="15.75" customHeight="1" x14ac:dyDescent="0.3">
      <c r="A72" s="4" t="s">
        <v>118</v>
      </c>
      <c r="B72" s="5" t="s">
        <v>25</v>
      </c>
      <c r="C72" s="5" t="s">
        <v>27</v>
      </c>
      <c r="D72" s="14">
        <v>6810000</v>
      </c>
      <c r="E72" s="14">
        <f t="shared" si="8"/>
        <v>544800</v>
      </c>
      <c r="F72" s="14">
        <f t="shared" si="9"/>
        <v>7354800</v>
      </c>
      <c r="G72" s="5" t="s">
        <v>281</v>
      </c>
    </row>
    <row r="73" spans="1:7" ht="15.75" customHeight="1" x14ac:dyDescent="0.3">
      <c r="A73" s="4" t="s">
        <v>119</v>
      </c>
      <c r="B73" s="5" t="s">
        <v>25</v>
      </c>
      <c r="C73" s="5" t="s">
        <v>51</v>
      </c>
      <c r="D73" s="14">
        <v>8202000</v>
      </c>
      <c r="E73" s="14">
        <f t="shared" si="8"/>
        <v>656160</v>
      </c>
      <c r="F73" s="14">
        <f t="shared" si="9"/>
        <v>8858160</v>
      </c>
      <c r="G73" s="5" t="s">
        <v>282</v>
      </c>
    </row>
    <row r="74" spans="1:7" ht="15.75" customHeight="1" x14ac:dyDescent="0.3">
      <c r="A74" s="4" t="s">
        <v>120</v>
      </c>
      <c r="B74" s="5" t="s">
        <v>25</v>
      </c>
      <c r="C74" s="5" t="s">
        <v>51</v>
      </c>
      <c r="D74" s="14">
        <v>4674000</v>
      </c>
      <c r="E74" s="14">
        <f t="shared" ref="E74:E80" si="12">+D74*0.08</f>
        <v>373920</v>
      </c>
      <c r="F74" s="14">
        <f t="shared" ref="F74:F80" si="13">+E74+D74</f>
        <v>5047920</v>
      </c>
      <c r="G74" s="5" t="s">
        <v>283</v>
      </c>
    </row>
    <row r="75" spans="1:7" ht="15.75" customHeight="1" x14ac:dyDescent="0.3">
      <c r="A75" s="4" t="s">
        <v>121</v>
      </c>
      <c r="B75" s="5" t="s">
        <v>25</v>
      </c>
      <c r="C75" s="5" t="s">
        <v>45</v>
      </c>
      <c r="D75" s="14">
        <v>3665000</v>
      </c>
      <c r="E75" s="14">
        <f t="shared" si="12"/>
        <v>293200</v>
      </c>
      <c r="F75" s="14">
        <f t="shared" si="13"/>
        <v>3958200</v>
      </c>
      <c r="G75" s="5" t="s">
        <v>284</v>
      </c>
    </row>
    <row r="76" spans="1:7" ht="15.75" customHeight="1" x14ac:dyDescent="0.3">
      <c r="A76" s="4" t="s">
        <v>122</v>
      </c>
      <c r="B76" s="5" t="s">
        <v>25</v>
      </c>
      <c r="C76" s="5" t="s">
        <v>43</v>
      </c>
      <c r="D76" s="14">
        <v>8379000</v>
      </c>
      <c r="E76" s="14">
        <f t="shared" si="12"/>
        <v>670320</v>
      </c>
      <c r="F76" s="14">
        <f t="shared" si="13"/>
        <v>9049320</v>
      </c>
      <c r="G76" s="5" t="s">
        <v>285</v>
      </c>
    </row>
    <row r="77" spans="1:7" ht="15.75" customHeight="1" x14ac:dyDescent="0.3">
      <c r="A77" s="4" t="s">
        <v>123</v>
      </c>
      <c r="B77" s="5" t="s">
        <v>26</v>
      </c>
      <c r="C77" s="5" t="s">
        <v>33</v>
      </c>
      <c r="D77" s="14">
        <v>-268000</v>
      </c>
      <c r="E77" s="14">
        <f t="shared" si="12"/>
        <v>-21440</v>
      </c>
      <c r="F77" s="14">
        <f t="shared" si="13"/>
        <v>-289440</v>
      </c>
      <c r="G77" s="5" t="s">
        <v>286</v>
      </c>
    </row>
    <row r="78" spans="1:7" ht="15.75" customHeight="1" x14ac:dyDescent="0.3">
      <c r="A78" s="4" t="s">
        <v>124</v>
      </c>
      <c r="B78" s="5" t="s">
        <v>25</v>
      </c>
      <c r="C78" s="5" t="s">
        <v>28</v>
      </c>
      <c r="D78" s="14">
        <v>1920000</v>
      </c>
      <c r="E78" s="14">
        <f t="shared" si="12"/>
        <v>153600</v>
      </c>
      <c r="F78" s="14">
        <f t="shared" si="13"/>
        <v>2073600</v>
      </c>
      <c r="G78" s="5" t="s">
        <v>287</v>
      </c>
    </row>
    <row r="79" spans="1:7" ht="15.75" customHeight="1" x14ac:dyDescent="0.3">
      <c r="A79" s="4" t="s">
        <v>125</v>
      </c>
      <c r="B79" s="5" t="s">
        <v>25</v>
      </c>
      <c r="C79" s="5" t="s">
        <v>55</v>
      </c>
      <c r="D79" s="14">
        <v>1040000</v>
      </c>
      <c r="E79" s="14">
        <f t="shared" si="12"/>
        <v>83200</v>
      </c>
      <c r="F79" s="14">
        <f t="shared" si="13"/>
        <v>1123200</v>
      </c>
      <c r="G79" s="5" t="s">
        <v>288</v>
      </c>
    </row>
    <row r="80" spans="1:7" ht="15.75" customHeight="1" x14ac:dyDescent="0.3">
      <c r="A80" s="4" t="s">
        <v>126</v>
      </c>
      <c r="B80" s="5" t="s">
        <v>25</v>
      </c>
      <c r="C80" s="5" t="s">
        <v>56</v>
      </c>
      <c r="D80" s="14">
        <v>4920000</v>
      </c>
      <c r="E80" s="14">
        <f t="shared" si="12"/>
        <v>393600</v>
      </c>
      <c r="F80" s="14">
        <f t="shared" si="13"/>
        <v>5313600</v>
      </c>
      <c r="G80" s="5" t="s">
        <v>289</v>
      </c>
    </row>
    <row r="81" spans="1:7" ht="15.75" customHeight="1" x14ac:dyDescent="0.3">
      <c r="A81" s="4" t="s">
        <v>127</v>
      </c>
      <c r="B81" s="5" t="s">
        <v>25</v>
      </c>
      <c r="C81" s="5" t="s">
        <v>44</v>
      </c>
      <c r="D81" s="14">
        <v>1866000</v>
      </c>
      <c r="E81" s="14">
        <f t="shared" ref="E81:E83" si="14">+D81*0.08</f>
        <v>149280</v>
      </c>
      <c r="F81" s="14">
        <f t="shared" ref="F81:F83" si="15">+E81+D81</f>
        <v>2015280</v>
      </c>
      <c r="G81" s="5" t="s">
        <v>290</v>
      </c>
    </row>
    <row r="82" spans="1:7" ht="15.75" customHeight="1" x14ac:dyDescent="0.3">
      <c r="A82" s="4" t="s">
        <v>128</v>
      </c>
      <c r="B82" s="5" t="s">
        <v>25</v>
      </c>
      <c r="C82" s="5" t="s">
        <v>29</v>
      </c>
      <c r="D82" s="14">
        <v>3900000</v>
      </c>
      <c r="E82" s="14">
        <f t="shared" si="14"/>
        <v>312000</v>
      </c>
      <c r="F82" s="14">
        <f t="shared" si="15"/>
        <v>4212000</v>
      </c>
      <c r="G82" s="5" t="s">
        <v>291</v>
      </c>
    </row>
    <row r="83" spans="1:7" ht="15.75" customHeight="1" x14ac:dyDescent="0.3">
      <c r="A83" s="4" t="s">
        <v>129</v>
      </c>
      <c r="B83" s="5" t="s">
        <v>26</v>
      </c>
      <c r="C83" s="5" t="s">
        <v>32</v>
      </c>
      <c r="D83" s="14">
        <v>-640000</v>
      </c>
      <c r="E83" s="14">
        <f t="shared" si="14"/>
        <v>-51200</v>
      </c>
      <c r="F83" s="14">
        <f t="shared" si="15"/>
        <v>-691200</v>
      </c>
      <c r="G83" s="5" t="s">
        <v>292</v>
      </c>
    </row>
    <row r="84" spans="1:7" ht="15.75" customHeight="1" x14ac:dyDescent="0.3">
      <c r="A84" s="4" t="s">
        <v>130</v>
      </c>
      <c r="B84" s="5" t="s">
        <v>25</v>
      </c>
      <c r="C84" s="5" t="s">
        <v>49</v>
      </c>
      <c r="D84" s="14">
        <v>1005000</v>
      </c>
      <c r="E84" s="14">
        <f t="shared" ref="E84:E89" si="16">+D84*0.08</f>
        <v>80400</v>
      </c>
      <c r="F84" s="14">
        <f t="shared" ref="F84:F89" si="17">+E84+D84</f>
        <v>1085400</v>
      </c>
      <c r="G84" s="5" t="s">
        <v>293</v>
      </c>
    </row>
    <row r="85" spans="1:7" ht="15.75" customHeight="1" x14ac:dyDescent="0.3">
      <c r="A85" s="4" t="s">
        <v>131</v>
      </c>
      <c r="B85" s="5" t="s">
        <v>25</v>
      </c>
      <c r="C85" s="5" t="s">
        <v>54</v>
      </c>
      <c r="D85" s="14">
        <v>960000</v>
      </c>
      <c r="E85" s="14">
        <f t="shared" si="16"/>
        <v>76800</v>
      </c>
      <c r="F85" s="14">
        <f t="shared" si="17"/>
        <v>1036800</v>
      </c>
      <c r="G85" s="5" t="s">
        <v>294</v>
      </c>
    </row>
    <row r="86" spans="1:7" ht="15.75" customHeight="1" x14ac:dyDescent="0.3">
      <c r="A86" s="4" t="s">
        <v>132</v>
      </c>
      <c r="B86" s="5" t="s">
        <v>25</v>
      </c>
      <c r="C86" s="5" t="s">
        <v>54</v>
      </c>
      <c r="D86" s="14">
        <v>1005000</v>
      </c>
      <c r="E86" s="14">
        <f t="shared" si="16"/>
        <v>80400</v>
      </c>
      <c r="F86" s="14">
        <f t="shared" si="17"/>
        <v>1085400</v>
      </c>
      <c r="G86" s="5" t="s">
        <v>295</v>
      </c>
    </row>
    <row r="87" spans="1:7" ht="15.75" customHeight="1" x14ac:dyDescent="0.3">
      <c r="A87" s="4" t="s">
        <v>133</v>
      </c>
      <c r="B87" s="5" t="s">
        <v>25</v>
      </c>
      <c r="C87" s="5" t="s">
        <v>38</v>
      </c>
      <c r="D87" s="14">
        <v>750000</v>
      </c>
      <c r="E87" s="14">
        <f t="shared" si="16"/>
        <v>60000</v>
      </c>
      <c r="F87" s="14">
        <f t="shared" si="17"/>
        <v>810000</v>
      </c>
      <c r="G87" s="5" t="s">
        <v>296</v>
      </c>
    </row>
    <row r="88" spans="1:7" ht="15.75" customHeight="1" x14ac:dyDescent="0.3">
      <c r="A88" s="4" t="s">
        <v>134</v>
      </c>
      <c r="B88" s="5" t="s">
        <v>25</v>
      </c>
      <c r="C88" s="5" t="s">
        <v>50</v>
      </c>
      <c r="D88" s="14">
        <v>960000</v>
      </c>
      <c r="E88" s="14">
        <f t="shared" si="16"/>
        <v>76800</v>
      </c>
      <c r="F88" s="14">
        <f t="shared" si="17"/>
        <v>1036800</v>
      </c>
      <c r="G88" s="5" t="s">
        <v>297</v>
      </c>
    </row>
    <row r="89" spans="1:7" ht="15.75" customHeight="1" x14ac:dyDescent="0.3">
      <c r="A89" s="4" t="s">
        <v>135</v>
      </c>
      <c r="B89" s="5" t="s">
        <v>25</v>
      </c>
      <c r="C89" s="5" t="s">
        <v>46</v>
      </c>
      <c r="D89" s="14">
        <v>5575000</v>
      </c>
      <c r="E89" s="14">
        <f t="shared" si="16"/>
        <v>446000</v>
      </c>
      <c r="F89" s="14">
        <f t="shared" si="17"/>
        <v>6021000</v>
      </c>
      <c r="G89" s="5" t="s">
        <v>298</v>
      </c>
    </row>
    <row r="90" spans="1:7" ht="15.75" customHeight="1" x14ac:dyDescent="0.3">
      <c r="A90" s="4" t="s">
        <v>136</v>
      </c>
      <c r="B90" s="5" t="s">
        <v>25</v>
      </c>
      <c r="C90" s="5" t="s">
        <v>50</v>
      </c>
      <c r="D90" s="14">
        <v>17920000</v>
      </c>
      <c r="E90" s="14">
        <f t="shared" ref="E90:E95" si="18">+D90*0.08</f>
        <v>1433600</v>
      </c>
      <c r="F90" s="14">
        <f t="shared" ref="F90:F95" si="19">+E90+D90</f>
        <v>19353600</v>
      </c>
      <c r="G90" s="5" t="s">
        <v>299</v>
      </c>
    </row>
    <row r="91" spans="1:7" ht="15.75" customHeight="1" x14ac:dyDescent="0.3">
      <c r="A91" s="4" t="s">
        <v>137</v>
      </c>
      <c r="B91" s="5" t="s">
        <v>25</v>
      </c>
      <c r="C91" s="5" t="s">
        <v>57</v>
      </c>
      <c r="D91" s="14">
        <v>2010000</v>
      </c>
      <c r="E91" s="14">
        <f t="shared" si="18"/>
        <v>160800</v>
      </c>
      <c r="F91" s="14">
        <f t="shared" si="19"/>
        <v>2170800</v>
      </c>
      <c r="G91" s="5" t="s">
        <v>300</v>
      </c>
    </row>
    <row r="92" spans="1:7" ht="15.75" customHeight="1" x14ac:dyDescent="0.3">
      <c r="A92" s="4" t="s">
        <v>138</v>
      </c>
      <c r="B92" s="5" t="s">
        <v>25</v>
      </c>
      <c r="C92" s="5" t="s">
        <v>57</v>
      </c>
      <c r="D92" s="14">
        <v>2690000</v>
      </c>
      <c r="E92" s="14">
        <f t="shared" si="18"/>
        <v>215200</v>
      </c>
      <c r="F92" s="14">
        <f t="shared" si="19"/>
        <v>2905200</v>
      </c>
      <c r="G92" s="5" t="s">
        <v>301</v>
      </c>
    </row>
    <row r="93" spans="1:7" ht="15.75" customHeight="1" x14ac:dyDescent="0.3">
      <c r="A93" s="4" t="s">
        <v>139</v>
      </c>
      <c r="B93" s="5" t="s">
        <v>25</v>
      </c>
      <c r="C93" s="5" t="s">
        <v>27</v>
      </c>
      <c r="D93" s="14">
        <v>904500</v>
      </c>
      <c r="E93" s="14">
        <f t="shared" si="18"/>
        <v>72360</v>
      </c>
      <c r="F93" s="14">
        <f t="shared" si="19"/>
        <v>976860</v>
      </c>
      <c r="G93" s="5" t="s">
        <v>302</v>
      </c>
    </row>
    <row r="94" spans="1:7" ht="15.75" customHeight="1" x14ac:dyDescent="0.3">
      <c r="A94" s="4" t="s">
        <v>140</v>
      </c>
      <c r="B94" s="5" t="s">
        <v>25</v>
      </c>
      <c r="C94" s="5" t="s">
        <v>54</v>
      </c>
      <c r="D94" s="14">
        <v>2558000</v>
      </c>
      <c r="E94" s="14">
        <f t="shared" si="18"/>
        <v>204640</v>
      </c>
      <c r="F94" s="14">
        <f t="shared" si="19"/>
        <v>2762640</v>
      </c>
      <c r="G94" s="5" t="s">
        <v>303</v>
      </c>
    </row>
    <row r="95" spans="1:7" ht="15.75" customHeight="1" x14ac:dyDescent="0.3">
      <c r="A95" s="4" t="s">
        <v>141</v>
      </c>
      <c r="B95" s="5" t="s">
        <v>26</v>
      </c>
      <c r="C95" s="5" t="s">
        <v>58</v>
      </c>
      <c r="D95" s="14">
        <v>-521735</v>
      </c>
      <c r="E95" s="14">
        <f t="shared" si="18"/>
        <v>-41738.800000000003</v>
      </c>
      <c r="F95" s="14">
        <f t="shared" si="19"/>
        <v>-563473.80000000005</v>
      </c>
      <c r="G95" s="5" t="s">
        <v>304</v>
      </c>
    </row>
    <row r="96" spans="1:7" ht="15.75" customHeight="1" x14ac:dyDescent="0.3">
      <c r="A96" s="4" t="s">
        <v>142</v>
      </c>
      <c r="B96" s="5" t="s">
        <v>25</v>
      </c>
      <c r="C96" s="5" t="s">
        <v>27</v>
      </c>
      <c r="D96" s="14">
        <v>6980000</v>
      </c>
      <c r="E96" s="14">
        <f t="shared" ref="E96:E99" si="20">+D96*0.08</f>
        <v>558400</v>
      </c>
      <c r="F96" s="14">
        <f t="shared" ref="F96:F99" si="21">+E96+D96</f>
        <v>7538400</v>
      </c>
      <c r="G96" s="5" t="s">
        <v>305</v>
      </c>
    </row>
    <row r="97" spans="1:7" ht="15.75" customHeight="1" x14ac:dyDescent="0.3">
      <c r="A97" s="4" t="s">
        <v>143</v>
      </c>
      <c r="B97" s="5" t="s">
        <v>25</v>
      </c>
      <c r="C97" s="5" t="s">
        <v>55</v>
      </c>
      <c r="D97" s="14">
        <v>1005000</v>
      </c>
      <c r="E97" s="14">
        <f t="shared" si="20"/>
        <v>80400</v>
      </c>
      <c r="F97" s="14">
        <f t="shared" si="21"/>
        <v>1085400</v>
      </c>
      <c r="G97" s="5" t="s">
        <v>306</v>
      </c>
    </row>
    <row r="98" spans="1:7" ht="15.75" customHeight="1" x14ac:dyDescent="0.3">
      <c r="A98" s="4" t="s">
        <v>144</v>
      </c>
      <c r="B98" s="5" t="s">
        <v>25</v>
      </c>
      <c r="C98" s="5" t="s">
        <v>29</v>
      </c>
      <c r="D98" s="14">
        <v>1005000</v>
      </c>
      <c r="E98" s="14">
        <f t="shared" si="20"/>
        <v>80400</v>
      </c>
      <c r="F98" s="14">
        <f t="shared" si="21"/>
        <v>1085400</v>
      </c>
      <c r="G98" s="5" t="s">
        <v>307</v>
      </c>
    </row>
    <row r="99" spans="1:7" ht="15.75" customHeight="1" x14ac:dyDescent="0.3">
      <c r="A99" s="4" t="s">
        <v>145</v>
      </c>
      <c r="B99" s="5" t="s">
        <v>25</v>
      </c>
      <c r="C99" s="5" t="s">
        <v>50</v>
      </c>
      <c r="D99" s="14">
        <v>8710000</v>
      </c>
      <c r="E99" s="14">
        <f t="shared" si="20"/>
        <v>696800</v>
      </c>
      <c r="F99" s="14">
        <f t="shared" si="21"/>
        <v>9406800</v>
      </c>
      <c r="G99" s="5" t="s">
        <v>308</v>
      </c>
    </row>
    <row r="100" spans="1:7" ht="15.75" customHeight="1" x14ac:dyDescent="0.3">
      <c r="A100" s="4" t="s">
        <v>146</v>
      </c>
      <c r="B100" s="5" t="s">
        <v>25</v>
      </c>
      <c r="C100" s="5" t="s">
        <v>28</v>
      </c>
      <c r="D100" s="14">
        <v>11200000</v>
      </c>
      <c r="E100" s="14">
        <f t="shared" ref="E100:E106" si="22">+D100*0.08</f>
        <v>896000</v>
      </c>
      <c r="F100" s="14">
        <f t="shared" ref="F100:F106" si="23">+E100+D100</f>
        <v>12096000</v>
      </c>
      <c r="G100" s="5" t="s">
        <v>309</v>
      </c>
    </row>
    <row r="101" spans="1:7" ht="15.75" customHeight="1" x14ac:dyDescent="0.3">
      <c r="A101" s="4" t="s">
        <v>147</v>
      </c>
      <c r="B101" s="5" t="s">
        <v>25</v>
      </c>
      <c r="C101" s="5" t="s">
        <v>47</v>
      </c>
      <c r="D101" s="14">
        <v>2410000</v>
      </c>
      <c r="E101" s="14">
        <f t="shared" si="22"/>
        <v>192800</v>
      </c>
      <c r="F101" s="14">
        <f t="shared" si="23"/>
        <v>2602800</v>
      </c>
      <c r="G101" s="5" t="s">
        <v>310</v>
      </c>
    </row>
    <row r="102" spans="1:7" ht="15.75" customHeight="1" x14ac:dyDescent="0.3">
      <c r="A102" s="4" t="s">
        <v>148</v>
      </c>
      <c r="B102" s="5" t="s">
        <v>25</v>
      </c>
      <c r="C102" s="5" t="s">
        <v>40</v>
      </c>
      <c r="D102" s="14">
        <v>2730000</v>
      </c>
      <c r="E102" s="14">
        <f t="shared" si="22"/>
        <v>218400</v>
      </c>
      <c r="F102" s="14">
        <f t="shared" si="23"/>
        <v>2948400</v>
      </c>
      <c r="G102" s="5" t="s">
        <v>311</v>
      </c>
    </row>
    <row r="103" spans="1:7" ht="15.75" customHeight="1" x14ac:dyDescent="0.3">
      <c r="A103" s="4" t="s">
        <v>149</v>
      </c>
      <c r="B103" s="5" t="s">
        <v>25</v>
      </c>
      <c r="C103" s="5" t="s">
        <v>43</v>
      </c>
      <c r="D103" s="14">
        <v>1005000</v>
      </c>
      <c r="E103" s="14">
        <f t="shared" si="22"/>
        <v>80400</v>
      </c>
      <c r="F103" s="14">
        <f t="shared" si="23"/>
        <v>1085400</v>
      </c>
      <c r="G103" s="5" t="s">
        <v>312</v>
      </c>
    </row>
    <row r="104" spans="1:7" ht="15.75" customHeight="1" x14ac:dyDescent="0.3">
      <c r="A104" s="4" t="s">
        <v>150</v>
      </c>
      <c r="B104" s="5" t="s">
        <v>25</v>
      </c>
      <c r="C104" s="5" t="s">
        <v>40</v>
      </c>
      <c r="D104" s="14">
        <v>4097000</v>
      </c>
      <c r="E104" s="14">
        <f t="shared" si="22"/>
        <v>327760</v>
      </c>
      <c r="F104" s="14">
        <f t="shared" si="23"/>
        <v>4424760</v>
      </c>
      <c r="G104" s="5" t="s">
        <v>313</v>
      </c>
    </row>
    <row r="105" spans="1:7" ht="15.75" customHeight="1" x14ac:dyDescent="0.3">
      <c r="A105" s="4" t="s">
        <v>151</v>
      </c>
      <c r="B105" s="5" t="s">
        <v>25</v>
      </c>
      <c r="C105" s="5" t="s">
        <v>27</v>
      </c>
      <c r="D105" s="14">
        <v>3690000</v>
      </c>
      <c r="E105" s="14">
        <f t="shared" si="22"/>
        <v>295200</v>
      </c>
      <c r="F105" s="14">
        <f t="shared" si="23"/>
        <v>3985200</v>
      </c>
      <c r="G105" s="5" t="s">
        <v>314</v>
      </c>
    </row>
    <row r="106" spans="1:7" ht="15.75" customHeight="1" x14ac:dyDescent="0.3">
      <c r="A106" s="4" t="s">
        <v>152</v>
      </c>
      <c r="B106" s="5" t="s">
        <v>25</v>
      </c>
      <c r="C106" s="5" t="s">
        <v>42</v>
      </c>
      <c r="D106" s="14">
        <v>3735000</v>
      </c>
      <c r="E106" s="14">
        <f t="shared" si="22"/>
        <v>298800</v>
      </c>
      <c r="F106" s="14">
        <f t="shared" si="23"/>
        <v>4033800</v>
      </c>
      <c r="G106" s="5" t="s">
        <v>315</v>
      </c>
    </row>
    <row r="107" spans="1:7" ht="15.75" customHeight="1" x14ac:dyDescent="0.3">
      <c r="A107" s="4" t="s">
        <v>153</v>
      </c>
      <c r="B107" s="5" t="s">
        <v>25</v>
      </c>
      <c r="C107" s="5" t="s">
        <v>34</v>
      </c>
      <c r="D107" s="14">
        <v>9465000</v>
      </c>
      <c r="E107" s="14">
        <f t="shared" ref="E107:E115" si="24">+D107*0.08</f>
        <v>757200</v>
      </c>
      <c r="F107" s="14">
        <f t="shared" ref="F107:F115" si="25">+E107+D107</f>
        <v>10222200</v>
      </c>
      <c r="G107" s="5" t="s">
        <v>316</v>
      </c>
    </row>
    <row r="108" spans="1:7" ht="15.75" customHeight="1" x14ac:dyDescent="0.3">
      <c r="A108" s="4" t="s">
        <v>154</v>
      </c>
      <c r="B108" s="5" t="s">
        <v>25</v>
      </c>
      <c r="C108" s="5" t="s">
        <v>36</v>
      </c>
      <c r="D108" s="14">
        <v>2730000</v>
      </c>
      <c r="E108" s="14">
        <f t="shared" si="24"/>
        <v>218400</v>
      </c>
      <c r="F108" s="14">
        <f t="shared" si="25"/>
        <v>2948400</v>
      </c>
      <c r="G108" s="5" t="s">
        <v>317</v>
      </c>
    </row>
    <row r="109" spans="1:7" ht="15.75" customHeight="1" x14ac:dyDescent="0.3">
      <c r="A109" s="4" t="s">
        <v>155</v>
      </c>
      <c r="B109" s="5" t="s">
        <v>25</v>
      </c>
      <c r="C109" s="5" t="s">
        <v>50</v>
      </c>
      <c r="D109" s="14">
        <v>2730000</v>
      </c>
      <c r="E109" s="14">
        <f t="shared" si="24"/>
        <v>218400</v>
      </c>
      <c r="F109" s="14">
        <f t="shared" si="25"/>
        <v>2948400</v>
      </c>
      <c r="G109" s="5" t="s">
        <v>318</v>
      </c>
    </row>
    <row r="110" spans="1:7" ht="15.75" customHeight="1" x14ac:dyDescent="0.3">
      <c r="A110" s="4" t="s">
        <v>156</v>
      </c>
      <c r="B110" s="5" t="s">
        <v>25</v>
      </c>
      <c r="C110" s="5" t="s">
        <v>59</v>
      </c>
      <c r="D110" s="14">
        <v>1005000</v>
      </c>
      <c r="E110" s="14">
        <f t="shared" si="24"/>
        <v>80400</v>
      </c>
      <c r="F110" s="14">
        <f t="shared" si="25"/>
        <v>1085400</v>
      </c>
      <c r="G110" s="5" t="s">
        <v>319</v>
      </c>
    </row>
    <row r="111" spans="1:7" ht="15.75" customHeight="1" x14ac:dyDescent="0.3">
      <c r="A111" s="4" t="s">
        <v>157</v>
      </c>
      <c r="B111" s="5" t="s">
        <v>25</v>
      </c>
      <c r="C111" s="5" t="s">
        <v>51</v>
      </c>
      <c r="D111" s="14">
        <v>1005000</v>
      </c>
      <c r="E111" s="14">
        <f t="shared" si="24"/>
        <v>80400</v>
      </c>
      <c r="F111" s="14">
        <f t="shared" si="25"/>
        <v>1085400</v>
      </c>
      <c r="G111" s="5" t="s">
        <v>320</v>
      </c>
    </row>
    <row r="112" spans="1:7" ht="15.75" customHeight="1" x14ac:dyDescent="0.3">
      <c r="A112" s="4" t="s">
        <v>158</v>
      </c>
      <c r="B112" s="5" t="s">
        <v>25</v>
      </c>
      <c r="C112" s="5" t="s">
        <v>59</v>
      </c>
      <c r="D112" s="14">
        <v>2715000</v>
      </c>
      <c r="E112" s="14">
        <f t="shared" si="24"/>
        <v>217200</v>
      </c>
      <c r="F112" s="14">
        <f t="shared" si="25"/>
        <v>2932200</v>
      </c>
      <c r="G112" s="5" t="s">
        <v>321</v>
      </c>
    </row>
    <row r="113" spans="1:7" ht="15.75" customHeight="1" x14ac:dyDescent="0.3">
      <c r="A113" s="4" t="s">
        <v>159</v>
      </c>
      <c r="B113" s="5" t="s">
        <v>25</v>
      </c>
      <c r="C113" s="5" t="s">
        <v>47</v>
      </c>
      <c r="D113" s="14">
        <v>960000</v>
      </c>
      <c r="E113" s="14">
        <f t="shared" si="24"/>
        <v>76800</v>
      </c>
      <c r="F113" s="14">
        <f t="shared" si="25"/>
        <v>1036800</v>
      </c>
      <c r="G113" s="5" t="s">
        <v>322</v>
      </c>
    </row>
    <row r="114" spans="1:7" ht="15.75" customHeight="1" x14ac:dyDescent="0.3">
      <c r="A114" s="4" t="s">
        <v>160</v>
      </c>
      <c r="B114" s="5" t="s">
        <v>25</v>
      </c>
      <c r="C114" s="5" t="s">
        <v>44</v>
      </c>
      <c r="D114" s="14">
        <v>2850000</v>
      </c>
      <c r="E114" s="14">
        <f t="shared" si="24"/>
        <v>228000</v>
      </c>
      <c r="F114" s="14">
        <f t="shared" si="25"/>
        <v>3078000</v>
      </c>
      <c r="G114" s="5" t="s">
        <v>323</v>
      </c>
    </row>
    <row r="115" spans="1:7" ht="15.75" customHeight="1" x14ac:dyDescent="0.3">
      <c r="A115" s="4" t="s">
        <v>161</v>
      </c>
      <c r="B115" s="5" t="s">
        <v>25</v>
      </c>
      <c r="C115" s="5" t="s">
        <v>48</v>
      </c>
      <c r="D115" s="14">
        <v>3045000</v>
      </c>
      <c r="E115" s="14">
        <f t="shared" si="24"/>
        <v>243600</v>
      </c>
      <c r="F115" s="14">
        <f t="shared" si="25"/>
        <v>3288600</v>
      </c>
      <c r="G115" s="5" t="s">
        <v>324</v>
      </c>
    </row>
    <row r="116" spans="1:7" ht="15.75" customHeight="1" x14ac:dyDescent="0.3">
      <c r="A116" s="4" t="s">
        <v>162</v>
      </c>
      <c r="B116" s="5" t="s">
        <v>25</v>
      </c>
      <c r="C116" s="5" t="s">
        <v>56</v>
      </c>
      <c r="D116" s="14">
        <v>2040000</v>
      </c>
      <c r="E116" s="14">
        <f t="shared" ref="E116:E121" si="26">+D116*0.08</f>
        <v>163200</v>
      </c>
      <c r="F116" s="14">
        <f t="shared" ref="F116:F121" si="27">+E116+D116</f>
        <v>2203200</v>
      </c>
      <c r="G116" s="5" t="s">
        <v>325</v>
      </c>
    </row>
    <row r="117" spans="1:7" ht="15.75" customHeight="1" x14ac:dyDescent="0.3">
      <c r="A117" s="4" t="s">
        <v>163</v>
      </c>
      <c r="B117" s="5" t="s">
        <v>25</v>
      </c>
      <c r="C117" s="5" t="s">
        <v>31</v>
      </c>
      <c r="D117" s="14">
        <v>1040000</v>
      </c>
      <c r="E117" s="14">
        <f t="shared" si="26"/>
        <v>83200</v>
      </c>
      <c r="F117" s="14">
        <f t="shared" si="27"/>
        <v>1123200</v>
      </c>
      <c r="G117" s="5" t="s">
        <v>326</v>
      </c>
    </row>
    <row r="118" spans="1:7" ht="15.75" customHeight="1" x14ac:dyDescent="0.3">
      <c r="A118" s="4" t="s">
        <v>164</v>
      </c>
      <c r="B118" s="5" t="s">
        <v>25</v>
      </c>
      <c r="C118" s="5" t="s">
        <v>27</v>
      </c>
      <c r="D118" s="14">
        <v>1645000</v>
      </c>
      <c r="E118" s="14">
        <f t="shared" si="26"/>
        <v>131600</v>
      </c>
      <c r="F118" s="14">
        <f t="shared" si="27"/>
        <v>1776600</v>
      </c>
      <c r="G118" s="5" t="s">
        <v>327</v>
      </c>
    </row>
    <row r="119" spans="1:7" ht="15.75" customHeight="1" x14ac:dyDescent="0.3">
      <c r="A119" s="4" t="s">
        <v>165</v>
      </c>
      <c r="B119" s="5" t="s">
        <v>25</v>
      </c>
      <c r="C119" s="5" t="s">
        <v>35</v>
      </c>
      <c r="D119" s="14">
        <v>3045000</v>
      </c>
      <c r="E119" s="14">
        <f t="shared" si="26"/>
        <v>243600</v>
      </c>
      <c r="F119" s="14">
        <f t="shared" si="27"/>
        <v>3288600</v>
      </c>
      <c r="G119" s="5" t="s">
        <v>328</v>
      </c>
    </row>
    <row r="120" spans="1:7" ht="15.75" customHeight="1" x14ac:dyDescent="0.3">
      <c r="A120" s="4" t="s">
        <v>166</v>
      </c>
      <c r="B120" s="5" t="s">
        <v>25</v>
      </c>
      <c r="C120" s="5" t="s">
        <v>39</v>
      </c>
      <c r="D120" s="14">
        <v>7450000</v>
      </c>
      <c r="E120" s="14">
        <f t="shared" si="26"/>
        <v>596000</v>
      </c>
      <c r="F120" s="14">
        <f t="shared" si="27"/>
        <v>8046000</v>
      </c>
      <c r="G120" s="5" t="s">
        <v>329</v>
      </c>
    </row>
    <row r="121" spans="1:7" ht="15.75" customHeight="1" x14ac:dyDescent="0.3">
      <c r="A121" s="4" t="s">
        <v>167</v>
      </c>
      <c r="B121" s="5" t="s">
        <v>25</v>
      </c>
      <c r="C121" s="5" t="s">
        <v>54</v>
      </c>
      <c r="D121" s="14">
        <v>7560000</v>
      </c>
      <c r="E121" s="14">
        <f t="shared" si="26"/>
        <v>604800</v>
      </c>
      <c r="F121" s="14">
        <f t="shared" si="27"/>
        <v>8164800</v>
      </c>
      <c r="G121" s="5" t="s">
        <v>330</v>
      </c>
    </row>
    <row r="122" spans="1:7" ht="15.75" customHeight="1" x14ac:dyDescent="0.3">
      <c r="A122" s="4" t="s">
        <v>168</v>
      </c>
      <c r="B122" s="5" t="s">
        <v>25</v>
      </c>
      <c r="C122" s="5" t="s">
        <v>54</v>
      </c>
      <c r="D122" s="14">
        <v>9150000</v>
      </c>
      <c r="E122" s="14">
        <f t="shared" ref="E122:E128" si="28">+D122*0.08</f>
        <v>732000</v>
      </c>
      <c r="F122" s="14">
        <f t="shared" ref="F122:F128" si="29">+E122+D122</f>
        <v>9882000</v>
      </c>
      <c r="G122" s="5" t="s">
        <v>331</v>
      </c>
    </row>
    <row r="123" spans="1:7" ht="15.75" customHeight="1" x14ac:dyDescent="0.3">
      <c r="A123" s="4" t="s">
        <v>169</v>
      </c>
      <c r="B123" s="5" t="s">
        <v>25</v>
      </c>
      <c r="C123" s="5" t="s">
        <v>35</v>
      </c>
      <c r="D123" s="14">
        <v>8695000</v>
      </c>
      <c r="E123" s="14">
        <f t="shared" si="28"/>
        <v>695600</v>
      </c>
      <c r="F123" s="14">
        <f t="shared" si="29"/>
        <v>9390600</v>
      </c>
      <c r="G123" s="5" t="s">
        <v>332</v>
      </c>
    </row>
    <row r="124" spans="1:7" ht="15.75" customHeight="1" x14ac:dyDescent="0.3">
      <c r="A124" s="4" t="s">
        <v>170</v>
      </c>
      <c r="B124" s="5" t="s">
        <v>25</v>
      </c>
      <c r="C124" s="5" t="s">
        <v>42</v>
      </c>
      <c r="D124" s="14">
        <v>3015000</v>
      </c>
      <c r="E124" s="14">
        <f t="shared" si="28"/>
        <v>241200</v>
      </c>
      <c r="F124" s="14">
        <f t="shared" si="29"/>
        <v>3256200</v>
      </c>
      <c r="G124" s="5" t="s">
        <v>333</v>
      </c>
    </row>
    <row r="125" spans="1:7" ht="15.75" customHeight="1" x14ac:dyDescent="0.3">
      <c r="A125" s="4" t="s">
        <v>171</v>
      </c>
      <c r="B125" s="5" t="s">
        <v>25</v>
      </c>
      <c r="C125" s="5" t="s">
        <v>44</v>
      </c>
      <c r="D125" s="14">
        <v>3000000</v>
      </c>
      <c r="E125" s="14">
        <f t="shared" si="28"/>
        <v>240000</v>
      </c>
      <c r="F125" s="14">
        <f t="shared" si="29"/>
        <v>3240000</v>
      </c>
      <c r="G125" s="5" t="s">
        <v>334</v>
      </c>
    </row>
    <row r="126" spans="1:7" ht="15.75" customHeight="1" x14ac:dyDescent="0.3">
      <c r="A126" s="4" t="s">
        <v>172</v>
      </c>
      <c r="B126" s="5" t="s">
        <v>25</v>
      </c>
      <c r="C126" s="5" t="s">
        <v>27</v>
      </c>
      <c r="D126" s="14">
        <v>2985000</v>
      </c>
      <c r="E126" s="14">
        <f t="shared" si="28"/>
        <v>238800</v>
      </c>
      <c r="F126" s="14">
        <f t="shared" si="29"/>
        <v>3223800</v>
      </c>
      <c r="G126" s="5" t="s">
        <v>335</v>
      </c>
    </row>
    <row r="127" spans="1:7" ht="15.75" customHeight="1" x14ac:dyDescent="0.3">
      <c r="A127" s="4" t="s">
        <v>173</v>
      </c>
      <c r="B127" s="5" t="s">
        <v>25</v>
      </c>
      <c r="C127" s="5" t="s">
        <v>50</v>
      </c>
      <c r="D127" s="14">
        <v>4565000</v>
      </c>
      <c r="E127" s="14">
        <f t="shared" si="28"/>
        <v>365200</v>
      </c>
      <c r="F127" s="14">
        <f t="shared" si="29"/>
        <v>4930200</v>
      </c>
      <c r="G127" s="5" t="s">
        <v>336</v>
      </c>
    </row>
    <row r="128" spans="1:7" ht="15.75" customHeight="1" x14ac:dyDescent="0.3">
      <c r="A128" s="4" t="s">
        <v>174</v>
      </c>
      <c r="B128" s="5" t="s">
        <v>25</v>
      </c>
      <c r="C128" s="5" t="s">
        <v>41</v>
      </c>
      <c r="D128" s="14">
        <v>5700000</v>
      </c>
      <c r="E128" s="14">
        <f t="shared" si="28"/>
        <v>456000</v>
      </c>
      <c r="F128" s="14">
        <f t="shared" si="29"/>
        <v>6156000</v>
      </c>
      <c r="G128" s="5" t="s">
        <v>337</v>
      </c>
    </row>
    <row r="129" spans="1:7" ht="15.75" customHeight="1" x14ac:dyDescent="0.3">
      <c r="A129" s="4" t="s">
        <v>175</v>
      </c>
      <c r="B129" s="5" t="s">
        <v>25</v>
      </c>
      <c r="C129" s="5" t="s">
        <v>52</v>
      </c>
      <c r="D129" s="14">
        <v>1965000</v>
      </c>
      <c r="E129" s="14">
        <f t="shared" ref="E129:E138" si="30">+D129*0.08</f>
        <v>157200</v>
      </c>
      <c r="F129" s="14">
        <f t="shared" ref="F129:F138" si="31">+E129+D129</f>
        <v>2122200</v>
      </c>
      <c r="G129" s="5" t="s">
        <v>338</v>
      </c>
    </row>
    <row r="130" spans="1:7" ht="15.75" customHeight="1" x14ac:dyDescent="0.3">
      <c r="A130" s="4" t="s">
        <v>176</v>
      </c>
      <c r="B130" s="5" t="s">
        <v>25</v>
      </c>
      <c r="C130" s="5" t="s">
        <v>39</v>
      </c>
      <c r="D130" s="14">
        <v>4635000</v>
      </c>
      <c r="E130" s="14">
        <f t="shared" si="30"/>
        <v>370800</v>
      </c>
      <c r="F130" s="14">
        <f t="shared" si="31"/>
        <v>5005800</v>
      </c>
      <c r="G130" s="5" t="s">
        <v>339</v>
      </c>
    </row>
    <row r="131" spans="1:7" ht="15.75" customHeight="1" x14ac:dyDescent="0.3">
      <c r="A131" s="4" t="s">
        <v>177</v>
      </c>
      <c r="B131" s="5" t="s">
        <v>25</v>
      </c>
      <c r="C131" s="5" t="s">
        <v>45</v>
      </c>
      <c r="D131" s="14">
        <v>960000</v>
      </c>
      <c r="E131" s="14">
        <f t="shared" si="30"/>
        <v>76800</v>
      </c>
      <c r="F131" s="14">
        <f t="shared" si="31"/>
        <v>1036800</v>
      </c>
      <c r="G131" s="5" t="s">
        <v>340</v>
      </c>
    </row>
    <row r="132" spans="1:7" ht="15.75" customHeight="1" x14ac:dyDescent="0.3">
      <c r="A132" s="4" t="s">
        <v>178</v>
      </c>
      <c r="B132" s="5" t="s">
        <v>25</v>
      </c>
      <c r="C132" s="5" t="s">
        <v>42</v>
      </c>
      <c r="D132" s="14">
        <v>750000</v>
      </c>
      <c r="E132" s="14">
        <f t="shared" si="30"/>
        <v>60000</v>
      </c>
      <c r="F132" s="14">
        <f t="shared" si="31"/>
        <v>810000</v>
      </c>
      <c r="G132" s="5" t="s">
        <v>341</v>
      </c>
    </row>
    <row r="133" spans="1:7" ht="15.75" customHeight="1" x14ac:dyDescent="0.3">
      <c r="A133" s="4" t="s">
        <v>179</v>
      </c>
      <c r="B133" s="5" t="s">
        <v>25</v>
      </c>
      <c r="C133" s="5" t="s">
        <v>56</v>
      </c>
      <c r="D133" s="14">
        <v>1005000</v>
      </c>
      <c r="E133" s="14">
        <f t="shared" si="30"/>
        <v>80400</v>
      </c>
      <c r="F133" s="14">
        <f t="shared" si="31"/>
        <v>1085400</v>
      </c>
      <c r="G133" s="5" t="s">
        <v>342</v>
      </c>
    </row>
    <row r="134" spans="1:7" ht="15.75" customHeight="1" x14ac:dyDescent="0.3">
      <c r="A134" s="4" t="s">
        <v>180</v>
      </c>
      <c r="B134" s="5" t="s">
        <v>25</v>
      </c>
      <c r="C134" s="5" t="s">
        <v>47</v>
      </c>
      <c r="D134" s="14">
        <v>5305000</v>
      </c>
      <c r="E134" s="14">
        <f t="shared" si="30"/>
        <v>424400</v>
      </c>
      <c r="F134" s="14">
        <f t="shared" si="31"/>
        <v>5729400</v>
      </c>
      <c r="G134" s="5" t="s">
        <v>343</v>
      </c>
    </row>
    <row r="135" spans="1:7" ht="15.75" customHeight="1" x14ac:dyDescent="0.3">
      <c r="A135" s="4" t="s">
        <v>181</v>
      </c>
      <c r="B135" s="5" t="s">
        <v>25</v>
      </c>
      <c r="C135" s="5" t="s">
        <v>51</v>
      </c>
      <c r="D135" s="14">
        <v>8585000</v>
      </c>
      <c r="E135" s="14">
        <f t="shared" si="30"/>
        <v>686800</v>
      </c>
      <c r="F135" s="14">
        <f t="shared" si="31"/>
        <v>9271800</v>
      </c>
      <c r="G135" s="5" t="s">
        <v>344</v>
      </c>
    </row>
    <row r="136" spans="1:7" ht="15.75" customHeight="1" x14ac:dyDescent="0.3">
      <c r="A136" s="4" t="s">
        <v>182</v>
      </c>
      <c r="B136" s="5" t="s">
        <v>25</v>
      </c>
      <c r="C136" s="5" t="s">
        <v>53</v>
      </c>
      <c r="D136" s="14">
        <v>17016000</v>
      </c>
      <c r="E136" s="14">
        <f t="shared" si="30"/>
        <v>1361280</v>
      </c>
      <c r="F136" s="14">
        <f t="shared" si="31"/>
        <v>18377280</v>
      </c>
      <c r="G136" s="5" t="s">
        <v>345</v>
      </c>
    </row>
    <row r="137" spans="1:7" ht="15.75" customHeight="1" x14ac:dyDescent="0.3">
      <c r="A137" s="4" t="s">
        <v>183</v>
      </c>
      <c r="B137" s="5" t="s">
        <v>25</v>
      </c>
      <c r="C137" s="5" t="s">
        <v>49</v>
      </c>
      <c r="D137" s="14">
        <v>13123500</v>
      </c>
      <c r="E137" s="14">
        <f t="shared" si="30"/>
        <v>1049880</v>
      </c>
      <c r="F137" s="14">
        <f t="shared" si="31"/>
        <v>14173380</v>
      </c>
      <c r="G137" s="5" t="s">
        <v>346</v>
      </c>
    </row>
    <row r="138" spans="1:7" ht="15.75" customHeight="1" x14ac:dyDescent="0.3">
      <c r="A138" s="4" t="s">
        <v>184</v>
      </c>
      <c r="B138" s="5" t="s">
        <v>25</v>
      </c>
      <c r="C138" s="5" t="s">
        <v>41</v>
      </c>
      <c r="D138" s="14">
        <v>3914000</v>
      </c>
      <c r="E138" s="14">
        <f t="shared" si="30"/>
        <v>313120</v>
      </c>
      <c r="F138" s="14">
        <f t="shared" si="31"/>
        <v>4227120</v>
      </c>
      <c r="G138" s="5" t="s">
        <v>347</v>
      </c>
    </row>
    <row r="139" spans="1:7" ht="15.75" customHeight="1" x14ac:dyDescent="0.3">
      <c r="A139" s="4" t="s">
        <v>185</v>
      </c>
      <c r="B139" s="5" t="s">
        <v>25</v>
      </c>
      <c r="C139" s="5" t="s">
        <v>49</v>
      </c>
      <c r="D139" s="14">
        <v>10005000</v>
      </c>
      <c r="E139" s="14">
        <f t="shared" ref="E139:E142" si="32">+D139*0.08</f>
        <v>800400</v>
      </c>
      <c r="F139" s="14">
        <f t="shared" ref="F139:F142" si="33">+E139+D139</f>
        <v>10805400</v>
      </c>
      <c r="G139" s="5" t="s">
        <v>348</v>
      </c>
    </row>
    <row r="140" spans="1:7" ht="15.75" customHeight="1" x14ac:dyDescent="0.3">
      <c r="A140" s="4" t="s">
        <v>186</v>
      </c>
      <c r="B140" s="5" t="s">
        <v>25</v>
      </c>
      <c r="C140" s="5" t="s">
        <v>32</v>
      </c>
      <c r="D140" s="14">
        <v>3960000</v>
      </c>
      <c r="E140" s="14">
        <f t="shared" si="32"/>
        <v>316800</v>
      </c>
      <c r="F140" s="14">
        <f t="shared" si="33"/>
        <v>4276800</v>
      </c>
      <c r="G140" s="5" t="s">
        <v>349</v>
      </c>
    </row>
    <row r="141" spans="1:7" ht="15.75" customHeight="1" x14ac:dyDescent="0.3">
      <c r="A141" s="4" t="s">
        <v>187</v>
      </c>
      <c r="B141" s="5" t="s">
        <v>25</v>
      </c>
      <c r="C141" s="5" t="s">
        <v>29</v>
      </c>
      <c r="D141" s="14">
        <v>9440000</v>
      </c>
      <c r="E141" s="14">
        <f t="shared" si="32"/>
        <v>755200</v>
      </c>
      <c r="F141" s="14">
        <f t="shared" si="33"/>
        <v>10195200</v>
      </c>
      <c r="G141" s="5" t="s">
        <v>350</v>
      </c>
    </row>
    <row r="142" spans="1:7" ht="15.75" customHeight="1" x14ac:dyDescent="0.3">
      <c r="A142" s="4" t="s">
        <v>188</v>
      </c>
      <c r="B142" s="5" t="s">
        <v>25</v>
      </c>
      <c r="C142" s="5" t="s">
        <v>45</v>
      </c>
      <c r="D142" s="14">
        <v>3960000</v>
      </c>
      <c r="E142" s="14">
        <f t="shared" si="32"/>
        <v>316800</v>
      </c>
      <c r="F142" s="14">
        <f t="shared" si="33"/>
        <v>4276800</v>
      </c>
      <c r="G142" s="5" t="s">
        <v>351</v>
      </c>
    </row>
    <row r="143" spans="1:7" ht="15.75" customHeight="1" x14ac:dyDescent="0.3">
      <c r="A143" s="4" t="s">
        <v>189</v>
      </c>
      <c r="B143" s="5" t="s">
        <v>25</v>
      </c>
      <c r="C143" s="5" t="s">
        <v>47</v>
      </c>
      <c r="D143" s="14">
        <v>6794500</v>
      </c>
      <c r="E143" s="14">
        <f t="shared" ref="E143:E149" si="34">+D143*0.08</f>
        <v>543560</v>
      </c>
      <c r="F143" s="14">
        <f t="shared" ref="F143:F149" si="35">+E143+D143</f>
        <v>7338060</v>
      </c>
      <c r="G143" s="5" t="s">
        <v>352</v>
      </c>
    </row>
    <row r="144" spans="1:7" ht="15.75" customHeight="1" x14ac:dyDescent="0.3">
      <c r="A144" s="4" t="s">
        <v>190</v>
      </c>
      <c r="B144" s="5" t="s">
        <v>25</v>
      </c>
      <c r="C144" s="5" t="s">
        <v>50</v>
      </c>
      <c r="D144" s="14">
        <v>1005000</v>
      </c>
      <c r="E144" s="14">
        <f t="shared" si="34"/>
        <v>80400</v>
      </c>
      <c r="F144" s="14">
        <f t="shared" si="35"/>
        <v>1085400</v>
      </c>
      <c r="G144" s="5" t="s">
        <v>353</v>
      </c>
    </row>
    <row r="145" spans="1:7" ht="15.75" customHeight="1" x14ac:dyDescent="0.3">
      <c r="A145" s="4" t="s">
        <v>191</v>
      </c>
      <c r="B145" s="5" t="s">
        <v>25</v>
      </c>
      <c r="C145" s="5" t="s">
        <v>50</v>
      </c>
      <c r="D145" s="14">
        <v>1920000</v>
      </c>
      <c r="E145" s="14">
        <f t="shared" si="34"/>
        <v>153600</v>
      </c>
      <c r="F145" s="14">
        <f t="shared" si="35"/>
        <v>2073600</v>
      </c>
      <c r="G145" s="5" t="s">
        <v>354</v>
      </c>
    </row>
    <row r="146" spans="1:7" ht="15.75" customHeight="1" x14ac:dyDescent="0.3">
      <c r="A146" s="4" t="s">
        <v>192</v>
      </c>
      <c r="B146" s="5" t="s">
        <v>25</v>
      </c>
      <c r="C146" s="5" t="s">
        <v>42</v>
      </c>
      <c r="D146" s="14">
        <v>2010000</v>
      </c>
      <c r="E146" s="14">
        <f t="shared" si="34"/>
        <v>160800</v>
      </c>
      <c r="F146" s="14">
        <f t="shared" si="35"/>
        <v>2170800</v>
      </c>
      <c r="G146" s="5" t="s">
        <v>355</v>
      </c>
    </row>
    <row r="147" spans="1:7" ht="15.75" customHeight="1" x14ac:dyDescent="0.3">
      <c r="A147" s="4" t="s">
        <v>193</v>
      </c>
      <c r="B147" s="5" t="s">
        <v>25</v>
      </c>
      <c r="C147" s="5" t="s">
        <v>47</v>
      </c>
      <c r="D147" s="14">
        <v>1005000</v>
      </c>
      <c r="E147" s="14">
        <f t="shared" si="34"/>
        <v>80400</v>
      </c>
      <c r="F147" s="14">
        <f t="shared" si="35"/>
        <v>1085400</v>
      </c>
      <c r="G147" s="5" t="s">
        <v>356</v>
      </c>
    </row>
    <row r="148" spans="1:7" ht="15.75" customHeight="1" x14ac:dyDescent="0.3">
      <c r="A148" s="4" t="s">
        <v>194</v>
      </c>
      <c r="B148" s="5" t="s">
        <v>25</v>
      </c>
      <c r="C148" s="5" t="s">
        <v>56</v>
      </c>
      <c r="D148" s="14">
        <v>1005000</v>
      </c>
      <c r="E148" s="14">
        <f t="shared" si="34"/>
        <v>80400</v>
      </c>
      <c r="F148" s="14">
        <f t="shared" si="35"/>
        <v>1085400</v>
      </c>
      <c r="G148" s="5" t="s">
        <v>357</v>
      </c>
    </row>
    <row r="149" spans="1:7" ht="15.75" customHeight="1" x14ac:dyDescent="0.3">
      <c r="A149" s="4" t="s">
        <v>195</v>
      </c>
      <c r="B149" s="5" t="s">
        <v>25</v>
      </c>
      <c r="C149" s="5" t="s">
        <v>40</v>
      </c>
      <c r="D149" s="14">
        <v>2925000</v>
      </c>
      <c r="E149" s="14">
        <f t="shared" si="34"/>
        <v>234000</v>
      </c>
      <c r="F149" s="14">
        <f t="shared" si="35"/>
        <v>3159000</v>
      </c>
      <c r="G149" s="5" t="s">
        <v>358</v>
      </c>
    </row>
    <row r="150" spans="1:7" ht="15.75" customHeight="1" x14ac:dyDescent="0.3">
      <c r="A150" s="4" t="s">
        <v>196</v>
      </c>
      <c r="B150" s="5" t="s">
        <v>25</v>
      </c>
      <c r="C150" s="5" t="s">
        <v>39</v>
      </c>
      <c r="D150" s="14">
        <v>3852000</v>
      </c>
      <c r="E150" s="14">
        <f t="shared" ref="E150:E153" si="36">+D150*0.08</f>
        <v>308160</v>
      </c>
      <c r="F150" s="14">
        <f t="shared" ref="F150:F153" si="37">+E150+D150</f>
        <v>4160160</v>
      </c>
      <c r="G150" s="5" t="s">
        <v>359</v>
      </c>
    </row>
    <row r="151" spans="1:7" ht="15.75" customHeight="1" x14ac:dyDescent="0.3">
      <c r="A151" s="4" t="s">
        <v>197</v>
      </c>
      <c r="B151" s="5" t="s">
        <v>25</v>
      </c>
      <c r="C151" s="5" t="s">
        <v>49</v>
      </c>
      <c r="D151" s="14">
        <v>27100000</v>
      </c>
      <c r="E151" s="14">
        <f t="shared" si="36"/>
        <v>2168000</v>
      </c>
      <c r="F151" s="14">
        <f t="shared" si="37"/>
        <v>29268000</v>
      </c>
      <c r="G151" s="5" t="s">
        <v>360</v>
      </c>
    </row>
    <row r="152" spans="1:7" ht="15.75" customHeight="1" x14ac:dyDescent="0.3">
      <c r="A152" s="4" t="s">
        <v>198</v>
      </c>
      <c r="B152" s="5" t="s">
        <v>25</v>
      </c>
      <c r="C152" s="5" t="s">
        <v>59</v>
      </c>
      <c r="D152" s="14">
        <v>7786000</v>
      </c>
      <c r="E152" s="14">
        <f t="shared" si="36"/>
        <v>622880</v>
      </c>
      <c r="F152" s="14">
        <f t="shared" si="37"/>
        <v>8408880</v>
      </c>
      <c r="G152" s="5" t="s">
        <v>361</v>
      </c>
    </row>
    <row r="153" spans="1:7" ht="15.75" customHeight="1" x14ac:dyDescent="0.3">
      <c r="A153" s="4" t="s">
        <v>199</v>
      </c>
      <c r="B153" s="5" t="s">
        <v>25</v>
      </c>
      <c r="C153" s="5" t="s">
        <v>30</v>
      </c>
      <c r="D153" s="14">
        <v>2253000</v>
      </c>
      <c r="E153" s="14">
        <f t="shared" si="36"/>
        <v>180240</v>
      </c>
      <c r="F153" s="14">
        <f t="shared" si="37"/>
        <v>2433240</v>
      </c>
      <c r="G153" s="5" t="s">
        <v>362</v>
      </c>
    </row>
    <row r="154" spans="1:7" ht="15.75" customHeight="1" x14ac:dyDescent="0.3">
      <c r="A154" s="4" t="s">
        <v>200</v>
      </c>
      <c r="B154" s="5" t="s">
        <v>25</v>
      </c>
      <c r="C154" s="5" t="s">
        <v>40</v>
      </c>
      <c r="D154" s="14">
        <v>4815000</v>
      </c>
      <c r="E154" s="14">
        <f t="shared" ref="E154:E157" si="38">+D154*0.08</f>
        <v>385200</v>
      </c>
      <c r="F154" s="14">
        <f t="shared" ref="F154:F157" si="39">+E154+D154</f>
        <v>5200200</v>
      </c>
      <c r="G154" s="5" t="s">
        <v>363</v>
      </c>
    </row>
    <row r="155" spans="1:7" ht="15.75" customHeight="1" x14ac:dyDescent="0.3">
      <c r="A155" s="4" t="s">
        <v>201</v>
      </c>
      <c r="B155" s="5" t="s">
        <v>25</v>
      </c>
      <c r="C155" s="5" t="s">
        <v>28</v>
      </c>
      <c r="D155" s="14">
        <v>3035000</v>
      </c>
      <c r="E155" s="14">
        <f t="shared" si="38"/>
        <v>242800</v>
      </c>
      <c r="F155" s="14">
        <f t="shared" si="39"/>
        <v>3277800</v>
      </c>
      <c r="G155" s="5" t="s">
        <v>364</v>
      </c>
    </row>
    <row r="156" spans="1:7" ht="15.75" customHeight="1" x14ac:dyDescent="0.3">
      <c r="A156" s="4" t="s">
        <v>202</v>
      </c>
      <c r="B156" s="5" t="s">
        <v>25</v>
      </c>
      <c r="C156" s="5" t="s">
        <v>53</v>
      </c>
      <c r="D156" s="14">
        <v>2460000</v>
      </c>
      <c r="E156" s="14">
        <f t="shared" si="38"/>
        <v>196800</v>
      </c>
      <c r="F156" s="14">
        <f t="shared" si="39"/>
        <v>2656800</v>
      </c>
      <c r="G156" s="5" t="s">
        <v>365</v>
      </c>
    </row>
    <row r="157" spans="1:7" ht="15.75" customHeight="1" x14ac:dyDescent="0.3">
      <c r="A157" s="4" t="s">
        <v>203</v>
      </c>
      <c r="B157" s="5" t="s">
        <v>25</v>
      </c>
      <c r="C157" s="5" t="s">
        <v>44</v>
      </c>
      <c r="D157" s="14">
        <v>7078000</v>
      </c>
      <c r="E157" s="14">
        <f t="shared" si="38"/>
        <v>566240</v>
      </c>
      <c r="F157" s="14">
        <f t="shared" si="39"/>
        <v>7644240</v>
      </c>
      <c r="G157" s="5" t="s">
        <v>366</v>
      </c>
    </row>
    <row r="158" spans="1:7" ht="15.75" customHeight="1" x14ac:dyDescent="0.3">
      <c r="A158" s="4" t="s">
        <v>204</v>
      </c>
      <c r="B158" s="5" t="s">
        <v>25</v>
      </c>
      <c r="C158" s="5" t="s">
        <v>27</v>
      </c>
      <c r="D158" s="14">
        <v>6137000</v>
      </c>
      <c r="E158" s="14">
        <f t="shared" ref="E158:E167" si="40">+D158*0.08</f>
        <v>490960</v>
      </c>
      <c r="F158" s="14">
        <f t="shared" ref="F158:F167" si="41">+E158+D158</f>
        <v>6627960</v>
      </c>
      <c r="G158" s="5" t="s">
        <v>367</v>
      </c>
    </row>
    <row r="159" spans="1:7" ht="15.75" customHeight="1" x14ac:dyDescent="0.3">
      <c r="A159" s="4" t="s">
        <v>205</v>
      </c>
      <c r="B159" s="5" t="s">
        <v>25</v>
      </c>
      <c r="C159" s="5" t="s">
        <v>50</v>
      </c>
      <c r="D159" s="14">
        <v>11790000</v>
      </c>
      <c r="E159" s="14">
        <f t="shared" si="40"/>
        <v>943200</v>
      </c>
      <c r="F159" s="14">
        <f t="shared" si="41"/>
        <v>12733200</v>
      </c>
      <c r="G159" s="5" t="s">
        <v>368</v>
      </c>
    </row>
    <row r="160" spans="1:7" ht="15.75" customHeight="1" x14ac:dyDescent="0.3">
      <c r="A160" s="4" t="s">
        <v>206</v>
      </c>
      <c r="B160" s="5" t="s">
        <v>25</v>
      </c>
      <c r="C160" s="5" t="s">
        <v>49</v>
      </c>
      <c r="D160" s="14">
        <v>2550000</v>
      </c>
      <c r="E160" s="14">
        <f t="shared" si="40"/>
        <v>204000</v>
      </c>
      <c r="F160" s="14">
        <f t="shared" si="41"/>
        <v>2754000</v>
      </c>
      <c r="G160" s="5" t="s">
        <v>369</v>
      </c>
    </row>
    <row r="161" spans="1:7" ht="15.75" customHeight="1" x14ac:dyDescent="0.3">
      <c r="A161" s="4" t="s">
        <v>207</v>
      </c>
      <c r="B161" s="5" t="s">
        <v>25</v>
      </c>
      <c r="C161" s="5" t="s">
        <v>47</v>
      </c>
      <c r="D161" s="14">
        <v>8626500</v>
      </c>
      <c r="E161" s="14">
        <f t="shared" si="40"/>
        <v>690120</v>
      </c>
      <c r="F161" s="14">
        <f t="shared" si="41"/>
        <v>9316620</v>
      </c>
      <c r="G161" s="5" t="s">
        <v>370</v>
      </c>
    </row>
    <row r="162" spans="1:7" ht="15.75" customHeight="1" x14ac:dyDescent="0.3">
      <c r="A162" s="4" t="s">
        <v>208</v>
      </c>
      <c r="B162" s="5" t="s">
        <v>26</v>
      </c>
      <c r="C162" s="5" t="s">
        <v>59</v>
      </c>
      <c r="D162" s="14">
        <v>-68000</v>
      </c>
      <c r="E162" s="14">
        <f t="shared" si="40"/>
        <v>-5440</v>
      </c>
      <c r="F162" s="14">
        <f t="shared" si="41"/>
        <v>-73440</v>
      </c>
      <c r="G162" s="5" t="s">
        <v>371</v>
      </c>
    </row>
    <row r="163" spans="1:7" ht="15.75" customHeight="1" x14ac:dyDescent="0.3">
      <c r="A163" s="4" t="s">
        <v>209</v>
      </c>
      <c r="B163" s="5" t="s">
        <v>25</v>
      </c>
      <c r="C163" s="5" t="s">
        <v>56</v>
      </c>
      <c r="D163" s="14">
        <v>1005000</v>
      </c>
      <c r="E163" s="14">
        <f t="shared" si="40"/>
        <v>80400</v>
      </c>
      <c r="F163" s="14">
        <f t="shared" si="41"/>
        <v>1085400</v>
      </c>
      <c r="G163" s="5" t="s">
        <v>372</v>
      </c>
    </row>
    <row r="164" spans="1:7" ht="15.75" customHeight="1" x14ac:dyDescent="0.3">
      <c r="A164" s="4" t="s">
        <v>210</v>
      </c>
      <c r="B164" s="5" t="s">
        <v>25</v>
      </c>
      <c r="C164" s="5" t="s">
        <v>50</v>
      </c>
      <c r="D164" s="14">
        <v>2970000</v>
      </c>
      <c r="E164" s="14">
        <f t="shared" si="40"/>
        <v>237600</v>
      </c>
      <c r="F164" s="14">
        <f t="shared" si="41"/>
        <v>3207600</v>
      </c>
      <c r="G164" s="5" t="s">
        <v>373</v>
      </c>
    </row>
    <row r="165" spans="1:7" ht="15.75" customHeight="1" x14ac:dyDescent="0.3">
      <c r="A165" s="4" t="s">
        <v>211</v>
      </c>
      <c r="B165" s="5" t="s">
        <v>25</v>
      </c>
      <c r="C165" s="5" t="s">
        <v>46</v>
      </c>
      <c r="D165" s="14">
        <v>1965000</v>
      </c>
      <c r="E165" s="14">
        <f t="shared" si="40"/>
        <v>157200</v>
      </c>
      <c r="F165" s="14">
        <f t="shared" si="41"/>
        <v>2122200</v>
      </c>
      <c r="G165" s="5" t="s">
        <v>374</v>
      </c>
    </row>
    <row r="166" spans="1:7" ht="15.75" customHeight="1" x14ac:dyDescent="0.3">
      <c r="A166" s="4" t="s">
        <v>212</v>
      </c>
      <c r="B166" s="5" t="s">
        <v>25</v>
      </c>
      <c r="C166" s="5" t="s">
        <v>46</v>
      </c>
      <c r="D166" s="14">
        <v>960000</v>
      </c>
      <c r="E166" s="14">
        <f t="shared" si="40"/>
        <v>76800</v>
      </c>
      <c r="F166" s="14">
        <f t="shared" si="41"/>
        <v>1036800</v>
      </c>
      <c r="G166" s="5" t="s">
        <v>375</v>
      </c>
    </row>
    <row r="167" spans="1:7" ht="15.75" customHeight="1" x14ac:dyDescent="0.3">
      <c r="A167" s="4" t="s">
        <v>213</v>
      </c>
      <c r="B167" s="5" t="s">
        <v>25</v>
      </c>
      <c r="C167" s="5" t="s">
        <v>60</v>
      </c>
      <c r="D167" s="14">
        <v>2010000</v>
      </c>
      <c r="E167" s="14">
        <f t="shared" si="40"/>
        <v>160800</v>
      </c>
      <c r="F167" s="14">
        <f t="shared" si="41"/>
        <v>2170800</v>
      </c>
      <c r="G167" s="5" t="s">
        <v>376</v>
      </c>
    </row>
    <row r="168" spans="1:7" ht="15.75" customHeight="1" x14ac:dyDescent="0.3">
      <c r="A168" s="4" t="s">
        <v>214</v>
      </c>
      <c r="B168" s="5" t="s">
        <v>26</v>
      </c>
      <c r="C168" s="5" t="s">
        <v>61</v>
      </c>
      <c r="D168" s="14">
        <v>-1020000</v>
      </c>
      <c r="E168" s="14">
        <f t="shared" ref="E168:E170" si="42">+D168*0.08</f>
        <v>-81600</v>
      </c>
      <c r="F168" s="14">
        <f t="shared" ref="F168:F170" si="43">+E168+D168</f>
        <v>-1101600</v>
      </c>
      <c r="G168" s="5" t="s">
        <v>377</v>
      </c>
    </row>
    <row r="169" spans="1:7" ht="15.75" customHeight="1" x14ac:dyDescent="0.3">
      <c r="A169" s="4" t="s">
        <v>215</v>
      </c>
      <c r="B169" s="5" t="s">
        <v>25</v>
      </c>
      <c r="C169" s="5" t="s">
        <v>41</v>
      </c>
      <c r="D169" s="14">
        <v>2010000</v>
      </c>
      <c r="E169" s="14">
        <f t="shared" si="42"/>
        <v>160800</v>
      </c>
      <c r="F169" s="14">
        <f t="shared" si="43"/>
        <v>2170800</v>
      </c>
      <c r="G169" s="5" t="s">
        <v>378</v>
      </c>
    </row>
    <row r="170" spans="1:7" ht="15.75" customHeight="1" x14ac:dyDescent="0.3">
      <c r="A170" s="4" t="s">
        <v>216</v>
      </c>
      <c r="B170" s="5" t="s">
        <v>25</v>
      </c>
      <c r="C170" s="5" t="s">
        <v>57</v>
      </c>
      <c r="D170" s="14">
        <v>960000</v>
      </c>
      <c r="E170" s="14">
        <f t="shared" si="42"/>
        <v>76800</v>
      </c>
      <c r="F170" s="14">
        <f t="shared" si="43"/>
        <v>1036800</v>
      </c>
      <c r="G170" s="5" t="s">
        <v>379</v>
      </c>
    </row>
    <row r="171" spans="1:7" ht="15.75" customHeight="1" x14ac:dyDescent="0.3">
      <c r="A171" s="4" t="s">
        <v>217</v>
      </c>
      <c r="B171" s="5" t="s">
        <v>25</v>
      </c>
      <c r="C171" s="5" t="s">
        <v>48</v>
      </c>
      <c r="D171" s="14">
        <v>1005000</v>
      </c>
      <c r="E171" s="14">
        <f t="shared" ref="E171:E173" si="44">+D171*0.08</f>
        <v>80400</v>
      </c>
      <c r="F171" s="14">
        <f t="shared" ref="F171:F173" si="45">+E171+D171</f>
        <v>1085400</v>
      </c>
      <c r="G171" s="5" t="s">
        <v>380</v>
      </c>
    </row>
    <row r="172" spans="1:7" ht="15.75" customHeight="1" x14ac:dyDescent="0.3">
      <c r="A172" s="4" t="s">
        <v>218</v>
      </c>
      <c r="B172" s="5" t="s">
        <v>25</v>
      </c>
      <c r="C172" s="5" t="s">
        <v>44</v>
      </c>
      <c r="D172" s="14">
        <v>1005000</v>
      </c>
      <c r="E172" s="14">
        <f t="shared" si="44"/>
        <v>80400</v>
      </c>
      <c r="F172" s="14">
        <f t="shared" si="45"/>
        <v>1085400</v>
      </c>
      <c r="G172" s="5" t="s">
        <v>381</v>
      </c>
    </row>
    <row r="173" spans="1:7" ht="15.75" customHeight="1" x14ac:dyDescent="0.3">
      <c r="A173" s="4" t="s">
        <v>219</v>
      </c>
      <c r="B173" s="5" t="s">
        <v>25</v>
      </c>
      <c r="C173" s="5" t="s">
        <v>53</v>
      </c>
      <c r="D173" s="14">
        <v>4341000</v>
      </c>
      <c r="E173" s="14">
        <f t="shared" si="44"/>
        <v>347280</v>
      </c>
      <c r="F173" s="14">
        <f t="shared" si="45"/>
        <v>4688280</v>
      </c>
      <c r="G173" s="5" t="s">
        <v>382</v>
      </c>
    </row>
    <row r="174" spans="1:7" ht="15.75" customHeight="1" x14ac:dyDescent="0.3">
      <c r="A174" s="4" t="s">
        <v>220</v>
      </c>
      <c r="B174" s="5" t="s">
        <v>25</v>
      </c>
      <c r="C174" s="5" t="s">
        <v>51</v>
      </c>
      <c r="D174" s="14">
        <v>1720000</v>
      </c>
      <c r="E174" s="14">
        <f t="shared" ref="E174:E178" si="46">+D174*0.08</f>
        <v>137600</v>
      </c>
      <c r="F174" s="14">
        <f t="shared" ref="F174:F178" si="47">+E174+D174</f>
        <v>1857600</v>
      </c>
      <c r="G174" s="5" t="s">
        <v>383</v>
      </c>
    </row>
    <row r="175" spans="1:7" ht="15.75" customHeight="1" x14ac:dyDescent="0.3">
      <c r="A175" s="4" t="s">
        <v>221</v>
      </c>
      <c r="B175" s="5" t="s">
        <v>25</v>
      </c>
      <c r="C175" s="5" t="s">
        <v>47</v>
      </c>
      <c r="D175" s="14">
        <v>1800000</v>
      </c>
      <c r="E175" s="14">
        <f t="shared" si="46"/>
        <v>144000</v>
      </c>
      <c r="F175" s="14">
        <f t="shared" si="47"/>
        <v>1944000</v>
      </c>
      <c r="G175" s="5" t="s">
        <v>384</v>
      </c>
    </row>
    <row r="176" spans="1:7" ht="15.75" customHeight="1" x14ac:dyDescent="0.3">
      <c r="A176" s="4" t="s">
        <v>222</v>
      </c>
      <c r="B176" s="5" t="s">
        <v>25</v>
      </c>
      <c r="C176" s="5" t="s">
        <v>47</v>
      </c>
      <c r="D176" s="14">
        <v>4760000</v>
      </c>
      <c r="E176" s="14">
        <f t="shared" si="46"/>
        <v>380800</v>
      </c>
      <c r="F176" s="14">
        <f t="shared" si="47"/>
        <v>5140800</v>
      </c>
      <c r="G176" s="5" t="s">
        <v>385</v>
      </c>
    </row>
    <row r="177" spans="1:7" ht="15.75" customHeight="1" x14ac:dyDescent="0.3">
      <c r="A177" s="4" t="s">
        <v>223</v>
      </c>
      <c r="B177" s="5" t="s">
        <v>25</v>
      </c>
      <c r="C177" s="5" t="s">
        <v>27</v>
      </c>
      <c r="D177" s="14">
        <v>5540000</v>
      </c>
      <c r="E177" s="14">
        <f t="shared" si="46"/>
        <v>443200</v>
      </c>
      <c r="F177" s="14">
        <f t="shared" si="47"/>
        <v>5983200</v>
      </c>
      <c r="G177" s="5" t="s">
        <v>386</v>
      </c>
    </row>
    <row r="178" spans="1:7" ht="15.75" customHeight="1" x14ac:dyDescent="0.3">
      <c r="A178" s="4" t="s">
        <v>224</v>
      </c>
      <c r="B178" s="5" t="s">
        <v>25</v>
      </c>
      <c r="C178" s="5" t="s">
        <v>52</v>
      </c>
      <c r="D178" s="14">
        <v>2260000</v>
      </c>
      <c r="E178" s="14">
        <f t="shared" si="46"/>
        <v>180800</v>
      </c>
      <c r="F178" s="14">
        <f t="shared" si="47"/>
        <v>2440800</v>
      </c>
      <c r="G178" s="5" t="s">
        <v>387</v>
      </c>
    </row>
    <row r="179" spans="1:7" ht="16.8" customHeight="1" x14ac:dyDescent="0.3">
      <c r="A179" s="21" t="s">
        <v>5</v>
      </c>
      <c r="B179" s="22"/>
      <c r="C179" s="23"/>
      <c r="D179" s="13">
        <f>+SUM(D16:D178)</f>
        <v>715000265</v>
      </c>
      <c r="E179" s="13">
        <f>+SUM(E16:E178)</f>
        <v>57200021.200000003</v>
      </c>
      <c r="F179" s="13">
        <f>+SUM(F16:F178)</f>
        <v>772200286.20000005</v>
      </c>
      <c r="G179" s="3"/>
    </row>
    <row r="180" spans="1:7" ht="16.8" customHeight="1" x14ac:dyDescent="0.3">
      <c r="A180" s="21" t="s">
        <v>23</v>
      </c>
      <c r="B180" s="22"/>
      <c r="C180" s="23"/>
      <c r="D180" s="13">
        <v>23952537</v>
      </c>
      <c r="E180" s="13">
        <f>+D180*0.08</f>
        <v>1916202.96</v>
      </c>
      <c r="F180" s="13">
        <f>+E180+D180</f>
        <v>25868739.960000001</v>
      </c>
      <c r="G180" s="3"/>
    </row>
    <row r="181" spans="1:7" ht="12" customHeight="1" x14ac:dyDescent="0.3">
      <c r="A181" s="9"/>
      <c r="B181" s="9"/>
      <c r="C181" s="9"/>
      <c r="D181" s="10"/>
      <c r="E181" s="10"/>
      <c r="F181" s="10"/>
      <c r="G181" s="10"/>
    </row>
    <row r="182" spans="1:7" ht="16.2" customHeight="1" x14ac:dyDescent="0.3">
      <c r="A182" s="11"/>
      <c r="B182" s="11"/>
      <c r="C182" s="11"/>
      <c r="D182" s="11"/>
      <c r="E182" s="11"/>
      <c r="F182" s="11"/>
      <c r="G182" s="11"/>
    </row>
    <row r="183" spans="1:7" ht="48" customHeight="1" x14ac:dyDescent="0.3">
      <c r="A183" s="24"/>
      <c r="B183" s="24"/>
      <c r="C183" s="24"/>
      <c r="D183" s="6"/>
      <c r="E183" s="24" t="s">
        <v>24</v>
      </c>
      <c r="F183" s="24"/>
      <c r="G183" s="24"/>
    </row>
    <row r="186" spans="1:7" x14ac:dyDescent="0.3">
      <c r="D186" s="15"/>
    </row>
  </sheetData>
  <autoFilter ref="A15:G180" xr:uid="{3F418FD6-2367-4C0A-9FAB-A034177C8FF4}"/>
  <mergeCells count="15">
    <mergeCell ref="A180:C180"/>
    <mergeCell ref="A183:C183"/>
    <mergeCell ref="E183:G183"/>
    <mergeCell ref="A8:G8"/>
    <mergeCell ref="A10:G10"/>
    <mergeCell ref="A11:G11"/>
    <mergeCell ref="A12:G12"/>
    <mergeCell ref="A14:G14"/>
    <mergeCell ref="A179:C179"/>
    <mergeCell ref="A6:G6"/>
    <mergeCell ref="A1:C2"/>
    <mergeCell ref="E1:G1"/>
    <mergeCell ref="E2:G2"/>
    <mergeCell ref="A4:G4"/>
    <mergeCell ref="A5:G5"/>
  </mergeCells>
  <pageMargins left="0.25" right="0.25" top="0.25" bottom="0.5" header="0.5" footer="0.5"/>
  <pageSetup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06.2026</vt:lpstr>
      <vt:lpstr>'06.2026'!Print_Titles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ketoantruongtin@gmail.com</dc:creator>
  <cp:lastModifiedBy>HBK</cp:lastModifiedBy>
  <cp:revision>7</cp:revision>
  <cp:lastPrinted>2026-07-06T08:32:22Z</cp:lastPrinted>
  <dcterms:created xsi:type="dcterms:W3CDTF">2025-07-10T07:35:00Z</dcterms:created>
  <dcterms:modified xsi:type="dcterms:W3CDTF">2026-07-06T08:36:36Z</dcterms:modified>
</cp:coreProperties>
</file>