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VĂN PHÒNG\CÁ NHÂN\BÍCH HẰNG\CÔNG NỢ KÊNH MT\BẢNG KÊ HÓA ĐƠN CHIẾT KHẤU\BẢNG KÊ HĐ CHIẾT KHẤU- LOTTE\"/>
    </mc:Choice>
  </mc:AlternateContent>
  <bookViews>
    <workbookView xWindow="0" yWindow="0" windowWidth="23040" windowHeight="9516" activeTab="7"/>
  </bookViews>
  <sheets>
    <sheet name="11.2025" sheetId="1" r:id="rId1"/>
    <sheet name="12.2025" sheetId="6" r:id="rId2"/>
    <sheet name="1.2026" sheetId="3" r:id="rId3"/>
    <sheet name="2.2026" sheetId="4" r:id="rId4"/>
    <sheet name="04.2026" sheetId="8" r:id="rId5"/>
    <sheet name="05.2026" sheetId="9" r:id="rId6"/>
    <sheet name="06.2026" sheetId="10" r:id="rId7"/>
    <sheet name="07.2026" sheetId="7" r:id="rId8"/>
    <sheet name="3.2026" sheetId="5" r:id="rId9"/>
  </sheets>
  <calcPr calcId="162913"/>
</workbook>
</file>

<file path=xl/calcChain.xml><?xml version="1.0" encoding="utf-8"?>
<calcChain xmlns="http://schemas.openxmlformats.org/spreadsheetml/2006/main">
  <c r="E27" i="10" l="1"/>
  <c r="F27" i="10"/>
  <c r="E26" i="10"/>
  <c r="F26" i="10"/>
  <c r="F18" i="10"/>
  <c r="F19" i="10"/>
  <c r="F20" i="10"/>
  <c r="E18" i="10"/>
  <c r="E19" i="10"/>
  <c r="E20" i="10"/>
  <c r="D27" i="10"/>
  <c r="D26" i="10"/>
  <c r="F17" i="10"/>
  <c r="E17" i="10"/>
  <c r="E27" i="9"/>
  <c r="F27" i="9"/>
  <c r="E26" i="9"/>
  <c r="F26" i="9"/>
  <c r="D27" i="9"/>
  <c r="F18" i="9"/>
  <c r="F19" i="9"/>
  <c r="F20" i="9"/>
  <c r="F21" i="9"/>
  <c r="F22" i="9"/>
  <c r="E18" i="9"/>
  <c r="E19" i="9"/>
  <c r="E20" i="9"/>
  <c r="E21" i="9"/>
  <c r="E22" i="9"/>
  <c r="D26" i="9"/>
  <c r="E17" i="9"/>
  <c r="F17" i="9" s="1"/>
  <c r="E27" i="8"/>
  <c r="F27" i="8"/>
  <c r="E26" i="8"/>
  <c r="F26" i="8"/>
  <c r="F18" i="8"/>
  <c r="F19" i="8"/>
  <c r="F20" i="8"/>
  <c r="F21" i="8"/>
  <c r="F22" i="8"/>
  <c r="E18" i="8"/>
  <c r="E19" i="8"/>
  <c r="E20" i="8"/>
  <c r="E21" i="8"/>
  <c r="E22" i="8"/>
  <c r="D27" i="8"/>
  <c r="D26" i="8"/>
  <c r="F17" i="8"/>
  <c r="E17" i="8"/>
  <c r="E27" i="5" l="1"/>
  <c r="F27" i="5"/>
  <c r="E26" i="5"/>
  <c r="F26" i="5"/>
  <c r="F18" i="5"/>
  <c r="F19" i="5"/>
  <c r="F20" i="5"/>
  <c r="F21" i="5"/>
  <c r="F22" i="5"/>
  <c r="F23" i="5"/>
  <c r="E18" i="5"/>
  <c r="E19" i="5"/>
  <c r="E20" i="5"/>
  <c r="E21" i="5"/>
  <c r="E22" i="5"/>
  <c r="E23" i="5"/>
  <c r="D27" i="5"/>
  <c r="D26" i="5"/>
  <c r="F17" i="5"/>
  <c r="E17" i="5"/>
  <c r="E27" i="7" l="1"/>
  <c r="F27" i="7"/>
  <c r="E26" i="7"/>
  <c r="F26" i="7"/>
  <c r="F18" i="7"/>
  <c r="F19" i="7"/>
  <c r="F20" i="7"/>
  <c r="F21" i="7"/>
  <c r="E18" i="7"/>
  <c r="E19" i="7"/>
  <c r="E20" i="7"/>
  <c r="E21" i="7"/>
  <c r="D27" i="7"/>
  <c r="D26" i="7"/>
  <c r="F17" i="7"/>
  <c r="E17" i="7"/>
  <c r="E25" i="6" l="1"/>
  <c r="F25" i="6"/>
  <c r="D25" i="6"/>
  <c r="D26" i="6" s="1"/>
  <c r="F24" i="6"/>
  <c r="E24" i="6"/>
  <c r="E23" i="6"/>
  <c r="F23" i="6" s="1"/>
  <c r="E22" i="6"/>
  <c r="F22" i="6" s="1"/>
  <c r="E21" i="6"/>
  <c r="F21" i="6" s="1"/>
  <c r="E20" i="6"/>
  <c r="F20" i="6" s="1"/>
  <c r="E19" i="6"/>
  <c r="E26" i="6" s="1"/>
  <c r="E18" i="6"/>
  <c r="F18" i="6" s="1"/>
  <c r="E17" i="6"/>
  <c r="F17" i="6" s="1"/>
  <c r="F19" i="6" l="1"/>
  <c r="F26" i="6" s="1"/>
  <c r="E27" i="1" l="1"/>
  <c r="F27" i="1"/>
  <c r="D27" i="1"/>
  <c r="E26" i="1"/>
  <c r="F26" i="1"/>
  <c r="D26" i="1"/>
  <c r="F18" i="1"/>
  <c r="F19" i="1"/>
  <c r="F20" i="1"/>
  <c r="F21" i="1"/>
  <c r="F22" i="1"/>
  <c r="F17" i="1"/>
  <c r="E18" i="1"/>
  <c r="E19" i="1"/>
  <c r="E20" i="1"/>
  <c r="E21" i="1"/>
  <c r="E22" i="1"/>
  <c r="E17" i="1"/>
</calcChain>
</file>

<file path=xl/sharedStrings.xml><?xml version="1.0" encoding="utf-8"?>
<sst xmlns="http://schemas.openxmlformats.org/spreadsheetml/2006/main" count="386" uniqueCount="129">
  <si>
    <r>
      <rPr>
        <sz val="12"/>
        <color rgb="FF000000"/>
        <rFont val="Times New Roman"/>
        <family val="1"/>
      </rPr>
      <t>Hai bên cùng nhau xác nhận chiết khấu các hóa đơn sau:</t>
    </r>
  </si>
  <si>
    <r>
      <rPr>
        <b/>
        <sz val="12"/>
        <color rgb="FF000000"/>
        <rFont val="Times New Roman"/>
        <family val="1"/>
      </rPr>
      <t>Số hóa đơn</t>
    </r>
  </si>
  <si>
    <r>
      <rPr>
        <b/>
        <sz val="12"/>
        <color rgb="FF000000"/>
        <rFont val="Times New Roman"/>
        <family val="1"/>
      </rPr>
      <t>Ký hiệu</t>
    </r>
  </si>
  <si>
    <r>
      <rPr>
        <b/>
        <sz val="12"/>
        <color rgb="FF000000"/>
        <rFont val="Times New Roman"/>
        <family val="1"/>
      </rPr>
      <t>Ngày</t>
    </r>
  </si>
  <si>
    <r>
      <rPr>
        <b/>
        <sz val="12"/>
        <color rgb="FF000000"/>
        <rFont val="Times New Roman"/>
        <family val="1"/>
      </rPr>
      <t>Tổng cộng thanh toán</t>
    </r>
  </si>
  <si>
    <r>
      <rPr>
        <b/>
        <sz val="12"/>
        <color rgb="FF000000"/>
        <rFont val="Times New Roman"/>
        <family val="1"/>
      </rPr>
      <t>Tổng Cộng:</t>
    </r>
  </si>
  <si>
    <t>CỘNG HÒA XÃ HỘI CHỦ NGHĨA VIỆT NAM</t>
  </si>
  <si>
    <t>Độc lập – Tự do – Hạnh phúc</t>
  </si>
  <si>
    <t>Chúng tôi gồm:</t>
  </si>
  <si>
    <t>Đơn vị bán hàng: Công ty Cổ phần Hoàng Giang     </t>
  </si>
  <si>
    <t>Mã số thuế:</t>
  </si>
  <si>
    <t xml:space="preserve">Đại diện: </t>
  </si>
  <si>
    <t>Đại diện</t>
  </si>
  <si>
    <t>Chức vụ:</t>
  </si>
  <si>
    <t>Thành tiền trước thuế</t>
  </si>
  <si>
    <t>Ghi chú</t>
  </si>
  <si>
    <t>Tiền thuế GTGT</t>
  </si>
  <si>
    <t>Số tiền cần chiết khấu:</t>
  </si>
  <si>
    <t>Công ty Cổ phần Hoàng Giang
***</t>
  </si>
  <si>
    <t>0800280839</t>
  </si>
  <si>
    <t>Địa chỉ: Đường An Lưu Cụm CN Cẩm Thượng, Phường Thành Đông, Thành phố Hải Phòng, Việt Nam</t>
  </si>
  <si>
    <t>Ông Đào Văn Tiến</t>
  </si>
  <si>
    <t>Chức vụ: Giám đốc</t>
  </si>
  <si>
    <r>
      <t xml:space="preserve">NGƯỜI LẬP BẢNG KÊ
</t>
    </r>
    <r>
      <rPr>
        <i/>
        <sz val="12"/>
        <color rgb="FF000000"/>
        <rFont val="Times New Roman"/>
        <family val="1"/>
      </rPr>
      <t>(Ký , đóng dấu, ghi rõ họ tên)</t>
    </r>
    <r>
      <rPr>
        <sz val="12"/>
        <color rgb="FF222222"/>
        <rFont val="Arial"/>
        <family val="2"/>
      </rPr>
      <t xml:space="preserve">
</t>
    </r>
    <r>
      <rPr>
        <sz val="12"/>
        <color rgb="FF000000"/>
        <rFont val="Times New Roman"/>
        <family val="1"/>
      </rPr>
      <t> </t>
    </r>
  </si>
  <si>
    <r>
      <t xml:space="preserve">Số: 141/BKCK/HG-MT
</t>
    </r>
    <r>
      <rPr>
        <sz val="12"/>
        <color rgb="FF000000"/>
        <rFont val="Times New Roman"/>
        <family val="1"/>
      </rPr>
      <t>Ngày  tháng  năm 2025</t>
    </r>
  </si>
  <si>
    <t>BẢNG KÊ CHIẾT KHẤU THÁNG 11.2025</t>
  </si>
  <si>
    <t>BẢNG KÊ CHIẾT KHẤU THÁNG 12.2025</t>
  </si>
  <si>
    <t>BẢNG KÊ CHIẾT KHẤU THÁNG 01.2026</t>
  </si>
  <si>
    <t>BẢNG KÊ CHIẾT KHẤU THÁNG 02.2026</t>
  </si>
  <si>
    <t>BẢNG KÊ CHIẾT KHẤU THÁNG 03.2026</t>
  </si>
  <si>
    <r>
      <t xml:space="preserve">Số: 141/BKCK/HG-MT
</t>
    </r>
    <r>
      <rPr>
        <sz val="12"/>
        <color rgb="FF000000"/>
        <rFont val="Times New Roman"/>
        <family val="1"/>
      </rPr>
      <t>Ngày  tháng 02 năm 2026</t>
    </r>
  </si>
  <si>
    <r>
      <rPr>
        <b/>
        <sz val="12"/>
        <color rgb="FF000000"/>
        <rFont val="Times New Roman"/>
        <family val="1"/>
      </rPr>
      <t xml:space="preserve">Đơn vị mua hàng: </t>
    </r>
    <r>
      <rPr>
        <b/>
        <sz val="12"/>
        <color rgb="FF222222"/>
        <rFont val="Times New Roman"/>
        <family val="1"/>
      </rPr>
      <t>CÔNG TY CỔ PHẦN TRUNG TÂM THƯƠNG MẠI LOTTE VIỆT NAM - CHI NHÁNH TÂY HỒ</t>
    </r>
  </si>
  <si>
    <t>Mã số thuế: 0304741634-015</t>
  </si>
  <si>
    <t>Địa chỉ:  Tầng hầm B1, Lotte Mall Hà Nội, Số 272 Võ Chí Công, Phường Tây Hồ, TP. Hà Nội, Việt Nam</t>
  </si>
  <si>
    <t>00005913</t>
  </si>
  <si>
    <t>00005983</t>
  </si>
  <si>
    <t>00006092</t>
  </si>
  <si>
    <t>00006269</t>
  </si>
  <si>
    <t>00006334</t>
  </si>
  <si>
    <t>00006416</t>
  </si>
  <si>
    <t>04/11/2025</t>
  </si>
  <si>
    <t>06/11/2025</t>
  </si>
  <si>
    <t>11/11/2025</t>
  </si>
  <si>
    <t>18/11/2025</t>
  </si>
  <si>
    <t>21/11/2025</t>
  </si>
  <si>
    <t>25/11/2025</t>
  </si>
  <si>
    <t>1C25THG</t>
  </si>
  <si>
    <t>Số tiền cần chiết khấu 10%:</t>
  </si>
  <si>
    <r>
      <t xml:space="preserve">Số: 155/BKCK/HG-MT
</t>
    </r>
    <r>
      <rPr>
        <sz val="12"/>
        <color rgb="FF000000"/>
        <rFont val="Times New Roman"/>
        <family val="1"/>
      </rPr>
      <t>Ngày 19 tháng 12 năm 2025</t>
    </r>
  </si>
  <si>
    <t>09/12/2025</t>
  </si>
  <si>
    <t>11/12/2025</t>
  </si>
  <si>
    <r>
      <t xml:space="preserve">Số: 172/BKCK/HG-MT
</t>
    </r>
    <r>
      <rPr>
        <sz val="12"/>
        <color rgb="FF000000"/>
        <rFont val="Times New Roman"/>
        <family val="1"/>
      </rPr>
      <t>Ngày 07 tháng 01 năm 2026</t>
    </r>
  </si>
  <si>
    <t>00006618</t>
  </si>
  <si>
    <t>00006866</t>
  </si>
  <si>
    <t>00006957</t>
  </si>
  <si>
    <t>00007013</t>
  </si>
  <si>
    <t>00007217</t>
  </si>
  <si>
    <t>00007357</t>
  </si>
  <si>
    <t>00007473</t>
  </si>
  <si>
    <t>00007544</t>
  </si>
  <si>
    <t>02/12/2025</t>
  </si>
  <si>
    <t>16/12/2025</t>
  </si>
  <si>
    <t>19/12/2025</t>
  </si>
  <si>
    <t>23/12/2025</t>
  </si>
  <si>
    <t>25/12/2025</t>
  </si>
  <si>
    <t>BẢNG KÊ CHIẾT KHẤU THÁNG 07.2026</t>
  </si>
  <si>
    <r>
      <t xml:space="preserve">Số: 300/BKCK/HG-MT
</t>
    </r>
    <r>
      <rPr>
        <sz val="12"/>
        <color rgb="FF000000"/>
        <rFont val="Times New Roman"/>
        <family val="1"/>
      </rPr>
      <t>Ngày 14 tháng 08 năm 2026</t>
    </r>
  </si>
  <si>
    <t>00005717</t>
  </si>
  <si>
    <t>00005801</t>
  </si>
  <si>
    <t>00005966</t>
  </si>
  <si>
    <t>00006208</t>
  </si>
  <si>
    <t>00006405</t>
  </si>
  <si>
    <t>07/07/2026</t>
  </si>
  <si>
    <t>09/07/2026</t>
  </si>
  <si>
    <t>14/07/2026</t>
  </si>
  <si>
    <t>21/07/2026</t>
  </si>
  <si>
    <t>28/07/2026</t>
  </si>
  <si>
    <t>1C26THG</t>
  </si>
  <si>
    <t>Tổng Cộng:</t>
  </si>
  <si>
    <t>00001493</t>
  </si>
  <si>
    <t>00001639</t>
  </si>
  <si>
    <t>00001871</t>
  </si>
  <si>
    <t>00002187</t>
  </si>
  <si>
    <t>00002369</t>
  </si>
  <si>
    <t>00002542</t>
  </si>
  <si>
    <t>00002543</t>
  </si>
  <si>
    <t>10/02/2026</t>
  </si>
  <si>
    <t>26/02/2026</t>
  </si>
  <si>
    <t>03/03/2026</t>
  </si>
  <si>
    <t>17/03/2026</t>
  </si>
  <si>
    <t>24/03/2026</t>
  </si>
  <si>
    <t>31/03/2026</t>
  </si>
  <si>
    <r>
      <t xml:space="preserve">Số: 229/BKCK/HG-MT
</t>
    </r>
    <r>
      <rPr>
        <sz val="12"/>
        <color rgb="FF000000"/>
        <rFont val="Times New Roman"/>
        <family val="1"/>
      </rPr>
      <t>Ngày  tháng 03 năm 2026</t>
    </r>
  </si>
  <si>
    <t>BẢNG KÊ CHIẾT KHẤU THÁNG 04.2026</t>
  </si>
  <si>
    <t>00002531</t>
  </si>
  <si>
    <t>00002600</t>
  </si>
  <si>
    <t>00002694</t>
  </si>
  <si>
    <t>00003017</t>
  </si>
  <si>
    <t>00003091</t>
  </si>
  <si>
    <t>00003623</t>
  </si>
  <si>
    <t>02/04/2026</t>
  </si>
  <si>
    <t>07/04/2026</t>
  </si>
  <si>
    <t>17/04/2026</t>
  </si>
  <si>
    <t>21/04/2026</t>
  </si>
  <si>
    <r>
      <t xml:space="preserve">Số: 243/BKCK/HG-MT
</t>
    </r>
    <r>
      <rPr>
        <sz val="12"/>
        <color rgb="FF000000"/>
        <rFont val="Times New Roman"/>
        <family val="1"/>
      </rPr>
      <t>Ngày  tháng 04 năm 2026</t>
    </r>
  </si>
  <si>
    <t>BẢNG KÊ CHIẾT KHẤU THÁNG 05.2026</t>
  </si>
  <si>
    <r>
      <t xml:space="preserve">Số: 260/BKCK/HG-MT
</t>
    </r>
    <r>
      <rPr>
        <sz val="12"/>
        <color rgb="FF000000"/>
        <rFont val="Times New Roman"/>
        <family val="1"/>
      </rPr>
      <t>Ngày  tháng 05 năm 2026</t>
    </r>
  </si>
  <si>
    <t>00003559</t>
  </si>
  <si>
    <t>00003759</t>
  </si>
  <si>
    <t>00003996</t>
  </si>
  <si>
    <t>00004090</t>
  </si>
  <si>
    <t>00004236</t>
  </si>
  <si>
    <t>05/05/2026</t>
  </si>
  <si>
    <t>12/05/2026</t>
  </si>
  <si>
    <t>19/05/2026</t>
  </si>
  <si>
    <t>21/05/2026</t>
  </si>
  <si>
    <t>26/05/2026</t>
  </si>
  <si>
    <t>00003342</t>
  </si>
  <si>
    <t>28/04/2026</t>
  </si>
  <si>
    <t>BẢNG KÊ CHIẾT KHẤU THÁNG 06.2026</t>
  </si>
  <si>
    <r>
      <t xml:space="preserve">Số: 280/BKCK/HG-MT
</t>
    </r>
    <r>
      <rPr>
        <sz val="12"/>
        <color rgb="FF000000"/>
        <rFont val="Times New Roman"/>
        <family val="1"/>
      </rPr>
      <t>Ngày  tháng 02 năm 2026</t>
    </r>
  </si>
  <si>
    <t>00004437</t>
  </si>
  <si>
    <t>00004623</t>
  </si>
  <si>
    <t>00004912</t>
  </si>
  <si>
    <t>00005116</t>
  </si>
  <si>
    <t>02/06/2026</t>
  </si>
  <si>
    <t>09/06/2026</t>
  </si>
  <si>
    <t>16/06/2026</t>
  </si>
  <si>
    <t>23/06/2026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</si>
</sst>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name val="Calibri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Arial"/>
      <family val="2"/>
    </font>
    <font>
      <i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222222"/>
      <name val="Times New Roman"/>
      <family val="1"/>
    </font>
    <font>
      <b/>
      <sz val="16"/>
      <color rgb="FF222222"/>
      <name val="Times New Roman"/>
      <family val="1"/>
    </font>
    <font>
      <sz val="11"/>
      <name val="Calibri"/>
      <family val="2"/>
    </font>
    <font>
      <sz val="12"/>
      <color rgb="FF222222"/>
      <name val="Times New Roman"/>
      <family val="1"/>
    </font>
    <font>
      <sz val="11"/>
      <name val="Times New Roman"/>
      <family val="1"/>
    </font>
    <font>
      <sz val="12"/>
      <color rgb="FF081B3A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2" fillId="2" borderId="6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0" xfId="0" applyFont="1"/>
    <xf numFmtId="164" fontId="11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6" fillId="2" borderId="0" xfId="2" applyFont="1" applyFill="1" applyBorder="1" applyAlignment="1">
      <alignment horizontal="center" vertical="center" wrapText="1"/>
    </xf>
    <xf numFmtId="0" fontId="1" fillId="0" borderId="0" xfId="2" applyFont="1"/>
    <xf numFmtId="0" fontId="2" fillId="2" borderId="0" xfId="2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horizontal="center" vertical="center" wrapText="1"/>
    </xf>
    <xf numFmtId="0" fontId="1" fillId="0" borderId="0" xfId="2"/>
    <xf numFmtId="0" fontId="3" fillId="0" borderId="0" xfId="2" applyFont="1" applyAlignment="1">
      <alignment horizontal="left" vertical="top" wrapText="1"/>
    </xf>
    <xf numFmtId="0" fontId="2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164" fontId="11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2" quotePrefix="1" applyFont="1" applyFill="1" applyBorder="1" applyAlignment="1">
      <alignment horizontal="center" vertical="center" wrapText="1"/>
    </xf>
    <xf numFmtId="14" fontId="11" fillId="2" borderId="1" xfId="2" applyNumberFormat="1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164" fontId="3" fillId="2" borderId="1" xfId="3" applyNumberFormat="1" applyFont="1" applyFill="1" applyBorder="1" applyAlignment="1">
      <alignment horizontal="center" vertical="center" wrapText="1"/>
    </xf>
    <xf numFmtId="164" fontId="2" fillId="2" borderId="1" xfId="3" applyNumberFormat="1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right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1" fillId="0" borderId="0" xfId="2" applyFont="1" applyBorder="1"/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Border="1" applyAlignment="1">
      <alignment horizontal="center" vertical="center" wrapText="1"/>
    </xf>
    <xf numFmtId="49" fontId="3" fillId="3" borderId="7" xfId="2" applyNumberFormat="1" applyFont="1" applyFill="1" applyBorder="1" applyAlignment="1">
      <alignment horizontal="center" wrapText="1"/>
    </xf>
    <xf numFmtId="0" fontId="13" fillId="0" borderId="0" xfId="0" applyFont="1"/>
    <xf numFmtId="14" fontId="3" fillId="4" borderId="7" xfId="2" applyNumberFormat="1" applyFont="1" applyFill="1" applyBorder="1" applyAlignment="1">
      <alignment horizontal="center" wrapText="1"/>
    </xf>
    <xf numFmtId="164" fontId="3" fillId="4" borderId="7" xfId="1" applyNumberFormat="1" applyFont="1" applyFill="1" applyBorder="1"/>
    <xf numFmtId="0" fontId="2" fillId="0" borderId="0" xfId="0" applyFont="1" applyAlignment="1">
      <alignment horizontal="left" vertical="top" wrapText="1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6" fillId="2" borderId="0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top" wrapText="1"/>
    </xf>
    <xf numFmtId="0" fontId="2" fillId="2" borderId="0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left" vertical="top" wrapText="1"/>
    </xf>
    <xf numFmtId="0" fontId="3" fillId="0" borderId="0" xfId="2" quotePrefix="1" applyFont="1" applyAlignment="1">
      <alignment horizontal="left" vertical="top" wrapText="1"/>
    </xf>
    <xf numFmtId="0" fontId="3" fillId="0" borderId="5" xfId="2" applyFont="1" applyBorder="1" applyAlignment="1">
      <alignment horizontal="left" vertical="top" wrapText="1"/>
    </xf>
    <xf numFmtId="0" fontId="2" fillId="2" borderId="2" xfId="2" applyFont="1" applyFill="1" applyBorder="1" applyAlignment="1">
      <alignment horizontal="right" vertical="center" wrapText="1"/>
    </xf>
    <xf numFmtId="0" fontId="2" fillId="2" borderId="3" xfId="2" applyFont="1" applyFill="1" applyBorder="1" applyAlignment="1">
      <alignment horizontal="right" vertical="center" wrapText="1"/>
    </xf>
    <xf numFmtId="0" fontId="2" fillId="2" borderId="4" xfId="2" applyFont="1" applyFill="1" applyBorder="1" applyAlignment="1">
      <alignment horizontal="right" vertical="center" wrapText="1"/>
    </xf>
    <xf numFmtId="49" fontId="3" fillId="4" borderId="7" xfId="2" applyNumberFormat="1" applyFont="1" applyFill="1" applyBorder="1" applyAlignment="1">
      <alignment horizontal="center" wrapText="1"/>
    </xf>
    <xf numFmtId="0" fontId="14" fillId="0" borderId="0" xfId="0" applyFont="1"/>
    <xf numFmtId="49" fontId="14" fillId="3" borderId="7" xfId="2" applyNumberFormat="1" applyFont="1" applyFill="1" applyBorder="1" applyAlignment="1">
      <alignment horizontal="center" wrapText="1"/>
    </xf>
    <xf numFmtId="14" fontId="14" fillId="4" borderId="7" xfId="2" applyNumberFormat="1" applyFont="1" applyFill="1" applyBorder="1" applyAlignment="1">
      <alignment horizontal="center" wrapText="1"/>
    </xf>
    <xf numFmtId="164" fontId="14" fillId="4" borderId="7" xfId="1" applyNumberFormat="1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1" xfId="2" applyNumberFormat="1" applyFont="1" applyFill="1" applyBorder="1" applyAlignment="1">
      <alignment horizontal="center" wrapText="1"/>
    </xf>
    <xf numFmtId="0" fontId="13" fillId="0" borderId="1" xfId="0" applyFont="1" applyBorder="1"/>
    <xf numFmtId="14" fontId="3" fillId="4" borderId="1" xfId="2" applyNumberFormat="1" applyFont="1" applyFill="1" applyBorder="1" applyAlignment="1">
      <alignment horizontal="center" wrapText="1"/>
    </xf>
    <xf numFmtId="164" fontId="3" fillId="4" borderId="1" xfId="1" applyNumberFormat="1" applyFont="1" applyFill="1" applyBorder="1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649432</xdr:colOff>
      <xdr:row>2</xdr:row>
      <xdr:rowOff>8659</xdr:rowOff>
    </xdr:from>
    <xdr:to>
      <xdr:col>6</xdr:col>
      <xdr:colOff>207819</xdr:colOff>
      <xdr:row>2</xdr:row>
      <xdr:rowOff>8659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F2E0FF3-AF6A-4147-8A38-7D8D1534EEA8}"/>
            </a:ext>
          </a:extLst>
        </xdr:cNvPr>
        <xdr:cNvCxnSpPr/>
      </xdr:nvCxnSpPr>
      <xdr:spPr>
        <a:xfrm>
          <a:off x="4286250" y="415636"/>
          <a:ext cx="15759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649432</xdr:colOff>
      <xdr:row>2</xdr:row>
      <xdr:rowOff>8659</xdr:rowOff>
    </xdr:from>
    <xdr:to>
      <xdr:col>6</xdr:col>
      <xdr:colOff>207819</xdr:colOff>
      <xdr:row>2</xdr:row>
      <xdr:rowOff>8659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480A4F3-E3DF-41A1-AE55-D3DE73220207}"/>
            </a:ext>
          </a:extLst>
        </xdr:cNvPr>
        <xdr:cNvCxnSpPr/>
      </xdr:nvCxnSpPr>
      <xdr:spPr>
        <a:xfrm>
          <a:off x="4070812" y="420139"/>
          <a:ext cx="169960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649432</xdr:colOff>
      <xdr:row>2</xdr:row>
      <xdr:rowOff>8659</xdr:rowOff>
    </xdr:from>
    <xdr:to>
      <xdr:col>6</xdr:col>
      <xdr:colOff>207819</xdr:colOff>
      <xdr:row>2</xdr:row>
      <xdr:rowOff>8659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512CB22-20C7-4C96-9070-EED237A5BE01}"/>
            </a:ext>
          </a:extLst>
        </xdr:cNvPr>
        <xdr:cNvCxnSpPr/>
      </xdr:nvCxnSpPr>
      <xdr:spPr>
        <a:xfrm>
          <a:off x="3705052" y="420139"/>
          <a:ext cx="8156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649432</xdr:colOff>
      <xdr:row>2</xdr:row>
      <xdr:rowOff>8659</xdr:rowOff>
    </xdr:from>
    <xdr:to>
      <xdr:col>6</xdr:col>
      <xdr:colOff>207819</xdr:colOff>
      <xdr:row>2</xdr:row>
      <xdr:rowOff>8659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BFF2064-8451-4E78-907A-A77EBB93A18B}"/>
            </a:ext>
          </a:extLst>
        </xdr:cNvPr>
        <xdr:cNvCxnSpPr/>
      </xdr:nvCxnSpPr>
      <xdr:spPr>
        <a:xfrm>
          <a:off x="3705052" y="420139"/>
          <a:ext cx="8156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649432</xdr:colOff>
      <xdr:row>2</xdr:row>
      <xdr:rowOff>8659</xdr:rowOff>
    </xdr:from>
    <xdr:to>
      <xdr:col>6</xdr:col>
      <xdr:colOff>207819</xdr:colOff>
      <xdr:row>2</xdr:row>
      <xdr:rowOff>8659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BFF2064-8451-4E78-907A-A77EBB93A18B}"/>
            </a:ext>
          </a:extLst>
        </xdr:cNvPr>
        <xdr:cNvCxnSpPr/>
      </xdr:nvCxnSpPr>
      <xdr:spPr>
        <a:xfrm>
          <a:off x="4131772" y="420139"/>
          <a:ext cx="118144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649432</xdr:colOff>
      <xdr:row>2</xdr:row>
      <xdr:rowOff>8659</xdr:rowOff>
    </xdr:from>
    <xdr:to>
      <xdr:col>6</xdr:col>
      <xdr:colOff>207819</xdr:colOff>
      <xdr:row>2</xdr:row>
      <xdr:rowOff>8659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BFF2064-8451-4E78-907A-A77EBB93A18B}"/>
            </a:ext>
          </a:extLst>
        </xdr:cNvPr>
        <xdr:cNvCxnSpPr/>
      </xdr:nvCxnSpPr>
      <xdr:spPr>
        <a:xfrm>
          <a:off x="4131772" y="420139"/>
          <a:ext cx="118144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649432</xdr:colOff>
      <xdr:row>2</xdr:row>
      <xdr:rowOff>8659</xdr:rowOff>
    </xdr:from>
    <xdr:to>
      <xdr:col>6</xdr:col>
      <xdr:colOff>207819</xdr:colOff>
      <xdr:row>2</xdr:row>
      <xdr:rowOff>8659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BFF2064-8451-4E78-907A-A77EBB93A18B}"/>
            </a:ext>
          </a:extLst>
        </xdr:cNvPr>
        <xdr:cNvCxnSpPr/>
      </xdr:nvCxnSpPr>
      <xdr:spPr>
        <a:xfrm>
          <a:off x="4131772" y="420139"/>
          <a:ext cx="118144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649432</xdr:colOff>
      <xdr:row>2</xdr:row>
      <xdr:rowOff>8659</xdr:rowOff>
    </xdr:from>
    <xdr:to>
      <xdr:col>6</xdr:col>
      <xdr:colOff>207819</xdr:colOff>
      <xdr:row>2</xdr:row>
      <xdr:rowOff>8659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BFF2064-8451-4E78-907A-A77EBB93A18B}"/>
            </a:ext>
          </a:extLst>
        </xdr:cNvPr>
        <xdr:cNvCxnSpPr/>
      </xdr:nvCxnSpPr>
      <xdr:spPr>
        <a:xfrm>
          <a:off x="4131772" y="420139"/>
          <a:ext cx="118144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649432</xdr:colOff>
      <xdr:row>2</xdr:row>
      <xdr:rowOff>8659</xdr:rowOff>
    </xdr:from>
    <xdr:to>
      <xdr:col>6</xdr:col>
      <xdr:colOff>207819</xdr:colOff>
      <xdr:row>2</xdr:row>
      <xdr:rowOff>8659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15329BF-E54F-490F-B067-18BB24366122}"/>
            </a:ext>
          </a:extLst>
        </xdr:cNvPr>
        <xdr:cNvCxnSpPr/>
      </xdr:nvCxnSpPr>
      <xdr:spPr>
        <a:xfrm>
          <a:off x="3705052" y="420139"/>
          <a:ext cx="8156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A4" zoomScale="110" zoomScaleNormal="110" workbookViewId="0">
      <selection activeCell="A11" sqref="A11:XFD13"/>
    </sheetView>
  </sheetViews>
  <sheetFormatPr defaultRowHeight="14.4"/>
  <cols>
    <col min="1" max="1" width="12.77734375" style="1"/>
    <col min="2" max="2" width="12.88671875" style="1"/>
    <col min="3" max="3" width="12.44140625" style="1" customWidth="1"/>
    <col min="4" max="4" width="14.88671875" style="1" customWidth="1"/>
    <col min="5" max="5" width="14.33203125" style="1" customWidth="1"/>
    <col min="6" max="6" width="15" style="1" bestFit="1" customWidth="1"/>
    <col min="7" max="7" width="12.5546875" style="1" customWidth="1"/>
  </cols>
  <sheetData>
    <row r="1" spans="1:7" s="1" customFormat="1" ht="14.4" customHeight="1">
      <c r="A1" s="53" t="s">
        <v>18</v>
      </c>
      <c r="B1" s="53"/>
      <c r="C1" s="53"/>
      <c r="D1" s="9"/>
      <c r="E1" s="54" t="s">
        <v>6</v>
      </c>
      <c r="F1" s="54"/>
      <c r="G1" s="54"/>
    </row>
    <row r="2" spans="1:7" s="1" customFormat="1" ht="18" customHeight="1">
      <c r="A2" s="53"/>
      <c r="B2" s="53"/>
      <c r="C2" s="53"/>
      <c r="D2" s="9"/>
      <c r="E2" s="54" t="s">
        <v>7</v>
      </c>
      <c r="F2" s="54"/>
      <c r="G2" s="54"/>
    </row>
    <row r="3" spans="1:7" ht="9.6" customHeight="1">
      <c r="A3" s="7"/>
      <c r="B3" s="7"/>
      <c r="C3" s="7"/>
      <c r="D3" s="7"/>
      <c r="E3" s="8"/>
      <c r="F3" s="8"/>
      <c r="G3" s="8"/>
    </row>
    <row r="4" spans="1:7" ht="28.2" customHeight="1">
      <c r="A4" s="58" t="s">
        <v>25</v>
      </c>
      <c r="B4" s="58"/>
      <c r="C4" s="58"/>
      <c r="D4" s="58"/>
      <c r="E4" s="58"/>
      <c r="F4" s="58"/>
      <c r="G4" s="58"/>
    </row>
    <row r="5" spans="1:7" ht="30.6" customHeight="1">
      <c r="A5" s="59" t="s">
        <v>48</v>
      </c>
      <c r="B5" s="59"/>
      <c r="C5" s="59"/>
      <c r="D5" s="59"/>
      <c r="E5" s="59"/>
      <c r="F5" s="59"/>
      <c r="G5" s="59"/>
    </row>
    <row r="6" spans="1:7" ht="19.2" customHeight="1">
      <c r="A6" s="60" t="s">
        <v>8</v>
      </c>
      <c r="B6" s="60"/>
      <c r="C6" s="60"/>
      <c r="D6" s="60"/>
      <c r="E6" s="60"/>
      <c r="F6" s="60"/>
      <c r="G6" s="60"/>
    </row>
    <row r="7" spans="1:7" ht="19.2" customHeight="1">
      <c r="A7" s="52" t="s">
        <v>9</v>
      </c>
      <c r="B7" s="52"/>
      <c r="C7" s="52"/>
      <c r="D7" s="52"/>
      <c r="E7" s="52"/>
      <c r="F7" s="52"/>
      <c r="G7" s="52"/>
    </row>
    <row r="8" spans="1:7" ht="19.2" customHeight="1">
      <c r="A8" s="2" t="s">
        <v>10</v>
      </c>
      <c r="B8" s="16" t="s">
        <v>19</v>
      </c>
      <c r="C8" s="2"/>
      <c r="D8" s="2"/>
      <c r="E8" s="2"/>
      <c r="F8" s="2"/>
      <c r="G8" s="2"/>
    </row>
    <row r="9" spans="1:7" ht="19.2" customHeight="1">
      <c r="A9" s="60" t="s">
        <v>20</v>
      </c>
      <c r="B9" s="60"/>
      <c r="C9" s="60"/>
      <c r="D9" s="60"/>
      <c r="E9" s="60"/>
      <c r="F9" s="60"/>
      <c r="G9" s="60"/>
    </row>
    <row r="10" spans="1:7" ht="19.2" customHeight="1">
      <c r="A10" s="2" t="s">
        <v>11</v>
      </c>
      <c r="B10" s="60" t="s">
        <v>21</v>
      </c>
      <c r="C10" s="60"/>
      <c r="D10" s="2"/>
      <c r="E10" s="60" t="s">
        <v>22</v>
      </c>
      <c r="F10" s="60"/>
      <c r="G10" s="2"/>
    </row>
    <row r="11" spans="1:7" ht="31.2" customHeight="1">
      <c r="A11" s="62" t="s">
        <v>31</v>
      </c>
      <c r="B11" s="62"/>
      <c r="C11" s="62"/>
      <c r="D11" s="62"/>
      <c r="E11" s="62"/>
      <c r="F11" s="62"/>
      <c r="G11" s="62"/>
    </row>
    <row r="12" spans="1:7" ht="19.2" customHeight="1">
      <c r="A12" s="60" t="s">
        <v>32</v>
      </c>
      <c r="B12" s="60"/>
      <c r="C12" s="60"/>
      <c r="D12" s="60"/>
      <c r="E12" s="60"/>
      <c r="F12" s="60"/>
      <c r="G12" s="60"/>
    </row>
    <row r="13" spans="1:7" ht="29.4" customHeight="1">
      <c r="A13" s="60" t="s">
        <v>33</v>
      </c>
      <c r="B13" s="60"/>
      <c r="C13" s="60"/>
      <c r="D13" s="60"/>
      <c r="E13" s="60"/>
      <c r="F13" s="60"/>
      <c r="G13" s="60"/>
    </row>
    <row r="14" spans="1:7" ht="19.2" customHeight="1">
      <c r="A14" s="2" t="s">
        <v>12</v>
      </c>
      <c r="B14" s="2"/>
      <c r="C14" s="2"/>
      <c r="D14" s="2"/>
      <c r="E14" s="2" t="s">
        <v>13</v>
      </c>
      <c r="F14" s="2"/>
      <c r="G14" s="2"/>
    </row>
    <row r="15" spans="1:7" ht="19.2" customHeight="1">
      <c r="A15" s="63" t="s">
        <v>0</v>
      </c>
      <c r="B15" s="63"/>
      <c r="C15" s="63"/>
      <c r="D15" s="63"/>
      <c r="E15" s="63"/>
      <c r="F15" s="63"/>
      <c r="G15" s="63"/>
    </row>
    <row r="16" spans="1:7" ht="31.8" customHeight="1">
      <c r="A16" s="3" t="s">
        <v>1</v>
      </c>
      <c r="B16" s="3" t="s">
        <v>2</v>
      </c>
      <c r="C16" s="3" t="s">
        <v>3</v>
      </c>
      <c r="D16" s="3" t="s">
        <v>14</v>
      </c>
      <c r="E16" s="3" t="s">
        <v>16</v>
      </c>
      <c r="F16" s="3" t="s">
        <v>4</v>
      </c>
      <c r="G16" s="3" t="s">
        <v>15</v>
      </c>
    </row>
    <row r="17" spans="1:7" s="18" customFormat="1" ht="15.75" customHeight="1">
      <c r="A17" s="4" t="s">
        <v>34</v>
      </c>
      <c r="B17" s="17" t="s">
        <v>46</v>
      </c>
      <c r="C17" s="17" t="s">
        <v>40</v>
      </c>
      <c r="D17" s="19">
        <v>14275000</v>
      </c>
      <c r="E17" s="19">
        <f>+D17*0.08</f>
        <v>1142000</v>
      </c>
      <c r="F17" s="19">
        <f>+E17+D17</f>
        <v>15417000</v>
      </c>
      <c r="G17" s="17"/>
    </row>
    <row r="18" spans="1:7" s="18" customFormat="1" ht="15.75" customHeight="1">
      <c r="A18" s="4" t="s">
        <v>35</v>
      </c>
      <c r="B18" s="17" t="s">
        <v>46</v>
      </c>
      <c r="C18" s="17" t="s">
        <v>41</v>
      </c>
      <c r="D18" s="19">
        <v>9308000</v>
      </c>
      <c r="E18" s="19">
        <f t="shared" ref="E18:E22" si="0">+D18*0.08</f>
        <v>744640</v>
      </c>
      <c r="F18" s="19">
        <f t="shared" ref="F18:F22" si="1">+E18+D18</f>
        <v>10052640</v>
      </c>
      <c r="G18" s="17"/>
    </row>
    <row r="19" spans="1:7" s="18" customFormat="1" ht="15.75" customHeight="1">
      <c r="A19" s="4" t="s">
        <v>36</v>
      </c>
      <c r="B19" s="17" t="s">
        <v>46</v>
      </c>
      <c r="C19" s="17" t="s">
        <v>42</v>
      </c>
      <c r="D19" s="19">
        <v>14816000</v>
      </c>
      <c r="E19" s="19">
        <f t="shared" si="0"/>
        <v>1185280</v>
      </c>
      <c r="F19" s="19">
        <f t="shared" si="1"/>
        <v>16001280</v>
      </c>
      <c r="G19" s="17"/>
    </row>
    <row r="20" spans="1:7" s="18" customFormat="1" ht="15.75" customHeight="1">
      <c r="A20" s="4" t="s">
        <v>37</v>
      </c>
      <c r="B20" s="17" t="s">
        <v>46</v>
      </c>
      <c r="C20" s="17" t="s">
        <v>43</v>
      </c>
      <c r="D20" s="19">
        <v>21857000</v>
      </c>
      <c r="E20" s="19">
        <f t="shared" si="0"/>
        <v>1748560</v>
      </c>
      <c r="F20" s="19">
        <f t="shared" si="1"/>
        <v>23605560</v>
      </c>
      <c r="G20" s="17"/>
    </row>
    <row r="21" spans="1:7" s="18" customFormat="1" ht="15.75" customHeight="1">
      <c r="A21" s="4" t="s">
        <v>38</v>
      </c>
      <c r="B21" s="17" t="s">
        <v>46</v>
      </c>
      <c r="C21" s="17" t="s">
        <v>44</v>
      </c>
      <c r="D21" s="19">
        <v>9495000</v>
      </c>
      <c r="E21" s="19">
        <f t="shared" si="0"/>
        <v>759600</v>
      </c>
      <c r="F21" s="19">
        <f t="shared" si="1"/>
        <v>10254600</v>
      </c>
      <c r="G21" s="17"/>
    </row>
    <row r="22" spans="1:7" s="18" customFormat="1" ht="15.75" customHeight="1">
      <c r="A22" s="4" t="s">
        <v>39</v>
      </c>
      <c r="B22" s="17" t="s">
        <v>46</v>
      </c>
      <c r="C22" s="17" t="s">
        <v>45</v>
      </c>
      <c r="D22" s="19">
        <v>16092000</v>
      </c>
      <c r="E22" s="19">
        <f t="shared" si="0"/>
        <v>1287360</v>
      </c>
      <c r="F22" s="19">
        <f t="shared" si="1"/>
        <v>17379360</v>
      </c>
      <c r="G22" s="17"/>
    </row>
    <row r="23" spans="1:7" ht="15.75" hidden="1" customHeight="1">
      <c r="A23" s="4"/>
      <c r="B23" s="5"/>
      <c r="C23" s="5"/>
      <c r="D23" s="20"/>
      <c r="E23" s="20"/>
      <c r="F23" s="20"/>
      <c r="G23" s="5"/>
    </row>
    <row r="24" spans="1:7" ht="15.75" hidden="1" customHeight="1">
      <c r="A24" s="4"/>
      <c r="B24" s="5"/>
      <c r="C24" s="5"/>
      <c r="D24" s="20"/>
      <c r="E24" s="20"/>
      <c r="F24" s="20"/>
      <c r="G24" s="5"/>
    </row>
    <row r="25" spans="1:7" ht="16.8" hidden="1" customHeight="1">
      <c r="A25" s="4"/>
      <c r="B25" s="4"/>
      <c r="C25" s="6"/>
      <c r="D25" s="21"/>
      <c r="E25" s="21"/>
      <c r="F25" s="21"/>
      <c r="G25" s="4"/>
    </row>
    <row r="26" spans="1:7" ht="16.8" customHeight="1">
      <c r="A26" s="55" t="s">
        <v>5</v>
      </c>
      <c r="B26" s="56"/>
      <c r="C26" s="57"/>
      <c r="D26" s="22">
        <f>+SUM(D17:D22)</f>
        <v>85843000</v>
      </c>
      <c r="E26" s="22">
        <f t="shared" ref="E26:F26" si="2">+SUM(E17:E22)</f>
        <v>6867440</v>
      </c>
      <c r="F26" s="22">
        <f t="shared" si="2"/>
        <v>92710440</v>
      </c>
      <c r="G26" s="3"/>
    </row>
    <row r="27" spans="1:7" ht="16.8" customHeight="1">
      <c r="A27" s="55" t="s">
        <v>47</v>
      </c>
      <c r="B27" s="56"/>
      <c r="C27" s="57"/>
      <c r="D27" s="22">
        <f>+D26*0.1</f>
        <v>8584300</v>
      </c>
      <c r="E27" s="22">
        <f t="shared" ref="E27:F27" si="3">+E26*0.1</f>
        <v>686744</v>
      </c>
      <c r="F27" s="22">
        <f t="shared" si="3"/>
        <v>9271044</v>
      </c>
      <c r="G27" s="3"/>
    </row>
    <row r="28" spans="1:7" ht="12" customHeight="1">
      <c r="A28" s="14"/>
      <c r="B28" s="14"/>
      <c r="C28" s="14"/>
      <c r="D28" s="15"/>
      <c r="E28" s="15"/>
      <c r="F28" s="15"/>
      <c r="G28" s="15"/>
    </row>
    <row r="29" spans="1:7" ht="58.8" customHeight="1">
      <c r="A29" s="61"/>
      <c r="B29" s="61"/>
      <c r="C29" s="61"/>
      <c r="D29" s="7"/>
      <c r="E29" s="61" t="s">
        <v>23</v>
      </c>
      <c r="F29" s="61"/>
      <c r="G29" s="61"/>
    </row>
    <row r="30" spans="1:7">
      <c r="A30" s="13"/>
      <c r="B30" s="13"/>
      <c r="C30" s="13"/>
      <c r="D30" s="13"/>
      <c r="E30" s="13"/>
      <c r="F30" s="13"/>
      <c r="G30" s="13"/>
    </row>
    <row r="31" spans="1:7">
      <c r="A31" s="13"/>
      <c r="B31" s="13"/>
      <c r="C31" s="13"/>
      <c r="D31" s="13"/>
      <c r="E31" s="13"/>
      <c r="F31" s="13"/>
      <c r="G31" s="13"/>
    </row>
    <row r="32" spans="1:7">
      <c r="A32" s="13"/>
      <c r="B32" s="13"/>
      <c r="C32" s="13"/>
      <c r="D32" s="13"/>
      <c r="E32" s="13"/>
      <c r="F32" s="13"/>
      <c r="G32" s="13"/>
    </row>
    <row r="33" spans="1:7">
      <c r="A33" s="13"/>
      <c r="B33" s="13"/>
      <c r="C33" s="13"/>
      <c r="D33" s="13"/>
      <c r="E33" s="13"/>
      <c r="F33" s="13"/>
      <c r="G33" s="13"/>
    </row>
    <row r="34" spans="1:7">
      <c r="A34" s="13"/>
      <c r="B34" s="13"/>
      <c r="C34" s="13"/>
      <c r="D34" s="13"/>
      <c r="E34" s="13"/>
      <c r="F34" s="13"/>
      <c r="G34" s="13"/>
    </row>
    <row r="35" spans="1:7">
      <c r="A35" s="13"/>
      <c r="B35" s="13"/>
      <c r="C35" s="13"/>
      <c r="D35" s="13"/>
      <c r="E35" s="13"/>
      <c r="F35" s="13"/>
      <c r="G35" s="13"/>
    </row>
    <row r="36" spans="1:7">
      <c r="A36" s="13"/>
      <c r="B36" s="13"/>
      <c r="C36" s="13"/>
      <c r="D36" s="13"/>
      <c r="E36" s="13"/>
      <c r="F36" s="13"/>
      <c r="G36" s="13"/>
    </row>
    <row r="37" spans="1:7">
      <c r="A37" s="13"/>
      <c r="B37" s="13"/>
      <c r="C37" s="13"/>
      <c r="D37" s="13"/>
      <c r="E37" s="13"/>
      <c r="F37" s="13"/>
      <c r="G37" s="13"/>
    </row>
  </sheetData>
  <mergeCells count="18">
    <mergeCell ref="A29:C29"/>
    <mergeCell ref="E29:G29"/>
    <mergeCell ref="A11:G11"/>
    <mergeCell ref="A12:G12"/>
    <mergeCell ref="A15:G15"/>
    <mergeCell ref="A26:C26"/>
    <mergeCell ref="A7:G7"/>
    <mergeCell ref="A1:C2"/>
    <mergeCell ref="E2:G2"/>
    <mergeCell ref="A27:C27"/>
    <mergeCell ref="E1:G1"/>
    <mergeCell ref="A4:G4"/>
    <mergeCell ref="A5:G5"/>
    <mergeCell ref="A6:G6"/>
    <mergeCell ref="A9:G9"/>
    <mergeCell ref="B10:C10"/>
    <mergeCell ref="E10:F10"/>
    <mergeCell ref="A13:G13"/>
  </mergeCells>
  <pageMargins left="0.5" right="0.5" top="0.25" bottom="0.5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4" zoomScale="110" zoomScaleNormal="110" workbookViewId="0">
      <selection activeCell="N16" sqref="N16"/>
    </sheetView>
  </sheetViews>
  <sheetFormatPr defaultRowHeight="14.4"/>
  <cols>
    <col min="1" max="1" width="11.44140625" style="24" customWidth="1"/>
    <col min="2" max="2" width="11.109375" style="24" customWidth="1"/>
    <col min="3" max="3" width="12.44140625" style="24" customWidth="1"/>
    <col min="4" max="4" width="14.88671875" style="24" customWidth="1"/>
    <col min="5" max="5" width="15.44140625" style="24" bestFit="1" customWidth="1"/>
    <col min="6" max="6" width="15.77734375" style="24" bestFit="1" customWidth="1"/>
    <col min="7" max="7" width="12.109375" style="24" customWidth="1"/>
    <col min="8" max="16384" width="8.88671875" style="27"/>
  </cols>
  <sheetData>
    <row r="1" spans="1:7" s="24" customFormat="1" ht="14.4" customHeight="1">
      <c r="A1" s="65" t="s">
        <v>18</v>
      </c>
      <c r="B1" s="65"/>
      <c r="C1" s="65"/>
      <c r="D1" s="23"/>
      <c r="E1" s="66" t="s">
        <v>6</v>
      </c>
      <c r="F1" s="66"/>
      <c r="G1" s="66"/>
    </row>
    <row r="2" spans="1:7" s="24" customFormat="1" ht="18" customHeight="1">
      <c r="A2" s="65"/>
      <c r="B2" s="65"/>
      <c r="C2" s="65"/>
      <c r="D2" s="23"/>
      <c r="E2" s="66" t="s">
        <v>7</v>
      </c>
      <c r="F2" s="66"/>
      <c r="G2" s="66"/>
    </row>
    <row r="3" spans="1:7" ht="9.6" customHeight="1">
      <c r="A3" s="25"/>
      <c r="B3" s="25"/>
      <c r="C3" s="25"/>
      <c r="D3" s="25"/>
      <c r="E3" s="26"/>
      <c r="F3" s="26"/>
      <c r="G3" s="26"/>
    </row>
    <row r="4" spans="1:7" ht="28.2" customHeight="1">
      <c r="A4" s="67" t="s">
        <v>26</v>
      </c>
      <c r="B4" s="67"/>
      <c r="C4" s="67"/>
      <c r="D4" s="67"/>
      <c r="E4" s="67"/>
      <c r="F4" s="67"/>
      <c r="G4" s="67"/>
    </row>
    <row r="5" spans="1:7" ht="30.6" customHeight="1">
      <c r="A5" s="68" t="s">
        <v>51</v>
      </c>
      <c r="B5" s="68"/>
      <c r="C5" s="68"/>
      <c r="D5" s="68"/>
      <c r="E5" s="68"/>
      <c r="F5" s="68"/>
      <c r="G5" s="68"/>
    </row>
    <row r="6" spans="1:7" ht="19.2" customHeight="1">
      <c r="A6" s="64" t="s">
        <v>8</v>
      </c>
      <c r="B6" s="64"/>
      <c r="C6" s="64"/>
      <c r="D6" s="64"/>
      <c r="E6" s="64"/>
      <c r="F6" s="64"/>
      <c r="G6" s="64"/>
    </row>
    <row r="7" spans="1:7" ht="19.2" customHeight="1">
      <c r="A7" s="70" t="s">
        <v>9</v>
      </c>
      <c r="B7" s="70"/>
      <c r="C7" s="70"/>
      <c r="D7" s="70"/>
      <c r="E7" s="70"/>
      <c r="F7" s="70"/>
      <c r="G7" s="70"/>
    </row>
    <row r="8" spans="1:7" ht="19.2" customHeight="1">
      <c r="A8" s="28" t="s">
        <v>10</v>
      </c>
      <c r="B8" s="71" t="s">
        <v>19</v>
      </c>
      <c r="C8" s="71"/>
      <c r="D8" s="28"/>
      <c r="E8" s="28"/>
      <c r="F8" s="28"/>
      <c r="G8" s="28"/>
    </row>
    <row r="9" spans="1:7" ht="19.2" customHeight="1">
      <c r="A9" s="64" t="s">
        <v>20</v>
      </c>
      <c r="B9" s="64"/>
      <c r="C9" s="64"/>
      <c r="D9" s="64"/>
      <c r="E9" s="64"/>
      <c r="F9" s="64"/>
      <c r="G9" s="64"/>
    </row>
    <row r="10" spans="1:7" ht="19.2" customHeight="1">
      <c r="A10" s="28" t="s">
        <v>11</v>
      </c>
      <c r="B10" s="64" t="s">
        <v>21</v>
      </c>
      <c r="C10" s="64"/>
      <c r="D10" s="28"/>
      <c r="E10" s="64" t="s">
        <v>22</v>
      </c>
      <c r="F10" s="64"/>
      <c r="G10" s="28"/>
    </row>
    <row r="11" spans="1:7" customFormat="1" ht="31.2" customHeight="1">
      <c r="A11" s="62" t="s">
        <v>31</v>
      </c>
      <c r="B11" s="62"/>
      <c r="C11" s="62"/>
      <c r="D11" s="62"/>
      <c r="E11" s="62"/>
      <c r="F11" s="62"/>
      <c r="G11" s="62"/>
    </row>
    <row r="12" spans="1:7" customFormat="1" ht="19.2" customHeight="1">
      <c r="A12" s="60" t="s">
        <v>32</v>
      </c>
      <c r="B12" s="60"/>
      <c r="C12" s="60"/>
      <c r="D12" s="60"/>
      <c r="E12" s="60"/>
      <c r="F12" s="60"/>
      <c r="G12" s="60"/>
    </row>
    <row r="13" spans="1:7" customFormat="1" ht="29.4" customHeight="1">
      <c r="A13" s="60" t="s">
        <v>33</v>
      </c>
      <c r="B13" s="60"/>
      <c r="C13" s="60"/>
      <c r="D13" s="60"/>
      <c r="E13" s="60"/>
      <c r="F13" s="60"/>
      <c r="G13" s="60"/>
    </row>
    <row r="14" spans="1:7" ht="19.2" customHeight="1">
      <c r="A14" s="28" t="s">
        <v>12</v>
      </c>
      <c r="B14" s="28"/>
      <c r="C14" s="28"/>
      <c r="D14" s="28"/>
      <c r="E14" s="28" t="s">
        <v>13</v>
      </c>
      <c r="F14" s="28"/>
      <c r="G14" s="28"/>
    </row>
    <row r="15" spans="1:7" ht="19.2" customHeight="1">
      <c r="A15" s="72" t="s">
        <v>0</v>
      </c>
      <c r="B15" s="72"/>
      <c r="C15" s="72"/>
      <c r="D15" s="72"/>
      <c r="E15" s="72"/>
      <c r="F15" s="72"/>
      <c r="G15" s="72"/>
    </row>
    <row r="16" spans="1:7" ht="31.8" customHeight="1">
      <c r="A16" s="29" t="s">
        <v>1</v>
      </c>
      <c r="B16" s="29" t="s">
        <v>2</v>
      </c>
      <c r="C16" s="29" t="s">
        <v>3</v>
      </c>
      <c r="D16" s="29" t="s">
        <v>14</v>
      </c>
      <c r="E16" s="29" t="s">
        <v>16</v>
      </c>
      <c r="F16" s="29" t="s">
        <v>4</v>
      </c>
      <c r="G16" s="29" t="s">
        <v>15</v>
      </c>
    </row>
    <row r="17" spans="1:7" ht="24" customHeight="1">
      <c r="A17" s="30" t="s">
        <v>52</v>
      </c>
      <c r="B17" s="31" t="s">
        <v>46</v>
      </c>
      <c r="C17" s="31" t="s">
        <v>60</v>
      </c>
      <c r="D17" s="32">
        <v>25290000</v>
      </c>
      <c r="E17" s="32">
        <f>+D17*0.08</f>
        <v>2023200</v>
      </c>
      <c r="F17" s="32">
        <f>+E17+D17</f>
        <v>27313200</v>
      </c>
      <c r="G17" s="33"/>
    </row>
    <row r="18" spans="1:7" ht="24" customHeight="1">
      <c r="A18" s="30" t="s">
        <v>53</v>
      </c>
      <c r="B18" s="31" t="s">
        <v>46</v>
      </c>
      <c r="C18" s="31" t="s">
        <v>49</v>
      </c>
      <c r="D18" s="32">
        <v>5130000</v>
      </c>
      <c r="E18" s="32">
        <f t="shared" ref="E18:E24" si="0">+D18*0.08</f>
        <v>410400</v>
      </c>
      <c r="F18" s="32">
        <f t="shared" ref="F18:F24" si="1">+E18+D18</f>
        <v>5540400</v>
      </c>
      <c r="G18" s="33"/>
    </row>
    <row r="19" spans="1:7" ht="24" customHeight="1">
      <c r="A19" s="30" t="s">
        <v>54</v>
      </c>
      <c r="B19" s="31" t="s">
        <v>46</v>
      </c>
      <c r="C19" s="31" t="s">
        <v>50</v>
      </c>
      <c r="D19" s="32">
        <v>1380000</v>
      </c>
      <c r="E19" s="32">
        <f t="shared" si="0"/>
        <v>110400</v>
      </c>
      <c r="F19" s="32">
        <f t="shared" si="1"/>
        <v>1490400</v>
      </c>
      <c r="G19" s="33"/>
    </row>
    <row r="20" spans="1:7" ht="24" customHeight="1">
      <c r="A20" s="34" t="s">
        <v>55</v>
      </c>
      <c r="B20" s="31" t="s">
        <v>46</v>
      </c>
      <c r="C20" s="35" t="s">
        <v>50</v>
      </c>
      <c r="D20" s="32">
        <v>17452000</v>
      </c>
      <c r="E20" s="32">
        <f t="shared" si="0"/>
        <v>1396160</v>
      </c>
      <c r="F20" s="32">
        <f t="shared" si="1"/>
        <v>18848160</v>
      </c>
      <c r="G20" s="33"/>
    </row>
    <row r="21" spans="1:7" ht="24" customHeight="1">
      <c r="A21" s="30" t="s">
        <v>56</v>
      </c>
      <c r="B21" s="31" t="s">
        <v>46</v>
      </c>
      <c r="C21" s="31" t="s">
        <v>61</v>
      </c>
      <c r="D21" s="32">
        <v>11615000</v>
      </c>
      <c r="E21" s="32">
        <f t="shared" si="0"/>
        <v>929200</v>
      </c>
      <c r="F21" s="32">
        <f t="shared" si="1"/>
        <v>12544200</v>
      </c>
      <c r="G21" s="33"/>
    </row>
    <row r="22" spans="1:7" ht="24" customHeight="1">
      <c r="A22" s="30" t="s">
        <v>57</v>
      </c>
      <c r="B22" s="31" t="s">
        <v>46</v>
      </c>
      <c r="C22" s="31" t="s">
        <v>62</v>
      </c>
      <c r="D22" s="32">
        <v>143220000</v>
      </c>
      <c r="E22" s="32">
        <f t="shared" si="0"/>
        <v>11457600</v>
      </c>
      <c r="F22" s="32">
        <f t="shared" si="1"/>
        <v>154677600</v>
      </c>
      <c r="G22" s="33"/>
    </row>
    <row r="23" spans="1:7" ht="24" customHeight="1">
      <c r="A23" s="30" t="s">
        <v>58</v>
      </c>
      <c r="B23" s="31" t="s">
        <v>46</v>
      </c>
      <c r="C23" s="31" t="s">
        <v>63</v>
      </c>
      <c r="D23" s="32">
        <v>10200000</v>
      </c>
      <c r="E23" s="32">
        <f t="shared" si="0"/>
        <v>816000</v>
      </c>
      <c r="F23" s="32">
        <f t="shared" si="1"/>
        <v>11016000</v>
      </c>
      <c r="G23" s="33"/>
    </row>
    <row r="24" spans="1:7" ht="24" customHeight="1">
      <c r="A24" s="30" t="s">
        <v>59</v>
      </c>
      <c r="B24" s="31" t="s">
        <v>46</v>
      </c>
      <c r="C24" s="36" t="s">
        <v>64</v>
      </c>
      <c r="D24" s="37">
        <v>12225000</v>
      </c>
      <c r="E24" s="32">
        <f t="shared" si="0"/>
        <v>978000</v>
      </c>
      <c r="F24" s="32">
        <f t="shared" si="1"/>
        <v>13203000</v>
      </c>
      <c r="G24" s="30"/>
    </row>
    <row r="25" spans="1:7" ht="24.6" customHeight="1">
      <c r="A25" s="73" t="s">
        <v>5</v>
      </c>
      <c r="B25" s="74"/>
      <c r="C25" s="75"/>
      <c r="D25" s="38">
        <f>SUM(D17:D24)</f>
        <v>226512000</v>
      </c>
      <c r="E25" s="38">
        <f t="shared" ref="E25:F25" si="2">SUM(E17:E24)</f>
        <v>18120960</v>
      </c>
      <c r="F25" s="38">
        <f t="shared" si="2"/>
        <v>244632960</v>
      </c>
      <c r="G25" s="29"/>
    </row>
    <row r="26" spans="1:7" ht="24.6" customHeight="1">
      <c r="A26" s="73" t="s">
        <v>17</v>
      </c>
      <c r="B26" s="74"/>
      <c r="C26" s="75"/>
      <c r="D26" s="38">
        <f>+D25*0.1</f>
        <v>22651200</v>
      </c>
      <c r="E26" s="38">
        <f t="shared" ref="E26:F26" si="3">+E25*0.1</f>
        <v>1812096</v>
      </c>
      <c r="F26" s="38">
        <f t="shared" si="3"/>
        <v>24463296</v>
      </c>
      <c r="G26" s="29"/>
    </row>
    <row r="27" spans="1:7" ht="12" customHeight="1">
      <c r="A27" s="39"/>
      <c r="B27" s="39"/>
      <c r="C27" s="39"/>
      <c r="D27" s="40"/>
      <c r="E27" s="40"/>
      <c r="F27" s="40"/>
      <c r="G27" s="40"/>
    </row>
    <row r="28" spans="1:7" ht="58.8" customHeight="1">
      <c r="A28" s="69"/>
      <c r="B28" s="69"/>
      <c r="C28" s="69"/>
      <c r="D28" s="25"/>
      <c r="E28" s="69" t="s">
        <v>23</v>
      </c>
      <c r="F28" s="69"/>
      <c r="G28" s="69"/>
    </row>
    <row r="29" spans="1:7">
      <c r="A29" s="41"/>
      <c r="B29" s="41"/>
      <c r="C29" s="41"/>
      <c r="D29" s="41"/>
      <c r="E29" s="41"/>
      <c r="F29" s="41"/>
      <c r="G29" s="41"/>
    </row>
    <row r="30" spans="1:7">
      <c r="A30" s="41"/>
      <c r="B30" s="41"/>
      <c r="C30" s="41"/>
      <c r="D30" s="41"/>
      <c r="E30" s="41"/>
      <c r="F30" s="41"/>
      <c r="G30" s="41"/>
    </row>
    <row r="31" spans="1:7">
      <c r="A31" s="41"/>
      <c r="B31" s="41"/>
      <c r="C31" s="41"/>
      <c r="D31" s="41"/>
      <c r="E31" s="41"/>
      <c r="F31" s="41"/>
      <c r="G31" s="41"/>
    </row>
    <row r="32" spans="1:7">
      <c r="A32" s="41"/>
      <c r="B32" s="41"/>
      <c r="C32" s="41"/>
      <c r="D32" s="41"/>
      <c r="E32" s="41"/>
      <c r="F32" s="41"/>
      <c r="G32" s="41"/>
    </row>
    <row r="33" spans="1:7">
      <c r="A33" s="41"/>
      <c r="B33" s="41"/>
      <c r="C33" s="41"/>
      <c r="D33" s="41"/>
      <c r="E33" s="41"/>
      <c r="F33" s="41"/>
      <c r="G33" s="41"/>
    </row>
    <row r="34" spans="1:7">
      <c r="A34" s="41"/>
      <c r="B34" s="41"/>
      <c r="C34" s="41"/>
      <c r="D34" s="41"/>
      <c r="E34" s="41"/>
      <c r="F34" s="41"/>
      <c r="G34" s="41"/>
    </row>
    <row r="35" spans="1:7">
      <c r="A35" s="41"/>
      <c r="B35" s="41"/>
      <c r="C35" s="41"/>
      <c r="D35" s="41"/>
      <c r="E35" s="41"/>
      <c r="F35" s="41"/>
      <c r="G35" s="41"/>
    </row>
    <row r="36" spans="1:7">
      <c r="A36" s="41"/>
      <c r="B36" s="41"/>
      <c r="C36" s="41"/>
      <c r="D36" s="41"/>
      <c r="E36" s="41"/>
      <c r="F36" s="41"/>
      <c r="G36" s="41"/>
    </row>
  </sheetData>
  <mergeCells count="19">
    <mergeCell ref="A28:C28"/>
    <mergeCell ref="E28:G28"/>
    <mergeCell ref="A7:G7"/>
    <mergeCell ref="B8:C8"/>
    <mergeCell ref="A9:G9"/>
    <mergeCell ref="B10:C10"/>
    <mergeCell ref="E10:F10"/>
    <mergeCell ref="A11:G11"/>
    <mergeCell ref="A12:G12"/>
    <mergeCell ref="A13:G13"/>
    <mergeCell ref="A15:G15"/>
    <mergeCell ref="A25:C25"/>
    <mergeCell ref="A26:C26"/>
    <mergeCell ref="A6:G6"/>
    <mergeCell ref="A1:C2"/>
    <mergeCell ref="E1:G1"/>
    <mergeCell ref="E2:G2"/>
    <mergeCell ref="A4:G4"/>
    <mergeCell ref="A5:G5"/>
  </mergeCells>
  <pageMargins left="0.5" right="0.5" top="0.25" bottom="0.5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zoomScale="110" zoomScaleNormal="110" workbookViewId="0">
      <selection activeCell="A9" sqref="A9:G9"/>
    </sheetView>
  </sheetViews>
  <sheetFormatPr defaultRowHeight="14.4"/>
  <cols>
    <col min="1" max="2" width="8.88671875" style="1"/>
    <col min="3" max="3" width="12.44140625" style="1" customWidth="1"/>
    <col min="4" max="4" width="14.88671875" style="1" customWidth="1"/>
    <col min="5" max="6" width="8.88671875" style="1"/>
    <col min="7" max="7" width="12.5546875" style="1" customWidth="1"/>
  </cols>
  <sheetData>
    <row r="1" spans="1:7" s="1" customFormat="1" ht="14.4" customHeight="1">
      <c r="A1" s="53" t="s">
        <v>18</v>
      </c>
      <c r="B1" s="53"/>
      <c r="C1" s="53"/>
      <c r="D1" s="10"/>
      <c r="E1" s="54" t="s">
        <v>6</v>
      </c>
      <c r="F1" s="54"/>
      <c r="G1" s="54"/>
    </row>
    <row r="2" spans="1:7" s="1" customFormat="1" ht="18" customHeight="1">
      <c r="A2" s="53"/>
      <c r="B2" s="53"/>
      <c r="C2" s="53"/>
      <c r="D2" s="10"/>
      <c r="E2" s="54" t="s">
        <v>7</v>
      </c>
      <c r="F2" s="54"/>
      <c r="G2" s="54"/>
    </row>
    <row r="3" spans="1:7" ht="9.6" customHeight="1">
      <c r="A3" s="12"/>
      <c r="B3" s="12"/>
      <c r="C3" s="12"/>
      <c r="D3" s="12"/>
      <c r="E3" s="8"/>
      <c r="F3" s="8"/>
      <c r="G3" s="8"/>
    </row>
    <row r="4" spans="1:7" ht="28.2" customHeight="1">
      <c r="A4" s="58" t="s">
        <v>27</v>
      </c>
      <c r="B4" s="58"/>
      <c r="C4" s="58"/>
      <c r="D4" s="58"/>
      <c r="E4" s="58"/>
      <c r="F4" s="58"/>
      <c r="G4" s="58"/>
    </row>
    <row r="5" spans="1:7" ht="30.6" customHeight="1">
      <c r="A5" s="59" t="s">
        <v>24</v>
      </c>
      <c r="B5" s="59"/>
      <c r="C5" s="59"/>
      <c r="D5" s="59"/>
      <c r="E5" s="59"/>
      <c r="F5" s="59"/>
      <c r="G5" s="59"/>
    </row>
    <row r="6" spans="1:7" ht="19.2" customHeight="1">
      <c r="A6" s="60" t="s">
        <v>8</v>
      </c>
      <c r="B6" s="60"/>
      <c r="C6" s="60"/>
      <c r="D6" s="60"/>
      <c r="E6" s="60"/>
      <c r="F6" s="60"/>
      <c r="G6" s="60"/>
    </row>
    <row r="7" spans="1:7" ht="19.2" customHeight="1">
      <c r="A7" s="52" t="s">
        <v>9</v>
      </c>
      <c r="B7" s="52"/>
      <c r="C7" s="52"/>
      <c r="D7" s="52"/>
      <c r="E7" s="52"/>
      <c r="F7" s="52"/>
      <c r="G7" s="52"/>
    </row>
    <row r="8" spans="1:7" ht="19.2" customHeight="1">
      <c r="A8" s="11" t="s">
        <v>10</v>
      </c>
      <c r="B8" s="16" t="s">
        <v>19</v>
      </c>
      <c r="C8" s="11"/>
      <c r="D8" s="11"/>
      <c r="E8" s="11"/>
      <c r="F8" s="11"/>
      <c r="G8" s="11"/>
    </row>
    <row r="9" spans="1:7" ht="19.2" customHeight="1">
      <c r="A9" s="60" t="s">
        <v>20</v>
      </c>
      <c r="B9" s="60"/>
      <c r="C9" s="60"/>
      <c r="D9" s="60"/>
      <c r="E9" s="60"/>
      <c r="F9" s="60"/>
      <c r="G9" s="60"/>
    </row>
    <row r="10" spans="1:7" ht="19.2" customHeight="1">
      <c r="A10" s="11" t="s">
        <v>11</v>
      </c>
      <c r="B10" s="60" t="s">
        <v>21</v>
      </c>
      <c r="C10" s="60"/>
      <c r="D10" s="11"/>
      <c r="E10" s="60" t="s">
        <v>22</v>
      </c>
      <c r="F10" s="60"/>
      <c r="G10" s="11"/>
    </row>
    <row r="11" spans="1:7" ht="31.2" customHeight="1">
      <c r="A11" s="62" t="s">
        <v>31</v>
      </c>
      <c r="B11" s="62"/>
      <c r="C11" s="62"/>
      <c r="D11" s="62"/>
      <c r="E11" s="62"/>
      <c r="F11" s="62"/>
      <c r="G11" s="62"/>
    </row>
    <row r="12" spans="1:7" ht="19.2" customHeight="1">
      <c r="A12" s="60" t="s">
        <v>32</v>
      </c>
      <c r="B12" s="60"/>
      <c r="C12" s="60"/>
      <c r="D12" s="60"/>
      <c r="E12" s="60"/>
      <c r="F12" s="60"/>
      <c r="G12" s="60"/>
    </row>
    <row r="13" spans="1:7" ht="29.4" customHeight="1">
      <c r="A13" s="60" t="s">
        <v>33</v>
      </c>
      <c r="B13" s="60"/>
      <c r="C13" s="60"/>
      <c r="D13" s="60"/>
      <c r="E13" s="60"/>
      <c r="F13" s="60"/>
      <c r="G13" s="60"/>
    </row>
    <row r="14" spans="1:7" ht="19.2" customHeight="1">
      <c r="A14" s="11" t="s">
        <v>12</v>
      </c>
      <c r="B14" s="11"/>
      <c r="C14" s="11"/>
      <c r="D14" s="11"/>
      <c r="E14" s="11" t="s">
        <v>13</v>
      </c>
      <c r="F14" s="11"/>
      <c r="G14" s="11"/>
    </row>
    <row r="15" spans="1:7" ht="19.2" customHeight="1">
      <c r="A15" s="63" t="s">
        <v>0</v>
      </c>
      <c r="B15" s="63"/>
      <c r="C15" s="63"/>
      <c r="D15" s="63"/>
      <c r="E15" s="63"/>
      <c r="F15" s="63"/>
      <c r="G15" s="63"/>
    </row>
    <row r="16" spans="1:7" ht="31.8" customHeight="1">
      <c r="A16" s="3" t="s">
        <v>1</v>
      </c>
      <c r="B16" s="3" t="s">
        <v>2</v>
      </c>
      <c r="C16" s="3" t="s">
        <v>3</v>
      </c>
      <c r="D16" s="3" t="s">
        <v>14</v>
      </c>
      <c r="E16" s="3" t="s">
        <v>16</v>
      </c>
      <c r="F16" s="3" t="s">
        <v>4</v>
      </c>
      <c r="G16" s="3" t="s">
        <v>15</v>
      </c>
    </row>
    <row r="17" spans="1:7" ht="15.75" customHeight="1">
      <c r="A17" s="4"/>
      <c r="B17" s="5"/>
      <c r="C17" s="5"/>
      <c r="D17" s="5"/>
      <c r="E17" s="5"/>
      <c r="F17" s="5"/>
      <c r="G17" s="5"/>
    </row>
    <row r="18" spans="1:7" ht="15.75" customHeight="1">
      <c r="A18" s="4"/>
      <c r="B18" s="5"/>
      <c r="C18" s="5"/>
      <c r="D18" s="5"/>
      <c r="E18" s="5"/>
      <c r="F18" s="5"/>
      <c r="G18" s="5"/>
    </row>
    <row r="19" spans="1:7" ht="15.75" customHeight="1">
      <c r="A19" s="4"/>
      <c r="B19" s="5"/>
      <c r="C19" s="5"/>
      <c r="D19" s="5"/>
      <c r="E19" s="5"/>
      <c r="F19" s="5"/>
      <c r="G19" s="5"/>
    </row>
    <row r="20" spans="1:7" ht="15.75" customHeight="1">
      <c r="A20" s="4"/>
      <c r="B20" s="5"/>
      <c r="C20" s="5"/>
      <c r="D20" s="5"/>
      <c r="E20" s="5"/>
      <c r="F20" s="5"/>
      <c r="G20" s="5"/>
    </row>
    <row r="21" spans="1:7" ht="15.75" customHeight="1">
      <c r="A21" s="4"/>
      <c r="B21" s="5"/>
      <c r="C21" s="5"/>
      <c r="D21" s="5"/>
      <c r="E21" s="5"/>
      <c r="F21" s="5"/>
      <c r="G21" s="5"/>
    </row>
    <row r="22" spans="1:7" ht="15.75" customHeight="1">
      <c r="A22" s="4"/>
      <c r="B22" s="5"/>
      <c r="C22" s="5"/>
      <c r="D22" s="5"/>
      <c r="E22" s="5"/>
      <c r="F22" s="5"/>
      <c r="G22" s="5"/>
    </row>
    <row r="23" spans="1:7" ht="15.75" customHeight="1">
      <c r="A23" s="4"/>
      <c r="B23" s="5"/>
      <c r="C23" s="5"/>
      <c r="D23" s="5"/>
      <c r="E23" s="5"/>
      <c r="F23" s="5"/>
      <c r="G23" s="5"/>
    </row>
    <row r="24" spans="1:7" ht="15.75" customHeight="1">
      <c r="A24" s="4"/>
      <c r="B24" s="5"/>
      <c r="C24" s="5"/>
      <c r="D24" s="5"/>
      <c r="E24" s="5"/>
      <c r="F24" s="5"/>
      <c r="G24" s="5"/>
    </row>
    <row r="25" spans="1:7" ht="16.8" customHeight="1">
      <c r="A25" s="4"/>
      <c r="B25" s="4"/>
      <c r="C25" s="6"/>
      <c r="D25" s="4"/>
      <c r="E25" s="4"/>
      <c r="F25" s="4"/>
      <c r="G25" s="4"/>
    </row>
    <row r="26" spans="1:7" ht="16.8" customHeight="1">
      <c r="A26" s="55" t="s">
        <v>5</v>
      </c>
      <c r="B26" s="56"/>
      <c r="C26" s="57"/>
      <c r="D26" s="3"/>
      <c r="E26" s="3"/>
      <c r="F26" s="3"/>
      <c r="G26" s="3"/>
    </row>
    <row r="27" spans="1:7" ht="16.8" customHeight="1">
      <c r="A27" s="55" t="s">
        <v>17</v>
      </c>
      <c r="B27" s="56"/>
      <c r="C27" s="57"/>
      <c r="D27" s="3"/>
      <c r="E27" s="3"/>
      <c r="F27" s="3"/>
      <c r="G27" s="3"/>
    </row>
    <row r="28" spans="1:7" ht="12" customHeight="1">
      <c r="A28" s="14"/>
      <c r="B28" s="14"/>
      <c r="C28" s="14"/>
      <c r="D28" s="15"/>
      <c r="E28" s="15"/>
      <c r="F28" s="15"/>
      <c r="G28" s="15"/>
    </row>
    <row r="29" spans="1:7" ht="58.8" customHeight="1">
      <c r="A29" s="61"/>
      <c r="B29" s="61"/>
      <c r="C29" s="61"/>
      <c r="D29" s="12"/>
      <c r="E29" s="61" t="s">
        <v>23</v>
      </c>
      <c r="F29" s="61"/>
      <c r="G29" s="61"/>
    </row>
    <row r="30" spans="1:7">
      <c r="A30" s="13"/>
      <c r="B30" s="13"/>
      <c r="C30" s="13"/>
      <c r="D30" s="13"/>
      <c r="E30" s="13"/>
      <c r="F30" s="13"/>
      <c r="G30" s="13"/>
    </row>
    <row r="31" spans="1:7">
      <c r="A31" s="13"/>
      <c r="B31" s="13"/>
      <c r="C31" s="13"/>
      <c r="D31" s="13"/>
      <c r="E31" s="13"/>
      <c r="F31" s="13"/>
      <c r="G31" s="13"/>
    </row>
    <row r="32" spans="1:7">
      <c r="A32" s="13"/>
      <c r="B32" s="13"/>
      <c r="C32" s="13"/>
      <c r="D32" s="13"/>
      <c r="E32" s="13"/>
      <c r="F32" s="13"/>
      <c r="G32" s="13"/>
    </row>
    <row r="33" spans="1:7">
      <c r="A33" s="13"/>
      <c r="B33" s="13"/>
      <c r="C33" s="13"/>
      <c r="D33" s="13"/>
      <c r="E33" s="13"/>
      <c r="F33" s="13"/>
      <c r="G33" s="13"/>
    </row>
    <row r="34" spans="1:7">
      <c r="A34" s="13"/>
      <c r="B34" s="13"/>
      <c r="C34" s="13"/>
      <c r="D34" s="13"/>
      <c r="E34" s="13"/>
      <c r="F34" s="13"/>
      <c r="G34" s="13"/>
    </row>
    <row r="35" spans="1:7">
      <c r="A35" s="13"/>
      <c r="B35" s="13"/>
      <c r="C35" s="13"/>
      <c r="D35" s="13"/>
      <c r="E35" s="13"/>
      <c r="F35" s="13"/>
      <c r="G35" s="13"/>
    </row>
    <row r="36" spans="1:7">
      <c r="A36" s="13"/>
      <c r="B36" s="13"/>
      <c r="C36" s="13"/>
      <c r="D36" s="13"/>
      <c r="E36" s="13"/>
      <c r="F36" s="13"/>
      <c r="G36" s="13"/>
    </row>
    <row r="37" spans="1:7">
      <c r="A37" s="13"/>
      <c r="B37" s="13"/>
      <c r="C37" s="13"/>
      <c r="D37" s="13"/>
      <c r="E37" s="13"/>
      <c r="F37" s="13"/>
      <c r="G37" s="13"/>
    </row>
  </sheetData>
  <mergeCells count="18">
    <mergeCell ref="A12:G12"/>
    <mergeCell ref="A1:C2"/>
    <mergeCell ref="E1:G1"/>
    <mergeCell ref="E2:G2"/>
    <mergeCell ref="A4:G4"/>
    <mergeCell ref="A5:G5"/>
    <mergeCell ref="A6:G6"/>
    <mergeCell ref="A7:G7"/>
    <mergeCell ref="A9:G9"/>
    <mergeCell ref="B10:C10"/>
    <mergeCell ref="E10:F10"/>
    <mergeCell ref="A11:G11"/>
    <mergeCell ref="A13:G13"/>
    <mergeCell ref="A15:G15"/>
    <mergeCell ref="A26:C26"/>
    <mergeCell ref="A27:C27"/>
    <mergeCell ref="A29:C29"/>
    <mergeCell ref="E29:G29"/>
  </mergeCells>
  <pageMargins left="0.5" right="0.5" top="0.25" bottom="0.5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A15" zoomScale="110" zoomScaleNormal="110" workbookViewId="0">
      <selection sqref="A1:G29"/>
    </sheetView>
  </sheetViews>
  <sheetFormatPr defaultRowHeight="14.4"/>
  <cols>
    <col min="1" max="1" width="11.6640625" style="1" customWidth="1"/>
    <col min="2" max="2" width="11.77734375" style="1" customWidth="1"/>
    <col min="3" max="3" width="12.44140625" style="1" customWidth="1"/>
    <col min="4" max="4" width="14.88671875" style="1" customWidth="1"/>
    <col min="5" max="5" width="11.44140625" style="1" customWidth="1"/>
    <col min="6" max="6" width="12.21875" style="1" customWidth="1"/>
    <col min="7" max="7" width="12.5546875" style="1" customWidth="1"/>
  </cols>
  <sheetData>
    <row r="1" spans="1:7" s="1" customFormat="1" ht="14.4" customHeight="1">
      <c r="A1" s="53" t="s">
        <v>18</v>
      </c>
      <c r="B1" s="53"/>
      <c r="C1" s="53"/>
      <c r="D1" s="10"/>
      <c r="E1" s="54" t="s">
        <v>6</v>
      </c>
      <c r="F1" s="54"/>
      <c r="G1" s="54"/>
    </row>
    <row r="2" spans="1:7" s="1" customFormat="1" ht="18" customHeight="1">
      <c r="A2" s="53"/>
      <c r="B2" s="53"/>
      <c r="C2" s="53"/>
      <c r="D2" s="10"/>
      <c r="E2" s="54" t="s">
        <v>7</v>
      </c>
      <c r="F2" s="54"/>
      <c r="G2" s="54"/>
    </row>
    <row r="3" spans="1:7" ht="9.6" customHeight="1">
      <c r="A3" s="12"/>
      <c r="B3" s="12"/>
      <c r="C3" s="12"/>
      <c r="D3" s="12"/>
      <c r="E3" s="8"/>
      <c r="F3" s="8"/>
      <c r="G3" s="8"/>
    </row>
    <row r="4" spans="1:7" ht="28.2" customHeight="1">
      <c r="A4" s="58" t="s">
        <v>28</v>
      </c>
      <c r="B4" s="58"/>
      <c r="C4" s="58"/>
      <c r="D4" s="58"/>
      <c r="E4" s="58"/>
      <c r="F4" s="58"/>
      <c r="G4" s="58"/>
    </row>
    <row r="5" spans="1:7" ht="30.6" customHeight="1">
      <c r="A5" s="59" t="s">
        <v>30</v>
      </c>
      <c r="B5" s="59"/>
      <c r="C5" s="59"/>
      <c r="D5" s="59"/>
      <c r="E5" s="59"/>
      <c r="F5" s="59"/>
      <c r="G5" s="59"/>
    </row>
    <row r="6" spans="1:7" ht="19.2" customHeight="1">
      <c r="A6" s="60" t="s">
        <v>8</v>
      </c>
      <c r="B6" s="60"/>
      <c r="C6" s="60"/>
      <c r="D6" s="60"/>
      <c r="E6" s="60"/>
      <c r="F6" s="60"/>
      <c r="G6" s="60"/>
    </row>
    <row r="7" spans="1:7" ht="19.2" customHeight="1">
      <c r="A7" s="52" t="s">
        <v>9</v>
      </c>
      <c r="B7" s="52"/>
      <c r="C7" s="52"/>
      <c r="D7" s="52"/>
      <c r="E7" s="52"/>
      <c r="F7" s="52"/>
      <c r="G7" s="52"/>
    </row>
    <row r="8" spans="1:7" ht="19.2" customHeight="1">
      <c r="A8" s="11" t="s">
        <v>10</v>
      </c>
      <c r="B8" s="16" t="s">
        <v>19</v>
      </c>
      <c r="C8" s="11"/>
      <c r="D8" s="11"/>
      <c r="E8" s="11"/>
      <c r="F8" s="11"/>
      <c r="G8" s="11"/>
    </row>
    <row r="9" spans="1:7" ht="19.2" customHeight="1">
      <c r="A9" s="60" t="s">
        <v>20</v>
      </c>
      <c r="B9" s="60"/>
      <c r="C9" s="60"/>
      <c r="D9" s="60"/>
      <c r="E9" s="60"/>
      <c r="F9" s="60"/>
      <c r="G9" s="60"/>
    </row>
    <row r="10" spans="1:7" ht="19.2" customHeight="1">
      <c r="A10" s="11" t="s">
        <v>11</v>
      </c>
      <c r="B10" s="60" t="s">
        <v>21</v>
      </c>
      <c r="C10" s="60"/>
      <c r="D10" s="11"/>
      <c r="E10" s="60" t="s">
        <v>22</v>
      </c>
      <c r="F10" s="60"/>
      <c r="G10" s="11"/>
    </row>
    <row r="11" spans="1:7" ht="31.2" customHeight="1">
      <c r="A11" s="62" t="s">
        <v>31</v>
      </c>
      <c r="B11" s="62"/>
      <c r="C11" s="62"/>
      <c r="D11" s="62"/>
      <c r="E11" s="62"/>
      <c r="F11" s="62"/>
      <c r="G11" s="62"/>
    </row>
    <row r="12" spans="1:7" ht="19.2" customHeight="1">
      <c r="A12" s="60" t="s">
        <v>32</v>
      </c>
      <c r="B12" s="60"/>
      <c r="C12" s="60"/>
      <c r="D12" s="60"/>
      <c r="E12" s="60"/>
      <c r="F12" s="60"/>
      <c r="G12" s="60"/>
    </row>
    <row r="13" spans="1:7" ht="29.4" customHeight="1">
      <c r="A13" s="60" t="s">
        <v>33</v>
      </c>
      <c r="B13" s="60"/>
      <c r="C13" s="60"/>
      <c r="D13" s="60"/>
      <c r="E13" s="60"/>
      <c r="F13" s="60"/>
      <c r="G13" s="60"/>
    </row>
    <row r="14" spans="1:7" ht="19.2" customHeight="1">
      <c r="A14" s="11" t="s">
        <v>12</v>
      </c>
      <c r="B14" s="11"/>
      <c r="C14" s="11"/>
      <c r="D14" s="11"/>
      <c r="E14" s="11" t="s">
        <v>13</v>
      </c>
      <c r="F14" s="11"/>
      <c r="G14" s="11"/>
    </row>
    <row r="15" spans="1:7" ht="19.2" customHeight="1">
      <c r="A15" s="63" t="s">
        <v>0</v>
      </c>
      <c r="B15" s="63"/>
      <c r="C15" s="63"/>
      <c r="D15" s="63"/>
      <c r="E15" s="63"/>
      <c r="F15" s="63"/>
      <c r="G15" s="63"/>
    </row>
    <row r="16" spans="1:7" ht="31.8" customHeight="1">
      <c r="A16" s="3" t="s">
        <v>1</v>
      </c>
      <c r="B16" s="3" t="s">
        <v>2</v>
      </c>
      <c r="C16" s="3" t="s">
        <v>3</v>
      </c>
      <c r="D16" s="3" t="s">
        <v>14</v>
      </c>
      <c r="E16" s="3" t="s">
        <v>16</v>
      </c>
      <c r="F16" s="3" t="s">
        <v>4</v>
      </c>
      <c r="G16" s="3" t="s">
        <v>15</v>
      </c>
    </row>
    <row r="17" spans="1:7" ht="15.75" customHeight="1">
      <c r="A17" s="4"/>
      <c r="B17" s="5"/>
      <c r="C17" s="5"/>
      <c r="D17" s="5"/>
      <c r="E17" s="5"/>
      <c r="F17" s="5"/>
      <c r="G17" s="5"/>
    </row>
    <row r="18" spans="1:7" ht="15.75" customHeight="1">
      <c r="A18" s="4"/>
      <c r="B18" s="5"/>
      <c r="C18" s="5"/>
      <c r="D18" s="5"/>
      <c r="E18" s="5"/>
      <c r="F18" s="5"/>
      <c r="G18" s="5"/>
    </row>
    <row r="19" spans="1:7" ht="15.75" customHeight="1">
      <c r="A19" s="4"/>
      <c r="B19" s="5"/>
      <c r="C19" s="5"/>
      <c r="D19" s="5"/>
      <c r="E19" s="5"/>
      <c r="F19" s="5"/>
      <c r="G19" s="5"/>
    </row>
    <row r="20" spans="1:7" ht="15.75" customHeight="1">
      <c r="A20" s="4"/>
      <c r="B20" s="5"/>
      <c r="C20" s="5"/>
      <c r="D20" s="5"/>
      <c r="E20" s="5"/>
      <c r="F20" s="5"/>
      <c r="G20" s="5"/>
    </row>
    <row r="21" spans="1:7" ht="15.75" customHeight="1">
      <c r="A21" s="4"/>
      <c r="B21" s="5"/>
      <c r="C21" s="5"/>
      <c r="D21" s="5"/>
      <c r="E21" s="5"/>
      <c r="F21" s="5"/>
      <c r="G21" s="5"/>
    </row>
    <row r="22" spans="1:7" ht="15.75" customHeight="1">
      <c r="A22" s="4"/>
      <c r="B22" s="5"/>
      <c r="C22" s="5"/>
      <c r="D22" s="5"/>
      <c r="E22" s="5"/>
      <c r="F22" s="5"/>
      <c r="G22" s="5"/>
    </row>
    <row r="23" spans="1:7" ht="15.75" customHeight="1">
      <c r="A23" s="4"/>
      <c r="B23" s="5"/>
      <c r="C23" s="5"/>
      <c r="D23" s="5"/>
      <c r="E23" s="5"/>
      <c r="F23" s="5"/>
      <c r="G23" s="5"/>
    </row>
    <row r="24" spans="1:7" ht="15.75" customHeight="1">
      <c r="A24" s="4"/>
      <c r="B24" s="5"/>
      <c r="C24" s="5"/>
      <c r="D24" s="5"/>
      <c r="E24" s="5"/>
      <c r="F24" s="5"/>
      <c r="G24" s="5"/>
    </row>
    <row r="25" spans="1:7" ht="16.8" customHeight="1">
      <c r="A25" s="4"/>
      <c r="B25" s="4"/>
      <c r="C25" s="6"/>
      <c r="D25" s="4"/>
      <c r="E25" s="4"/>
      <c r="F25" s="4"/>
      <c r="G25" s="4"/>
    </row>
    <row r="26" spans="1:7" ht="16.8" customHeight="1">
      <c r="A26" s="55" t="s">
        <v>5</v>
      </c>
      <c r="B26" s="56"/>
      <c r="C26" s="57"/>
      <c r="D26" s="3"/>
      <c r="E26" s="3"/>
      <c r="F26" s="3"/>
      <c r="G26" s="3"/>
    </row>
    <row r="27" spans="1:7" ht="16.8" customHeight="1">
      <c r="A27" s="55" t="s">
        <v>17</v>
      </c>
      <c r="B27" s="56"/>
      <c r="C27" s="57"/>
      <c r="D27" s="3"/>
      <c r="E27" s="3"/>
      <c r="F27" s="3"/>
      <c r="G27" s="3"/>
    </row>
    <row r="28" spans="1:7" ht="12" customHeight="1">
      <c r="A28" s="14"/>
      <c r="B28" s="14"/>
      <c r="C28" s="14"/>
      <c r="D28" s="15"/>
      <c r="E28" s="15"/>
      <c r="F28" s="15"/>
      <c r="G28" s="15"/>
    </row>
    <row r="29" spans="1:7" ht="58.8" customHeight="1">
      <c r="A29" s="61"/>
      <c r="B29" s="61"/>
      <c r="C29" s="61"/>
      <c r="D29" s="12"/>
      <c r="E29" s="61" t="s">
        <v>23</v>
      </c>
      <c r="F29" s="61"/>
      <c r="G29" s="61"/>
    </row>
    <row r="30" spans="1:7">
      <c r="A30" s="13"/>
      <c r="B30" s="13"/>
      <c r="C30" s="13"/>
      <c r="D30" s="13"/>
      <c r="E30" s="13"/>
      <c r="F30" s="13"/>
      <c r="G30" s="13"/>
    </row>
    <row r="31" spans="1:7">
      <c r="A31" s="13"/>
      <c r="B31" s="13"/>
      <c r="C31" s="13"/>
      <c r="D31" s="13"/>
      <c r="E31" s="13"/>
      <c r="F31" s="13"/>
      <c r="G31" s="13"/>
    </row>
    <row r="32" spans="1:7">
      <c r="A32" s="13"/>
      <c r="B32" s="13"/>
      <c r="C32" s="13"/>
      <c r="D32" s="13"/>
      <c r="E32" s="13"/>
      <c r="F32" s="13"/>
      <c r="G32" s="13"/>
    </row>
    <row r="33" spans="1:7">
      <c r="A33" s="13"/>
      <c r="B33" s="13"/>
      <c r="C33" s="13"/>
      <c r="D33" s="13"/>
      <c r="E33" s="13"/>
      <c r="F33" s="13"/>
      <c r="G33" s="13"/>
    </row>
    <row r="34" spans="1:7">
      <c r="A34" s="13"/>
      <c r="B34" s="13"/>
      <c r="C34" s="13"/>
      <c r="D34" s="13"/>
      <c r="E34" s="13"/>
      <c r="F34" s="13"/>
      <c r="G34" s="13"/>
    </row>
    <row r="35" spans="1:7">
      <c r="A35" s="13"/>
      <c r="B35" s="13"/>
      <c r="C35" s="13"/>
      <c r="D35" s="13"/>
      <c r="E35" s="13"/>
      <c r="F35" s="13"/>
      <c r="G35" s="13"/>
    </row>
    <row r="36" spans="1:7">
      <c r="A36" s="13"/>
      <c r="B36" s="13"/>
      <c r="C36" s="13"/>
      <c r="D36" s="13"/>
      <c r="E36" s="13"/>
      <c r="F36" s="13"/>
      <c r="G36" s="13"/>
    </row>
    <row r="37" spans="1:7">
      <c r="A37" s="13"/>
      <c r="B37" s="13"/>
      <c r="C37" s="13"/>
      <c r="D37" s="13"/>
      <c r="E37" s="13"/>
      <c r="F37" s="13"/>
      <c r="G37" s="13"/>
    </row>
  </sheetData>
  <mergeCells count="18">
    <mergeCell ref="A12:G12"/>
    <mergeCell ref="A1:C2"/>
    <mergeCell ref="E1:G1"/>
    <mergeCell ref="E2:G2"/>
    <mergeCell ref="A4:G4"/>
    <mergeCell ref="A5:G5"/>
    <mergeCell ref="A6:G6"/>
    <mergeCell ref="A7:G7"/>
    <mergeCell ref="A9:G9"/>
    <mergeCell ref="B10:C10"/>
    <mergeCell ref="E10:F10"/>
    <mergeCell ref="A11:G11"/>
    <mergeCell ref="A13:G13"/>
    <mergeCell ref="A15:G15"/>
    <mergeCell ref="A26:C26"/>
    <mergeCell ref="A27:C27"/>
    <mergeCell ref="A29:C29"/>
    <mergeCell ref="E29:G29"/>
  </mergeCells>
  <pageMargins left="0.5" right="0.5" top="0.25" bottom="0.5" header="0.5" footer="0.5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4" workbookViewId="0">
      <selection activeCell="J15" sqref="J15"/>
    </sheetView>
  </sheetViews>
  <sheetFormatPr defaultRowHeight="14.4"/>
  <cols>
    <col min="1" max="1" width="11.44140625" customWidth="1"/>
    <col min="2" max="2" width="12.21875" customWidth="1"/>
    <col min="3" max="3" width="11.6640625" customWidth="1"/>
    <col min="4" max="4" width="16.109375" bestFit="1" customWidth="1"/>
    <col min="5" max="5" width="13.88671875" bestFit="1" customWidth="1"/>
    <col min="6" max="6" width="13.5546875" customWidth="1"/>
    <col min="7" max="7" width="23.77734375" customWidth="1"/>
  </cols>
  <sheetData>
    <row r="1" spans="1:7">
      <c r="A1" s="53" t="s">
        <v>18</v>
      </c>
      <c r="B1" s="53"/>
      <c r="C1" s="53"/>
      <c r="D1" s="45"/>
      <c r="E1" s="54" t="s">
        <v>6</v>
      </c>
      <c r="F1" s="54"/>
      <c r="G1" s="54"/>
    </row>
    <row r="2" spans="1:7">
      <c r="A2" s="53"/>
      <c r="B2" s="53"/>
      <c r="C2" s="53"/>
      <c r="D2" s="45"/>
      <c r="E2" s="54" t="s">
        <v>7</v>
      </c>
      <c r="F2" s="54"/>
      <c r="G2" s="54"/>
    </row>
    <row r="3" spans="1:7" ht="15.6">
      <c r="A3" s="47"/>
      <c r="B3" s="47"/>
      <c r="C3" s="47"/>
      <c r="D3" s="47"/>
      <c r="E3" s="8"/>
      <c r="F3" s="8"/>
      <c r="G3" s="8"/>
    </row>
    <row r="4" spans="1:7" ht="20.399999999999999">
      <c r="A4" s="58" t="s">
        <v>93</v>
      </c>
      <c r="B4" s="58"/>
      <c r="C4" s="58"/>
      <c r="D4" s="58"/>
      <c r="E4" s="58"/>
      <c r="F4" s="58"/>
      <c r="G4" s="58"/>
    </row>
    <row r="5" spans="1:7" ht="30.6" customHeight="1">
      <c r="A5" s="59" t="s">
        <v>104</v>
      </c>
      <c r="B5" s="59"/>
      <c r="C5" s="59"/>
      <c r="D5" s="59"/>
      <c r="E5" s="59"/>
      <c r="F5" s="59"/>
      <c r="G5" s="59"/>
    </row>
    <row r="6" spans="1:7" ht="15.6">
      <c r="A6" s="60" t="s">
        <v>8</v>
      </c>
      <c r="B6" s="60"/>
      <c r="C6" s="60"/>
      <c r="D6" s="60"/>
      <c r="E6" s="60"/>
      <c r="F6" s="60"/>
      <c r="G6" s="60"/>
    </row>
    <row r="7" spans="1:7" ht="15.6">
      <c r="A7" s="52" t="s">
        <v>9</v>
      </c>
      <c r="B7" s="52"/>
      <c r="C7" s="52"/>
      <c r="D7" s="52"/>
      <c r="E7" s="52"/>
      <c r="F7" s="52"/>
      <c r="G7" s="52"/>
    </row>
    <row r="8" spans="1:7" ht="31.2">
      <c r="A8" s="46" t="s">
        <v>10</v>
      </c>
      <c r="B8" s="16" t="s">
        <v>19</v>
      </c>
      <c r="C8" s="46"/>
      <c r="D8" s="46"/>
      <c r="E8" s="46"/>
      <c r="F8" s="46"/>
      <c r="G8" s="46"/>
    </row>
    <row r="9" spans="1:7" ht="15.6">
      <c r="A9" s="60" t="s">
        <v>20</v>
      </c>
      <c r="B9" s="60"/>
      <c r="C9" s="60"/>
      <c r="D9" s="60"/>
      <c r="E9" s="60"/>
      <c r="F9" s="60"/>
      <c r="G9" s="60"/>
    </row>
    <row r="10" spans="1:7" ht="31.2">
      <c r="A10" s="46" t="s">
        <v>11</v>
      </c>
      <c r="B10" s="60" t="s">
        <v>21</v>
      </c>
      <c r="C10" s="60"/>
      <c r="D10" s="46"/>
      <c r="E10" s="60" t="s">
        <v>22</v>
      </c>
      <c r="F10" s="60"/>
      <c r="G10" s="46"/>
    </row>
    <row r="11" spans="1:7" ht="15.6">
      <c r="A11" s="62" t="s">
        <v>31</v>
      </c>
      <c r="B11" s="62"/>
      <c r="C11" s="62"/>
      <c r="D11" s="62"/>
      <c r="E11" s="62"/>
      <c r="F11" s="62"/>
      <c r="G11" s="62"/>
    </row>
    <row r="12" spans="1:7" ht="15.6">
      <c r="A12" s="60" t="s">
        <v>32</v>
      </c>
      <c r="B12" s="60"/>
      <c r="C12" s="60"/>
      <c r="D12" s="60"/>
      <c r="E12" s="60"/>
      <c r="F12" s="60"/>
      <c r="G12" s="60"/>
    </row>
    <row r="13" spans="1:7" ht="15.6">
      <c r="A13" s="60" t="s">
        <v>33</v>
      </c>
      <c r="B13" s="60"/>
      <c r="C13" s="60"/>
      <c r="D13" s="60"/>
      <c r="E13" s="60"/>
      <c r="F13" s="60"/>
      <c r="G13" s="60"/>
    </row>
    <row r="14" spans="1:7" ht="31.2">
      <c r="A14" s="46" t="s">
        <v>12</v>
      </c>
      <c r="B14" s="46"/>
      <c r="C14" s="46"/>
      <c r="D14" s="46"/>
      <c r="E14" s="46" t="s">
        <v>13</v>
      </c>
      <c r="F14" s="46"/>
      <c r="G14" s="46"/>
    </row>
    <row r="15" spans="1:7" ht="15.6">
      <c r="A15" s="63" t="s">
        <v>0</v>
      </c>
      <c r="B15" s="63"/>
      <c r="C15" s="63"/>
      <c r="D15" s="63"/>
      <c r="E15" s="63"/>
      <c r="F15" s="63"/>
      <c r="G15" s="63"/>
    </row>
    <row r="16" spans="1:7" ht="31.2">
      <c r="A16" s="3" t="s">
        <v>1</v>
      </c>
      <c r="B16" s="3" t="s">
        <v>2</v>
      </c>
      <c r="C16" s="3" t="s">
        <v>3</v>
      </c>
      <c r="D16" s="3" t="s">
        <v>14</v>
      </c>
      <c r="E16" s="3" t="s">
        <v>16</v>
      </c>
      <c r="F16" s="3" t="s">
        <v>4</v>
      </c>
      <c r="G16" s="3" t="s">
        <v>15</v>
      </c>
    </row>
    <row r="17" spans="1:7" ht="15.6">
      <c r="A17" s="84" t="s">
        <v>94</v>
      </c>
      <c r="B17" s="85" t="s">
        <v>77</v>
      </c>
      <c r="C17" s="86" t="s">
        <v>91</v>
      </c>
      <c r="D17" s="87">
        <v>18560000</v>
      </c>
      <c r="E17" s="19">
        <f>D17*0.08</f>
        <v>1484800</v>
      </c>
      <c r="F17" s="19">
        <f>D17+E17</f>
        <v>20044800</v>
      </c>
      <c r="G17" s="81"/>
    </row>
    <row r="18" spans="1:7" ht="15.6">
      <c r="A18" s="84" t="s">
        <v>95</v>
      </c>
      <c r="B18" s="85" t="s">
        <v>77</v>
      </c>
      <c r="C18" s="86" t="s">
        <v>100</v>
      </c>
      <c r="D18" s="87">
        <v>10535000</v>
      </c>
      <c r="E18" s="19">
        <f t="shared" ref="E18:E22" si="0">D18*0.08</f>
        <v>842800</v>
      </c>
      <c r="F18" s="19">
        <f t="shared" ref="F18:F22" si="1">D18+E18</f>
        <v>11377800</v>
      </c>
      <c r="G18" s="81"/>
    </row>
    <row r="19" spans="1:7" ht="15.6">
      <c r="A19" s="84" t="s">
        <v>96</v>
      </c>
      <c r="B19" s="85" t="s">
        <v>77</v>
      </c>
      <c r="C19" s="86" t="s">
        <v>101</v>
      </c>
      <c r="D19" s="87">
        <v>7775000</v>
      </c>
      <c r="E19" s="19">
        <f t="shared" si="0"/>
        <v>622000</v>
      </c>
      <c r="F19" s="19">
        <f t="shared" si="1"/>
        <v>8397000</v>
      </c>
      <c r="G19" s="81"/>
    </row>
    <row r="20" spans="1:7" ht="15.6">
      <c r="A20" s="84" t="s">
        <v>97</v>
      </c>
      <c r="B20" s="85" t="s">
        <v>77</v>
      </c>
      <c r="C20" s="86" t="s">
        <v>102</v>
      </c>
      <c r="D20" s="87">
        <v>24800000</v>
      </c>
      <c r="E20" s="19">
        <f t="shared" si="0"/>
        <v>1984000</v>
      </c>
      <c r="F20" s="19">
        <f t="shared" si="1"/>
        <v>26784000</v>
      </c>
      <c r="G20" s="81"/>
    </row>
    <row r="21" spans="1:7" ht="15.6">
      <c r="A21" s="84" t="s">
        <v>98</v>
      </c>
      <c r="B21" s="85" t="s">
        <v>77</v>
      </c>
      <c r="C21" s="86" t="s">
        <v>103</v>
      </c>
      <c r="D21" s="87">
        <v>18125000</v>
      </c>
      <c r="E21" s="19">
        <f t="shared" si="0"/>
        <v>1450000</v>
      </c>
      <c r="F21" s="19">
        <f t="shared" si="1"/>
        <v>19575000</v>
      </c>
      <c r="G21" s="81"/>
    </row>
    <row r="22" spans="1:7" ht="15.6">
      <c r="A22" s="84" t="s">
        <v>99</v>
      </c>
      <c r="B22" s="85" t="s">
        <v>77</v>
      </c>
      <c r="C22" s="86">
        <v>46239</v>
      </c>
      <c r="D22" s="87">
        <v>24895000</v>
      </c>
      <c r="E22" s="19">
        <f t="shared" si="0"/>
        <v>1991600</v>
      </c>
      <c r="F22" s="19">
        <f t="shared" si="1"/>
        <v>26886600</v>
      </c>
      <c r="G22" s="81"/>
    </row>
    <row r="23" spans="1:7" ht="15.6">
      <c r="A23" s="4"/>
      <c r="B23" s="17"/>
      <c r="C23" s="17"/>
      <c r="D23" s="19"/>
      <c r="E23" s="19"/>
      <c r="F23" s="19"/>
      <c r="G23" s="81"/>
    </row>
    <row r="24" spans="1:7" ht="15.6">
      <c r="A24" s="4"/>
      <c r="B24" s="17"/>
      <c r="C24" s="17"/>
      <c r="D24" s="19"/>
      <c r="E24" s="19"/>
      <c r="F24" s="19"/>
      <c r="G24" s="81"/>
    </row>
    <row r="25" spans="1:7" ht="15.6">
      <c r="A25" s="4"/>
      <c r="B25" s="4"/>
      <c r="C25" s="6"/>
      <c r="D25" s="21"/>
      <c r="E25" s="21"/>
      <c r="F25" s="21"/>
      <c r="G25" s="82"/>
    </row>
    <row r="26" spans="1:7" ht="15.6">
      <c r="A26" s="88" t="s">
        <v>78</v>
      </c>
      <c r="B26" s="88"/>
      <c r="C26" s="88"/>
      <c r="D26" s="22">
        <f>SUM(D17:D25)</f>
        <v>104690000</v>
      </c>
      <c r="E26" s="22">
        <f t="shared" ref="E26:F26" si="2">SUM(E17:E25)</f>
        <v>8375200</v>
      </c>
      <c r="F26" s="22">
        <f t="shared" si="2"/>
        <v>113065200</v>
      </c>
      <c r="G26" s="83"/>
    </row>
    <row r="27" spans="1:7" ht="15.6">
      <c r="A27" s="88" t="s">
        <v>17</v>
      </c>
      <c r="B27" s="88"/>
      <c r="C27" s="88"/>
      <c r="D27" s="22">
        <f>D26*0.1</f>
        <v>10469000</v>
      </c>
      <c r="E27" s="22">
        <f t="shared" ref="E27:F27" si="3">E26*0.1</f>
        <v>837520</v>
      </c>
      <c r="F27" s="22">
        <f t="shared" si="3"/>
        <v>11306520</v>
      </c>
      <c r="G27" s="83"/>
    </row>
    <row r="28" spans="1:7" ht="15.6">
      <c r="A28" s="89"/>
      <c r="B28" s="89"/>
      <c r="C28" s="89"/>
      <c r="D28" s="3"/>
      <c r="E28" s="3"/>
      <c r="F28" s="3"/>
      <c r="G28" s="15"/>
    </row>
    <row r="29" spans="1:7" ht="15.6">
      <c r="A29" s="61"/>
      <c r="B29" s="61"/>
      <c r="C29" s="61"/>
      <c r="D29" s="47"/>
      <c r="E29" s="61" t="s">
        <v>23</v>
      </c>
      <c r="F29" s="61"/>
      <c r="G29" s="61"/>
    </row>
  </sheetData>
  <mergeCells count="18">
    <mergeCell ref="A12:G12"/>
    <mergeCell ref="A1:C2"/>
    <mergeCell ref="E1:G1"/>
    <mergeCell ref="E2:G2"/>
    <mergeCell ref="A4:G4"/>
    <mergeCell ref="A5:G5"/>
    <mergeCell ref="A6:G6"/>
    <mergeCell ref="A7:G7"/>
    <mergeCell ref="A9:G9"/>
    <mergeCell ref="B10:C10"/>
    <mergeCell ref="E10:F10"/>
    <mergeCell ref="A11:G11"/>
    <mergeCell ref="A13:G13"/>
    <mergeCell ref="A15:G15"/>
    <mergeCell ref="A26:C26"/>
    <mergeCell ref="A27:C27"/>
    <mergeCell ref="A29:C29"/>
    <mergeCell ref="E29:G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J23" sqref="J23"/>
    </sheetView>
  </sheetViews>
  <sheetFormatPr defaultRowHeight="14.4"/>
  <cols>
    <col min="1" max="1" width="11.5546875" customWidth="1"/>
    <col min="2" max="3" width="12" customWidth="1"/>
    <col min="4" max="4" width="15.44140625" bestFit="1" customWidth="1"/>
    <col min="5" max="5" width="13.88671875" bestFit="1" customWidth="1"/>
    <col min="6" max="6" width="12.109375" customWidth="1"/>
    <col min="7" max="7" width="24.33203125" customWidth="1"/>
  </cols>
  <sheetData>
    <row r="1" spans="1:7">
      <c r="A1" s="53" t="s">
        <v>18</v>
      </c>
      <c r="B1" s="53"/>
      <c r="C1" s="53"/>
      <c r="D1" s="45"/>
      <c r="E1" s="54" t="s">
        <v>6</v>
      </c>
      <c r="F1" s="54"/>
      <c r="G1" s="54"/>
    </row>
    <row r="2" spans="1:7">
      <c r="A2" s="53"/>
      <c r="B2" s="53"/>
      <c r="C2" s="53"/>
      <c r="D2" s="45"/>
      <c r="E2" s="54" t="s">
        <v>7</v>
      </c>
      <c r="F2" s="54"/>
      <c r="G2" s="54"/>
    </row>
    <row r="3" spans="1:7" ht="15.6">
      <c r="A3" s="47"/>
      <c r="B3" s="47"/>
      <c r="C3" s="47"/>
      <c r="D3" s="47"/>
      <c r="E3" s="8"/>
      <c r="F3" s="8"/>
      <c r="G3" s="8"/>
    </row>
    <row r="4" spans="1:7" ht="20.399999999999999">
      <c r="A4" s="58" t="s">
        <v>105</v>
      </c>
      <c r="B4" s="58"/>
      <c r="C4" s="58"/>
      <c r="D4" s="58"/>
      <c r="E4" s="58"/>
      <c r="F4" s="58"/>
      <c r="G4" s="58"/>
    </row>
    <row r="5" spans="1:7" ht="30" customHeight="1">
      <c r="A5" s="59" t="s">
        <v>106</v>
      </c>
      <c r="B5" s="59"/>
      <c r="C5" s="59"/>
      <c r="D5" s="59"/>
      <c r="E5" s="59"/>
      <c r="F5" s="59"/>
      <c r="G5" s="59"/>
    </row>
    <row r="6" spans="1:7" ht="15.6">
      <c r="A6" s="60" t="s">
        <v>8</v>
      </c>
      <c r="B6" s="60"/>
      <c r="C6" s="60"/>
      <c r="D6" s="60"/>
      <c r="E6" s="60"/>
      <c r="F6" s="60"/>
      <c r="G6" s="60"/>
    </row>
    <row r="7" spans="1:7" ht="15.6">
      <c r="A7" s="52" t="s">
        <v>9</v>
      </c>
      <c r="B7" s="52"/>
      <c r="C7" s="52"/>
      <c r="D7" s="52"/>
      <c r="E7" s="52"/>
      <c r="F7" s="52"/>
      <c r="G7" s="52"/>
    </row>
    <row r="8" spans="1:7" ht="31.2">
      <c r="A8" s="46" t="s">
        <v>10</v>
      </c>
      <c r="B8" s="16" t="s">
        <v>19</v>
      </c>
      <c r="C8" s="46"/>
      <c r="D8" s="46"/>
      <c r="E8" s="46"/>
      <c r="F8" s="46"/>
      <c r="G8" s="46"/>
    </row>
    <row r="9" spans="1:7" ht="15.6">
      <c r="A9" s="60" t="s">
        <v>20</v>
      </c>
      <c r="B9" s="60"/>
      <c r="C9" s="60"/>
      <c r="D9" s="60"/>
      <c r="E9" s="60"/>
      <c r="F9" s="60"/>
      <c r="G9" s="60"/>
    </row>
    <row r="10" spans="1:7" ht="31.2">
      <c r="A10" s="46" t="s">
        <v>11</v>
      </c>
      <c r="B10" s="60" t="s">
        <v>21</v>
      </c>
      <c r="C10" s="60"/>
      <c r="D10" s="46"/>
      <c r="E10" s="60" t="s">
        <v>22</v>
      </c>
      <c r="F10" s="60"/>
      <c r="G10" s="46"/>
    </row>
    <row r="11" spans="1:7" ht="15.6">
      <c r="A11" s="62" t="s">
        <v>31</v>
      </c>
      <c r="B11" s="62"/>
      <c r="C11" s="62"/>
      <c r="D11" s="62"/>
      <c r="E11" s="62"/>
      <c r="F11" s="62"/>
      <c r="G11" s="62"/>
    </row>
    <row r="12" spans="1:7" ht="15.6">
      <c r="A12" s="60" t="s">
        <v>32</v>
      </c>
      <c r="B12" s="60"/>
      <c r="C12" s="60"/>
      <c r="D12" s="60"/>
      <c r="E12" s="60"/>
      <c r="F12" s="60"/>
      <c r="G12" s="60"/>
    </row>
    <row r="13" spans="1:7" ht="15.6">
      <c r="A13" s="60" t="s">
        <v>33</v>
      </c>
      <c r="B13" s="60"/>
      <c r="C13" s="60"/>
      <c r="D13" s="60"/>
      <c r="E13" s="60"/>
      <c r="F13" s="60"/>
      <c r="G13" s="60"/>
    </row>
    <row r="14" spans="1:7" ht="31.2">
      <c r="A14" s="46" t="s">
        <v>12</v>
      </c>
      <c r="B14" s="46"/>
      <c r="C14" s="46"/>
      <c r="D14" s="46"/>
      <c r="E14" s="46" t="s">
        <v>13</v>
      </c>
      <c r="F14" s="46"/>
      <c r="G14" s="46"/>
    </row>
    <row r="15" spans="1:7" ht="15.6">
      <c r="A15" s="63" t="s">
        <v>0</v>
      </c>
      <c r="B15" s="63"/>
      <c r="C15" s="63"/>
      <c r="D15" s="63"/>
      <c r="E15" s="63"/>
      <c r="F15" s="63"/>
      <c r="G15" s="63"/>
    </row>
    <row r="16" spans="1:7" ht="31.2">
      <c r="A16" s="3" t="s">
        <v>1</v>
      </c>
      <c r="B16" s="3" t="s">
        <v>2</v>
      </c>
      <c r="C16" s="3" t="s">
        <v>3</v>
      </c>
      <c r="D16" s="3" t="s">
        <v>14</v>
      </c>
      <c r="E16" s="3" t="s">
        <v>16</v>
      </c>
      <c r="F16" s="3" t="s">
        <v>4</v>
      </c>
      <c r="G16" s="3" t="s">
        <v>15</v>
      </c>
    </row>
    <row r="17" spans="1:7" ht="15.6">
      <c r="A17" s="84" t="s">
        <v>117</v>
      </c>
      <c r="B17" s="85" t="s">
        <v>77</v>
      </c>
      <c r="C17" s="86" t="s">
        <v>118</v>
      </c>
      <c r="D17" s="87">
        <v>13595000</v>
      </c>
      <c r="E17" s="19">
        <f>D17*0.08</f>
        <v>1087600</v>
      </c>
      <c r="F17" s="19">
        <f>D17+E17</f>
        <v>14682600</v>
      </c>
      <c r="G17" s="5"/>
    </row>
    <row r="18" spans="1:7" ht="15.6">
      <c r="A18" s="84" t="s">
        <v>107</v>
      </c>
      <c r="B18" s="85" t="s">
        <v>77</v>
      </c>
      <c r="C18" s="86" t="s">
        <v>112</v>
      </c>
      <c r="D18" s="87">
        <v>4550000</v>
      </c>
      <c r="E18" s="19">
        <f t="shared" ref="E18:E22" si="0">D18*0.08</f>
        <v>364000</v>
      </c>
      <c r="F18" s="19">
        <f t="shared" ref="F18:F22" si="1">D18+E18</f>
        <v>4914000</v>
      </c>
      <c r="G18" s="5"/>
    </row>
    <row r="19" spans="1:7" ht="15.6">
      <c r="A19" s="84" t="s">
        <v>108</v>
      </c>
      <c r="B19" s="85" t="s">
        <v>77</v>
      </c>
      <c r="C19" s="86" t="s">
        <v>113</v>
      </c>
      <c r="D19" s="87">
        <v>4785000</v>
      </c>
      <c r="E19" s="19">
        <f t="shared" si="0"/>
        <v>382800</v>
      </c>
      <c r="F19" s="19">
        <f t="shared" si="1"/>
        <v>5167800</v>
      </c>
      <c r="G19" s="5"/>
    </row>
    <row r="20" spans="1:7" ht="15.6">
      <c r="A20" s="84" t="s">
        <v>109</v>
      </c>
      <c r="B20" s="85" t="s">
        <v>77</v>
      </c>
      <c r="C20" s="86" t="s">
        <v>114</v>
      </c>
      <c r="D20" s="87">
        <v>12365000</v>
      </c>
      <c r="E20" s="19">
        <f t="shared" si="0"/>
        <v>989200</v>
      </c>
      <c r="F20" s="19">
        <f t="shared" si="1"/>
        <v>13354200</v>
      </c>
      <c r="G20" s="5"/>
    </row>
    <row r="21" spans="1:7" ht="15.6">
      <c r="A21" s="84" t="s">
        <v>110</v>
      </c>
      <c r="B21" s="85" t="s">
        <v>77</v>
      </c>
      <c r="C21" s="86" t="s">
        <v>115</v>
      </c>
      <c r="D21" s="87">
        <v>3510000</v>
      </c>
      <c r="E21" s="19">
        <f t="shared" si="0"/>
        <v>280800</v>
      </c>
      <c r="F21" s="19">
        <f t="shared" si="1"/>
        <v>3790800</v>
      </c>
      <c r="G21" s="5"/>
    </row>
    <row r="22" spans="1:7" ht="15.6">
      <c r="A22" s="84" t="s">
        <v>111</v>
      </c>
      <c r="B22" s="85" t="s">
        <v>77</v>
      </c>
      <c r="C22" s="86" t="s">
        <v>116</v>
      </c>
      <c r="D22" s="87">
        <v>7845000</v>
      </c>
      <c r="E22" s="19">
        <f t="shared" si="0"/>
        <v>627600</v>
      </c>
      <c r="F22" s="19">
        <f t="shared" si="1"/>
        <v>8472600</v>
      </c>
      <c r="G22" s="5"/>
    </row>
    <row r="23" spans="1:7" ht="15.6">
      <c r="A23" s="4"/>
      <c r="B23" s="17"/>
      <c r="C23" s="17"/>
      <c r="D23" s="19"/>
      <c r="E23" s="19"/>
      <c r="F23" s="19"/>
      <c r="G23" s="5"/>
    </row>
    <row r="24" spans="1:7" ht="15.6">
      <c r="A24" s="4"/>
      <c r="B24" s="17"/>
      <c r="C24" s="17"/>
      <c r="D24" s="19"/>
      <c r="E24" s="19"/>
      <c r="F24" s="19"/>
      <c r="G24" s="5"/>
    </row>
    <row r="25" spans="1:7" ht="15.6">
      <c r="A25" s="4"/>
      <c r="B25" s="4"/>
      <c r="C25" s="6"/>
      <c r="D25" s="21"/>
      <c r="E25" s="21"/>
      <c r="F25" s="21"/>
      <c r="G25" s="4"/>
    </row>
    <row r="26" spans="1:7" ht="15.6">
      <c r="A26" s="55" t="s">
        <v>78</v>
      </c>
      <c r="B26" s="56"/>
      <c r="C26" s="57"/>
      <c r="D26" s="22">
        <f>SUM(D17:D25)</f>
        <v>46650000</v>
      </c>
      <c r="E26" s="22">
        <f t="shared" ref="E26:F26" si="2">SUM(E17:E25)</f>
        <v>3732000</v>
      </c>
      <c r="F26" s="22">
        <f t="shared" si="2"/>
        <v>50382000</v>
      </c>
      <c r="G26" s="3"/>
    </row>
    <row r="27" spans="1:7" ht="15.6">
      <c r="A27" s="55" t="s">
        <v>17</v>
      </c>
      <c r="B27" s="56"/>
      <c r="C27" s="57"/>
      <c r="D27" s="22">
        <f>D26*0.1</f>
        <v>4665000</v>
      </c>
      <c r="E27" s="22">
        <f t="shared" ref="E27:F27" si="3">E26*0.1</f>
        <v>373200</v>
      </c>
      <c r="F27" s="22">
        <f t="shared" si="3"/>
        <v>5038200</v>
      </c>
      <c r="G27" s="3"/>
    </row>
    <row r="28" spans="1:7" ht="15.6">
      <c r="A28" s="14"/>
      <c r="B28" s="14"/>
      <c r="C28" s="14"/>
      <c r="D28" s="15"/>
      <c r="E28" s="15"/>
      <c r="F28" s="15"/>
      <c r="G28" s="15"/>
    </row>
    <row r="29" spans="1:7" ht="15.6">
      <c r="A29" s="61"/>
      <c r="B29" s="61"/>
      <c r="C29" s="61"/>
      <c r="D29" s="47"/>
      <c r="E29" s="61" t="s">
        <v>23</v>
      </c>
      <c r="F29" s="61"/>
      <c r="G29" s="61"/>
    </row>
  </sheetData>
  <mergeCells count="18">
    <mergeCell ref="A12:G12"/>
    <mergeCell ref="A1:C2"/>
    <mergeCell ref="E1:G1"/>
    <mergeCell ref="E2:G2"/>
    <mergeCell ref="A4:G4"/>
    <mergeCell ref="A5:G5"/>
    <mergeCell ref="A6:G6"/>
    <mergeCell ref="A7:G7"/>
    <mergeCell ref="A9:G9"/>
    <mergeCell ref="B10:C10"/>
    <mergeCell ref="E10:F10"/>
    <mergeCell ref="A11:G11"/>
    <mergeCell ref="A13:G13"/>
    <mergeCell ref="A15:G15"/>
    <mergeCell ref="A26:C26"/>
    <mergeCell ref="A27:C27"/>
    <mergeCell ref="A29:C29"/>
    <mergeCell ref="E29:G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13" workbookViewId="0">
      <selection activeCell="L21" sqref="L20:L21"/>
    </sheetView>
  </sheetViews>
  <sheetFormatPr defaultRowHeight="14.4"/>
  <cols>
    <col min="1" max="1" width="11.5546875" customWidth="1"/>
    <col min="2" max="2" width="12.5546875" customWidth="1"/>
    <col min="3" max="3" width="11.77734375" customWidth="1"/>
    <col min="4" max="4" width="15.44140625" bestFit="1" customWidth="1"/>
    <col min="5" max="5" width="13.88671875" bestFit="1" customWidth="1"/>
    <col min="6" max="6" width="12.109375" customWidth="1"/>
    <col min="7" max="7" width="19.21875" customWidth="1"/>
  </cols>
  <sheetData>
    <row r="1" spans="1:7">
      <c r="A1" s="53" t="s">
        <v>18</v>
      </c>
      <c r="B1" s="53"/>
      <c r="C1" s="53"/>
      <c r="D1" s="45"/>
      <c r="E1" s="54" t="s">
        <v>6</v>
      </c>
      <c r="F1" s="54"/>
      <c r="G1" s="54"/>
    </row>
    <row r="2" spans="1:7">
      <c r="A2" s="53"/>
      <c r="B2" s="53"/>
      <c r="C2" s="53"/>
      <c r="D2" s="45"/>
      <c r="E2" s="54" t="s">
        <v>7</v>
      </c>
      <c r="F2" s="54"/>
      <c r="G2" s="54"/>
    </row>
    <row r="3" spans="1:7" ht="15.6">
      <c r="A3" s="47"/>
      <c r="B3" s="47"/>
      <c r="C3" s="47"/>
      <c r="D3" s="47"/>
      <c r="E3" s="8"/>
      <c r="F3" s="8"/>
      <c r="G3" s="8"/>
    </row>
    <row r="4" spans="1:7" ht="20.399999999999999">
      <c r="A4" s="58" t="s">
        <v>119</v>
      </c>
      <c r="B4" s="58"/>
      <c r="C4" s="58"/>
      <c r="D4" s="58"/>
      <c r="E4" s="58"/>
      <c r="F4" s="58"/>
      <c r="G4" s="58"/>
    </row>
    <row r="5" spans="1:7" ht="30.6" customHeight="1">
      <c r="A5" s="59" t="s">
        <v>120</v>
      </c>
      <c r="B5" s="59"/>
      <c r="C5" s="59"/>
      <c r="D5" s="59"/>
      <c r="E5" s="59"/>
      <c r="F5" s="59"/>
      <c r="G5" s="59"/>
    </row>
    <row r="6" spans="1:7" ht="15.6">
      <c r="A6" s="60" t="s">
        <v>8</v>
      </c>
      <c r="B6" s="60"/>
      <c r="C6" s="60"/>
      <c r="D6" s="60"/>
      <c r="E6" s="60"/>
      <c r="F6" s="60"/>
      <c r="G6" s="60"/>
    </row>
    <row r="7" spans="1:7" ht="15.6">
      <c r="A7" s="52" t="s">
        <v>9</v>
      </c>
      <c r="B7" s="52"/>
      <c r="C7" s="52"/>
      <c r="D7" s="52"/>
      <c r="E7" s="52"/>
      <c r="F7" s="52"/>
      <c r="G7" s="52"/>
    </row>
    <row r="8" spans="1:7" ht="31.2">
      <c r="A8" s="46" t="s">
        <v>10</v>
      </c>
      <c r="B8" s="16" t="s">
        <v>19</v>
      </c>
      <c r="C8" s="46"/>
      <c r="D8" s="46"/>
      <c r="E8" s="46"/>
      <c r="F8" s="46"/>
      <c r="G8" s="46"/>
    </row>
    <row r="9" spans="1:7" ht="15.6">
      <c r="A9" s="60" t="s">
        <v>20</v>
      </c>
      <c r="B9" s="60"/>
      <c r="C9" s="60"/>
      <c r="D9" s="60"/>
      <c r="E9" s="60"/>
      <c r="F9" s="60"/>
      <c r="G9" s="60"/>
    </row>
    <row r="10" spans="1:7" ht="31.2">
      <c r="A10" s="46" t="s">
        <v>11</v>
      </c>
      <c r="B10" s="60" t="s">
        <v>21</v>
      </c>
      <c r="C10" s="60"/>
      <c r="D10" s="46"/>
      <c r="E10" s="60" t="s">
        <v>22</v>
      </c>
      <c r="F10" s="60"/>
      <c r="G10" s="46"/>
    </row>
    <row r="11" spans="1:7" ht="15.6">
      <c r="A11" s="62" t="s">
        <v>31</v>
      </c>
      <c r="B11" s="62"/>
      <c r="C11" s="62"/>
      <c r="D11" s="62"/>
      <c r="E11" s="62"/>
      <c r="F11" s="62"/>
      <c r="G11" s="62"/>
    </row>
    <row r="12" spans="1:7" ht="15.6">
      <c r="A12" s="60" t="s">
        <v>32</v>
      </c>
      <c r="B12" s="60"/>
      <c r="C12" s="60"/>
      <c r="D12" s="60"/>
      <c r="E12" s="60"/>
      <c r="F12" s="60"/>
      <c r="G12" s="60"/>
    </row>
    <row r="13" spans="1:7" ht="15.6">
      <c r="A13" s="60" t="s">
        <v>33</v>
      </c>
      <c r="B13" s="60"/>
      <c r="C13" s="60"/>
      <c r="D13" s="60"/>
      <c r="E13" s="60"/>
      <c r="F13" s="60"/>
      <c r="G13" s="60"/>
    </row>
    <row r="14" spans="1:7" ht="31.2">
      <c r="A14" s="46" t="s">
        <v>12</v>
      </c>
      <c r="B14" s="46"/>
      <c r="C14" s="46"/>
      <c r="D14" s="46"/>
      <c r="E14" s="46" t="s">
        <v>13</v>
      </c>
      <c r="F14" s="46"/>
      <c r="G14" s="46"/>
    </row>
    <row r="15" spans="1:7" ht="15.6">
      <c r="A15" s="63" t="s">
        <v>0</v>
      </c>
      <c r="B15" s="63"/>
      <c r="C15" s="63"/>
      <c r="D15" s="63"/>
      <c r="E15" s="63"/>
      <c r="F15" s="63"/>
      <c r="G15" s="63"/>
    </row>
    <row r="16" spans="1:7" ht="62.4">
      <c r="A16" s="3" t="s">
        <v>1</v>
      </c>
      <c r="B16" s="3" t="s">
        <v>2</v>
      </c>
      <c r="C16" s="3" t="s">
        <v>3</v>
      </c>
      <c r="D16" s="3" t="s">
        <v>14</v>
      </c>
      <c r="E16" s="3" t="s">
        <v>16</v>
      </c>
      <c r="F16" s="3" t="s">
        <v>4</v>
      </c>
      <c r="G16" s="3" t="s">
        <v>15</v>
      </c>
    </row>
    <row r="17" spans="1:7" ht="15.6">
      <c r="A17" s="48" t="s">
        <v>121</v>
      </c>
      <c r="B17" s="49" t="s">
        <v>77</v>
      </c>
      <c r="C17" s="50" t="s">
        <v>125</v>
      </c>
      <c r="D17" s="51">
        <v>12270000</v>
      </c>
      <c r="E17" s="19">
        <f>D17*0.08</f>
        <v>981600</v>
      </c>
      <c r="F17" s="19">
        <f>D17+E17</f>
        <v>13251600</v>
      </c>
      <c r="G17" s="5"/>
    </row>
    <row r="18" spans="1:7" ht="15.6">
      <c r="A18" s="48" t="s">
        <v>122</v>
      </c>
      <c r="B18" s="49" t="s">
        <v>77</v>
      </c>
      <c r="C18" s="50" t="s">
        <v>126</v>
      </c>
      <c r="D18" s="51">
        <v>8720000</v>
      </c>
      <c r="E18" s="19">
        <f t="shared" ref="E18:E20" si="0">D18*0.08</f>
        <v>697600</v>
      </c>
      <c r="F18" s="19">
        <f t="shared" ref="F18:F20" si="1">D18+E18</f>
        <v>9417600</v>
      </c>
      <c r="G18" s="5"/>
    </row>
    <row r="19" spans="1:7" ht="15.6">
      <c r="A19" s="48" t="s">
        <v>123</v>
      </c>
      <c r="B19" s="49" t="s">
        <v>77</v>
      </c>
      <c r="C19" s="50" t="s">
        <v>127</v>
      </c>
      <c r="D19" s="51">
        <v>10310000</v>
      </c>
      <c r="E19" s="19">
        <f t="shared" si="0"/>
        <v>824800</v>
      </c>
      <c r="F19" s="19">
        <f t="shared" si="1"/>
        <v>11134800</v>
      </c>
      <c r="G19" s="5"/>
    </row>
    <row r="20" spans="1:7" ht="15.6">
      <c r="A20" s="48" t="s">
        <v>124</v>
      </c>
      <c r="B20" s="49" t="s">
        <v>77</v>
      </c>
      <c r="C20" s="50" t="s">
        <v>128</v>
      </c>
      <c r="D20" s="51">
        <v>13740000</v>
      </c>
      <c r="E20" s="19">
        <f t="shared" si="0"/>
        <v>1099200</v>
      </c>
      <c r="F20" s="19">
        <f t="shared" si="1"/>
        <v>14839200</v>
      </c>
      <c r="G20" s="5"/>
    </row>
    <row r="21" spans="1:7" ht="15.6">
      <c r="A21" s="4"/>
      <c r="B21" s="17"/>
      <c r="C21" s="17"/>
      <c r="D21" s="19"/>
      <c r="E21" s="19"/>
      <c r="F21" s="19"/>
      <c r="G21" s="5"/>
    </row>
    <row r="22" spans="1:7" ht="15.6">
      <c r="A22" s="4"/>
      <c r="B22" s="17"/>
      <c r="C22" s="17"/>
      <c r="D22" s="19"/>
      <c r="E22" s="19"/>
      <c r="F22" s="19"/>
      <c r="G22" s="5"/>
    </row>
    <row r="23" spans="1:7" ht="15.6">
      <c r="A23" s="4"/>
      <c r="B23" s="17"/>
      <c r="C23" s="17"/>
      <c r="D23" s="19"/>
      <c r="E23" s="19"/>
      <c r="F23" s="19"/>
      <c r="G23" s="5"/>
    </row>
    <row r="24" spans="1:7" ht="15.6">
      <c r="A24" s="4"/>
      <c r="B24" s="17"/>
      <c r="C24" s="17"/>
      <c r="D24" s="19"/>
      <c r="E24" s="19"/>
      <c r="F24" s="19"/>
      <c r="G24" s="5"/>
    </row>
    <row r="25" spans="1:7" ht="15.6">
      <c r="A25" s="4"/>
      <c r="B25" s="4"/>
      <c r="C25" s="6"/>
      <c r="D25" s="21"/>
      <c r="E25" s="21"/>
      <c r="F25" s="21"/>
      <c r="G25" s="4"/>
    </row>
    <row r="26" spans="1:7" ht="15.6">
      <c r="A26" s="55" t="s">
        <v>78</v>
      </c>
      <c r="B26" s="56"/>
      <c r="C26" s="57"/>
      <c r="D26" s="22">
        <f>SUM(D17:D25)</f>
        <v>45040000</v>
      </c>
      <c r="E26" s="22">
        <f t="shared" ref="E26:F26" si="2">SUM(E17:E25)</f>
        <v>3603200</v>
      </c>
      <c r="F26" s="22">
        <f t="shared" si="2"/>
        <v>48643200</v>
      </c>
      <c r="G26" s="3"/>
    </row>
    <row r="27" spans="1:7" ht="15.6">
      <c r="A27" s="55" t="s">
        <v>17</v>
      </c>
      <c r="B27" s="56"/>
      <c r="C27" s="57"/>
      <c r="D27" s="22">
        <f>D26*0.1</f>
        <v>4504000</v>
      </c>
      <c r="E27" s="22">
        <f t="shared" ref="E27:F27" si="3">E26*0.1</f>
        <v>360320</v>
      </c>
      <c r="F27" s="22">
        <f t="shared" si="3"/>
        <v>4864320</v>
      </c>
      <c r="G27" s="3"/>
    </row>
    <row r="28" spans="1:7" ht="15.6">
      <c r="A28" s="14"/>
      <c r="B28" s="14"/>
      <c r="C28" s="14"/>
      <c r="D28" s="15"/>
      <c r="E28" s="15"/>
      <c r="F28" s="15"/>
      <c r="G28" s="15"/>
    </row>
    <row r="29" spans="1:7" ht="15.6">
      <c r="A29" s="61"/>
      <c r="B29" s="61"/>
      <c r="C29" s="61"/>
      <c r="D29" s="47"/>
      <c r="E29" s="61" t="s">
        <v>23</v>
      </c>
      <c r="F29" s="61"/>
      <c r="G29" s="61"/>
    </row>
  </sheetData>
  <mergeCells count="18">
    <mergeCell ref="A12:G12"/>
    <mergeCell ref="A1:C2"/>
    <mergeCell ref="E1:G1"/>
    <mergeCell ref="E2:G2"/>
    <mergeCell ref="A4:G4"/>
    <mergeCell ref="A5:G5"/>
    <mergeCell ref="A6:G6"/>
    <mergeCell ref="A7:G7"/>
    <mergeCell ref="A9:G9"/>
    <mergeCell ref="B10:C10"/>
    <mergeCell ref="E10:F10"/>
    <mergeCell ref="A11:G11"/>
    <mergeCell ref="A13:G13"/>
    <mergeCell ref="A15:G15"/>
    <mergeCell ref="A26:C26"/>
    <mergeCell ref="A27:C27"/>
    <mergeCell ref="A29:C29"/>
    <mergeCell ref="E29:G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topLeftCell="A7" workbookViewId="0">
      <selection activeCell="I18" sqref="I18"/>
    </sheetView>
  </sheetViews>
  <sheetFormatPr defaultRowHeight="14.4"/>
  <cols>
    <col min="1" max="1" width="12.21875" customWidth="1"/>
    <col min="2" max="2" width="13.109375" customWidth="1"/>
    <col min="3" max="3" width="11.6640625" customWidth="1"/>
    <col min="4" max="4" width="13.77734375" customWidth="1"/>
    <col min="5" max="5" width="11.21875" customWidth="1"/>
    <col min="6" max="6" width="11.88671875" customWidth="1"/>
    <col min="7" max="7" width="25.44140625" customWidth="1"/>
  </cols>
  <sheetData>
    <row r="1" spans="1:7">
      <c r="A1" s="53" t="s">
        <v>18</v>
      </c>
      <c r="B1" s="53"/>
      <c r="C1" s="53"/>
      <c r="D1" s="44"/>
      <c r="E1" s="54" t="s">
        <v>6</v>
      </c>
      <c r="F1" s="54"/>
      <c r="G1" s="54"/>
    </row>
    <row r="2" spans="1:7">
      <c r="A2" s="53"/>
      <c r="B2" s="53"/>
      <c r="C2" s="53"/>
      <c r="D2" s="44"/>
      <c r="E2" s="54" t="s">
        <v>7</v>
      </c>
      <c r="F2" s="54"/>
      <c r="G2" s="54"/>
    </row>
    <row r="3" spans="1:7" ht="15.6">
      <c r="A3" s="42"/>
      <c r="B3" s="42"/>
      <c r="C3" s="42"/>
      <c r="D3" s="42"/>
      <c r="E3" s="8"/>
      <c r="F3" s="8"/>
      <c r="G3" s="8"/>
    </row>
    <row r="4" spans="1:7" ht="20.399999999999999">
      <c r="A4" s="58" t="s">
        <v>65</v>
      </c>
      <c r="B4" s="58"/>
      <c r="C4" s="58"/>
      <c r="D4" s="58"/>
      <c r="E4" s="58"/>
      <c r="F4" s="58"/>
      <c r="G4" s="58"/>
    </row>
    <row r="5" spans="1:7" ht="30" customHeight="1">
      <c r="A5" s="59" t="s">
        <v>66</v>
      </c>
      <c r="B5" s="59"/>
      <c r="C5" s="59"/>
      <c r="D5" s="59"/>
      <c r="E5" s="59"/>
      <c r="F5" s="59"/>
      <c r="G5" s="59"/>
    </row>
    <row r="6" spans="1:7" ht="15.6">
      <c r="A6" s="60" t="s">
        <v>8</v>
      </c>
      <c r="B6" s="60"/>
      <c r="C6" s="60"/>
      <c r="D6" s="60"/>
      <c r="E6" s="60"/>
      <c r="F6" s="60"/>
      <c r="G6" s="60"/>
    </row>
    <row r="7" spans="1:7" ht="15.6">
      <c r="A7" s="52" t="s">
        <v>9</v>
      </c>
      <c r="B7" s="52"/>
      <c r="C7" s="52"/>
      <c r="D7" s="52"/>
      <c r="E7" s="52"/>
      <c r="F7" s="52"/>
      <c r="G7" s="52"/>
    </row>
    <row r="8" spans="1:7" ht="15.6">
      <c r="A8" s="43" t="s">
        <v>10</v>
      </c>
      <c r="B8" s="16" t="s">
        <v>19</v>
      </c>
      <c r="C8" s="43"/>
      <c r="D8" s="43"/>
      <c r="E8" s="43"/>
      <c r="F8" s="43"/>
      <c r="G8" s="43"/>
    </row>
    <row r="9" spans="1:7" ht="15.6">
      <c r="A9" s="60" t="s">
        <v>20</v>
      </c>
      <c r="B9" s="60"/>
      <c r="C9" s="60"/>
      <c r="D9" s="60"/>
      <c r="E9" s="60"/>
      <c r="F9" s="60"/>
      <c r="G9" s="60"/>
    </row>
    <row r="10" spans="1:7" ht="15.6">
      <c r="A10" s="43" t="s">
        <v>11</v>
      </c>
      <c r="B10" s="60" t="s">
        <v>21</v>
      </c>
      <c r="C10" s="60"/>
      <c r="D10" s="43"/>
      <c r="E10" s="60" t="s">
        <v>22</v>
      </c>
      <c r="F10" s="60"/>
      <c r="G10" s="43"/>
    </row>
    <row r="11" spans="1:7" ht="15.6">
      <c r="A11" s="62" t="s">
        <v>31</v>
      </c>
      <c r="B11" s="62"/>
      <c r="C11" s="62"/>
      <c r="D11" s="62"/>
      <c r="E11" s="62"/>
      <c r="F11" s="62"/>
      <c r="G11" s="62"/>
    </row>
    <row r="12" spans="1:7" ht="15.6">
      <c r="A12" s="60" t="s">
        <v>32</v>
      </c>
      <c r="B12" s="60"/>
      <c r="C12" s="60"/>
      <c r="D12" s="60"/>
      <c r="E12" s="60"/>
      <c r="F12" s="60"/>
      <c r="G12" s="60"/>
    </row>
    <row r="13" spans="1:7" ht="15.6">
      <c r="A13" s="60" t="s">
        <v>33</v>
      </c>
      <c r="B13" s="60"/>
      <c r="C13" s="60"/>
      <c r="D13" s="60"/>
      <c r="E13" s="60"/>
      <c r="F13" s="60"/>
      <c r="G13" s="60"/>
    </row>
    <row r="14" spans="1:7" ht="15.6">
      <c r="A14" s="43" t="s">
        <v>12</v>
      </c>
      <c r="B14" s="43"/>
      <c r="C14" s="43"/>
      <c r="D14" s="43"/>
      <c r="E14" s="43" t="s">
        <v>13</v>
      </c>
      <c r="F14" s="43"/>
      <c r="G14" s="43"/>
    </row>
    <row r="15" spans="1:7" ht="15.6">
      <c r="A15" s="63" t="s">
        <v>0</v>
      </c>
      <c r="B15" s="63"/>
      <c r="C15" s="63"/>
      <c r="D15" s="63"/>
      <c r="E15" s="63"/>
      <c r="F15" s="63"/>
      <c r="G15" s="63"/>
    </row>
    <row r="16" spans="1:7" ht="31.2">
      <c r="A16" s="3" t="s">
        <v>1</v>
      </c>
      <c r="B16" s="3" t="s">
        <v>2</v>
      </c>
      <c r="C16" s="3" t="s">
        <v>3</v>
      </c>
      <c r="D16" s="3" t="s">
        <v>14</v>
      </c>
      <c r="E16" s="3" t="s">
        <v>16</v>
      </c>
      <c r="F16" s="3" t="s">
        <v>4</v>
      </c>
      <c r="G16" s="3" t="s">
        <v>15</v>
      </c>
    </row>
    <row r="17" spans="1:7" ht="15.6">
      <c r="A17" s="84" t="s">
        <v>67</v>
      </c>
      <c r="B17" s="85" t="s">
        <v>77</v>
      </c>
      <c r="C17" s="86" t="s">
        <v>72</v>
      </c>
      <c r="D17" s="87">
        <v>13355000</v>
      </c>
      <c r="E17" s="19">
        <f>D17*0.08</f>
        <v>1068400</v>
      </c>
      <c r="F17" s="19">
        <f>D17+E17</f>
        <v>14423400</v>
      </c>
      <c r="G17" s="5"/>
    </row>
    <row r="18" spans="1:7" ht="15.6">
      <c r="A18" s="84" t="s">
        <v>68</v>
      </c>
      <c r="B18" s="85" t="s">
        <v>77</v>
      </c>
      <c r="C18" s="86" t="s">
        <v>73</v>
      </c>
      <c r="D18" s="87">
        <v>16340000</v>
      </c>
      <c r="E18" s="19">
        <f t="shared" ref="E18:E21" si="0">D18*0.08</f>
        <v>1307200</v>
      </c>
      <c r="F18" s="19">
        <f t="shared" ref="F18:F21" si="1">D18+E18</f>
        <v>17647200</v>
      </c>
      <c r="G18" s="5"/>
    </row>
    <row r="19" spans="1:7" ht="15.6">
      <c r="A19" s="84" t="s">
        <v>69</v>
      </c>
      <c r="B19" s="85" t="s">
        <v>77</v>
      </c>
      <c r="C19" s="86" t="s">
        <v>74</v>
      </c>
      <c r="D19" s="87">
        <v>7905000</v>
      </c>
      <c r="E19" s="19">
        <f t="shared" si="0"/>
        <v>632400</v>
      </c>
      <c r="F19" s="19">
        <f t="shared" si="1"/>
        <v>8537400</v>
      </c>
      <c r="G19" s="5"/>
    </row>
    <row r="20" spans="1:7" ht="15.6">
      <c r="A20" s="84" t="s">
        <v>70</v>
      </c>
      <c r="B20" s="85" t="s">
        <v>77</v>
      </c>
      <c r="C20" s="86" t="s">
        <v>75</v>
      </c>
      <c r="D20" s="87">
        <v>7385000</v>
      </c>
      <c r="E20" s="19">
        <f t="shared" si="0"/>
        <v>590800</v>
      </c>
      <c r="F20" s="19">
        <f t="shared" si="1"/>
        <v>7975800</v>
      </c>
      <c r="G20" s="5"/>
    </row>
    <row r="21" spans="1:7" ht="15.6">
      <c r="A21" s="84" t="s">
        <v>71</v>
      </c>
      <c r="B21" s="85" t="s">
        <v>77</v>
      </c>
      <c r="C21" s="86" t="s">
        <v>76</v>
      </c>
      <c r="D21" s="87">
        <v>10475000</v>
      </c>
      <c r="E21" s="19">
        <f t="shared" si="0"/>
        <v>838000</v>
      </c>
      <c r="F21" s="19">
        <f t="shared" si="1"/>
        <v>11313000</v>
      </c>
      <c r="G21" s="5"/>
    </row>
    <row r="22" spans="1:7" ht="15.6">
      <c r="A22" s="4"/>
      <c r="B22" s="17"/>
      <c r="C22" s="17"/>
      <c r="D22" s="19"/>
      <c r="E22" s="19"/>
      <c r="F22" s="19"/>
      <c r="G22" s="5"/>
    </row>
    <row r="23" spans="1:7" ht="15.6">
      <c r="A23" s="4"/>
      <c r="B23" s="17"/>
      <c r="C23" s="17"/>
      <c r="D23" s="19"/>
      <c r="E23" s="19"/>
      <c r="F23" s="19"/>
      <c r="G23" s="5"/>
    </row>
    <row r="24" spans="1:7" ht="15.6">
      <c r="A24" s="4"/>
      <c r="B24" s="17"/>
      <c r="C24" s="17"/>
      <c r="D24" s="19"/>
      <c r="E24" s="19"/>
      <c r="F24" s="19"/>
      <c r="G24" s="5"/>
    </row>
    <row r="25" spans="1:7" ht="15.6">
      <c r="A25" s="4"/>
      <c r="B25" s="4"/>
      <c r="C25" s="6"/>
      <c r="D25" s="21"/>
      <c r="E25" s="21"/>
      <c r="F25" s="21"/>
      <c r="G25" s="4"/>
    </row>
    <row r="26" spans="1:7" ht="15.6">
      <c r="A26" s="55" t="s">
        <v>78</v>
      </c>
      <c r="B26" s="56"/>
      <c r="C26" s="57"/>
      <c r="D26" s="22">
        <f>SUM(D17:D25)</f>
        <v>55460000</v>
      </c>
      <c r="E26" s="22">
        <f t="shared" ref="E26:F26" si="2">SUM(E17:E25)</f>
        <v>4436800</v>
      </c>
      <c r="F26" s="22">
        <f t="shared" si="2"/>
        <v>59896800</v>
      </c>
      <c r="G26" s="3"/>
    </row>
    <row r="27" spans="1:7" ht="15.6">
      <c r="A27" s="55" t="s">
        <v>17</v>
      </c>
      <c r="B27" s="56"/>
      <c r="C27" s="57"/>
      <c r="D27" s="22">
        <f>D26*0.1</f>
        <v>5546000</v>
      </c>
      <c r="E27" s="22">
        <f t="shared" ref="E27:F27" si="3">E26*0.1</f>
        <v>443680</v>
      </c>
      <c r="F27" s="22">
        <f t="shared" si="3"/>
        <v>5989680</v>
      </c>
      <c r="G27" s="3"/>
    </row>
    <row r="28" spans="1:7" ht="15.6">
      <c r="A28" s="14"/>
      <c r="B28" s="14"/>
      <c r="C28" s="14"/>
      <c r="D28" s="15"/>
      <c r="E28" s="15"/>
      <c r="F28" s="15"/>
      <c r="G28" s="15"/>
    </row>
    <row r="29" spans="1:7" ht="15.6">
      <c r="A29" s="61"/>
      <c r="B29" s="61"/>
      <c r="C29" s="61"/>
      <c r="D29" s="42"/>
      <c r="E29" s="61" t="s">
        <v>23</v>
      </c>
      <c r="F29" s="61"/>
      <c r="G29" s="61"/>
    </row>
  </sheetData>
  <mergeCells count="18">
    <mergeCell ref="A13:G13"/>
    <mergeCell ref="A15:G15"/>
    <mergeCell ref="A26:C26"/>
    <mergeCell ref="A27:C27"/>
    <mergeCell ref="A29:C29"/>
    <mergeCell ref="E29:G29"/>
    <mergeCell ref="A12:G12"/>
    <mergeCell ref="A1:C2"/>
    <mergeCell ref="E1:G1"/>
    <mergeCell ref="E2:G2"/>
    <mergeCell ref="A4:G4"/>
    <mergeCell ref="A5:G5"/>
    <mergeCell ref="A6:G6"/>
    <mergeCell ref="A7:G7"/>
    <mergeCell ref="A9:G9"/>
    <mergeCell ref="B10:C10"/>
    <mergeCell ref="E10:F10"/>
    <mergeCell ref="A11:G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zoomScale="110" zoomScaleNormal="110" workbookViewId="0">
      <selection activeCell="J10" sqref="J10"/>
    </sheetView>
  </sheetViews>
  <sheetFormatPr defaultRowHeight="14.4"/>
  <cols>
    <col min="1" max="1" width="12.5546875" style="1" customWidth="1"/>
    <col min="2" max="2" width="12.88671875" style="1" customWidth="1"/>
    <col min="3" max="3" width="12.44140625" style="1" customWidth="1"/>
    <col min="4" max="4" width="14.88671875" style="1" customWidth="1"/>
    <col min="5" max="5" width="14" style="1" bestFit="1" customWidth="1"/>
    <col min="6" max="6" width="12.6640625" style="1" customWidth="1"/>
    <col min="7" max="7" width="12.5546875" style="1" customWidth="1"/>
  </cols>
  <sheetData>
    <row r="1" spans="1:7" s="1" customFormat="1" ht="14.4" customHeight="1">
      <c r="A1" s="53" t="s">
        <v>18</v>
      </c>
      <c r="B1" s="53"/>
      <c r="C1" s="53"/>
      <c r="D1" s="10"/>
      <c r="E1" s="54" t="s">
        <v>6</v>
      </c>
      <c r="F1" s="54"/>
      <c r="G1" s="54"/>
    </row>
    <row r="2" spans="1:7" s="1" customFormat="1" ht="18" customHeight="1">
      <c r="A2" s="53"/>
      <c r="B2" s="53"/>
      <c r="C2" s="53"/>
      <c r="D2" s="10"/>
      <c r="E2" s="54" t="s">
        <v>7</v>
      </c>
      <c r="F2" s="54"/>
      <c r="G2" s="54"/>
    </row>
    <row r="3" spans="1:7" ht="9.6" customHeight="1">
      <c r="A3" s="12"/>
      <c r="B3" s="12"/>
      <c r="C3" s="12"/>
      <c r="D3" s="12"/>
      <c r="E3" s="8"/>
      <c r="F3" s="8"/>
      <c r="G3" s="8"/>
    </row>
    <row r="4" spans="1:7" ht="28.2" customHeight="1">
      <c r="A4" s="58" t="s">
        <v>29</v>
      </c>
      <c r="B4" s="58"/>
      <c r="C4" s="58"/>
      <c r="D4" s="58"/>
      <c r="E4" s="58"/>
      <c r="F4" s="58"/>
      <c r="G4" s="58"/>
    </row>
    <row r="5" spans="1:7" ht="30.6" customHeight="1">
      <c r="A5" s="59" t="s">
        <v>92</v>
      </c>
      <c r="B5" s="59"/>
      <c r="C5" s="59"/>
      <c r="D5" s="59"/>
      <c r="E5" s="59"/>
      <c r="F5" s="59"/>
      <c r="G5" s="59"/>
    </row>
    <row r="6" spans="1:7" ht="19.2" customHeight="1">
      <c r="A6" s="60" t="s">
        <v>8</v>
      </c>
      <c r="B6" s="60"/>
      <c r="C6" s="60"/>
      <c r="D6" s="60"/>
      <c r="E6" s="60"/>
      <c r="F6" s="60"/>
      <c r="G6" s="60"/>
    </row>
    <row r="7" spans="1:7" ht="19.2" customHeight="1">
      <c r="A7" s="52" t="s">
        <v>9</v>
      </c>
      <c r="B7" s="52"/>
      <c r="C7" s="52"/>
      <c r="D7" s="52"/>
      <c r="E7" s="52"/>
      <c r="F7" s="52"/>
      <c r="G7" s="52"/>
    </row>
    <row r="8" spans="1:7" ht="19.2" customHeight="1">
      <c r="A8" s="11" t="s">
        <v>10</v>
      </c>
      <c r="B8" s="16" t="s">
        <v>19</v>
      </c>
      <c r="C8" s="11"/>
      <c r="D8" s="11"/>
      <c r="E8" s="11"/>
      <c r="F8" s="11"/>
      <c r="G8" s="11"/>
    </row>
    <row r="9" spans="1:7" ht="19.2" customHeight="1">
      <c r="A9" s="60" t="s">
        <v>20</v>
      </c>
      <c r="B9" s="60"/>
      <c r="C9" s="60"/>
      <c r="D9" s="60"/>
      <c r="E9" s="60"/>
      <c r="F9" s="60"/>
      <c r="G9" s="60"/>
    </row>
    <row r="10" spans="1:7" ht="19.2" customHeight="1">
      <c r="A10" s="11" t="s">
        <v>11</v>
      </c>
      <c r="B10" s="60" t="s">
        <v>21</v>
      </c>
      <c r="C10" s="60"/>
      <c r="D10" s="11"/>
      <c r="E10" s="60" t="s">
        <v>22</v>
      </c>
      <c r="F10" s="60"/>
      <c r="G10" s="11"/>
    </row>
    <row r="11" spans="1:7" ht="31.2" customHeight="1">
      <c r="A11" s="62" t="s">
        <v>31</v>
      </c>
      <c r="B11" s="62"/>
      <c r="C11" s="62"/>
      <c r="D11" s="62"/>
      <c r="E11" s="62"/>
      <c r="F11" s="62"/>
      <c r="G11" s="62"/>
    </row>
    <row r="12" spans="1:7" ht="19.2" customHeight="1">
      <c r="A12" s="60" t="s">
        <v>32</v>
      </c>
      <c r="B12" s="60"/>
      <c r="C12" s="60"/>
      <c r="D12" s="60"/>
      <c r="E12" s="60"/>
      <c r="F12" s="60"/>
      <c r="G12" s="60"/>
    </row>
    <row r="13" spans="1:7" ht="29.4" customHeight="1">
      <c r="A13" s="60" t="s">
        <v>33</v>
      </c>
      <c r="B13" s="60"/>
      <c r="C13" s="60"/>
      <c r="D13" s="60"/>
      <c r="E13" s="60"/>
      <c r="F13" s="60"/>
      <c r="G13" s="60"/>
    </row>
    <row r="14" spans="1:7" ht="19.2" customHeight="1">
      <c r="A14" s="11" t="s">
        <v>12</v>
      </c>
      <c r="B14" s="11"/>
      <c r="C14" s="11"/>
      <c r="D14" s="11"/>
      <c r="E14" s="11" t="s">
        <v>13</v>
      </c>
      <c r="F14" s="11"/>
      <c r="G14" s="11"/>
    </row>
    <row r="15" spans="1:7" ht="19.2" customHeight="1">
      <c r="A15" s="63" t="s">
        <v>0</v>
      </c>
      <c r="B15" s="63"/>
      <c r="C15" s="63"/>
      <c r="D15" s="63"/>
      <c r="E15" s="63"/>
      <c r="F15" s="63"/>
      <c r="G15" s="63"/>
    </row>
    <row r="16" spans="1:7" ht="31.8" customHeight="1">
      <c r="A16" s="3" t="s">
        <v>1</v>
      </c>
      <c r="B16" s="3" t="s">
        <v>2</v>
      </c>
      <c r="C16" s="3" t="s">
        <v>3</v>
      </c>
      <c r="D16" s="3" t="s">
        <v>14</v>
      </c>
      <c r="E16" s="3" t="s">
        <v>16</v>
      </c>
      <c r="F16" s="3" t="s">
        <v>4</v>
      </c>
      <c r="G16" s="3" t="s">
        <v>15</v>
      </c>
    </row>
    <row r="17" spans="1:7" ht="15.75" customHeight="1">
      <c r="A17" s="78" t="s">
        <v>79</v>
      </c>
      <c r="B17" s="77" t="s">
        <v>77</v>
      </c>
      <c r="C17" s="79" t="s">
        <v>86</v>
      </c>
      <c r="D17" s="80">
        <v>960000</v>
      </c>
      <c r="E17" s="19">
        <f>D17*0.08</f>
        <v>76800</v>
      </c>
      <c r="F17" s="19">
        <f>D17+E17</f>
        <v>1036800</v>
      </c>
      <c r="G17" s="5"/>
    </row>
    <row r="18" spans="1:7" ht="15.75" customHeight="1">
      <c r="A18" s="48" t="s">
        <v>80</v>
      </c>
      <c r="B18" s="49" t="s">
        <v>77</v>
      </c>
      <c r="C18" s="50" t="s">
        <v>87</v>
      </c>
      <c r="D18" s="51">
        <v>1770000</v>
      </c>
      <c r="E18" s="19">
        <f t="shared" ref="E18:E23" si="0">D18*0.08</f>
        <v>141600</v>
      </c>
      <c r="F18" s="19">
        <f t="shared" ref="F18:F23" si="1">D18+E18</f>
        <v>1911600</v>
      </c>
      <c r="G18" s="5"/>
    </row>
    <row r="19" spans="1:7" ht="15.75" customHeight="1">
      <c r="A19" s="48" t="s">
        <v>81</v>
      </c>
      <c r="B19" s="49" t="s">
        <v>77</v>
      </c>
      <c r="C19" s="50" t="s">
        <v>88</v>
      </c>
      <c r="D19" s="51">
        <v>2775000</v>
      </c>
      <c r="E19" s="19">
        <f t="shared" si="0"/>
        <v>222000</v>
      </c>
      <c r="F19" s="19">
        <f t="shared" si="1"/>
        <v>2997000</v>
      </c>
      <c r="G19" s="5"/>
    </row>
    <row r="20" spans="1:7" ht="15.75" customHeight="1">
      <c r="A20" s="48" t="s">
        <v>82</v>
      </c>
      <c r="B20" s="49" t="s">
        <v>77</v>
      </c>
      <c r="C20" s="50" t="s">
        <v>89</v>
      </c>
      <c r="D20" s="51">
        <v>4010000</v>
      </c>
      <c r="E20" s="19">
        <f t="shared" si="0"/>
        <v>320800</v>
      </c>
      <c r="F20" s="19">
        <f t="shared" si="1"/>
        <v>4330800</v>
      </c>
      <c r="G20" s="5"/>
    </row>
    <row r="21" spans="1:7" ht="15.75" customHeight="1">
      <c r="A21" s="48" t="s">
        <v>83</v>
      </c>
      <c r="B21" s="49" t="s">
        <v>77</v>
      </c>
      <c r="C21" s="50" t="s">
        <v>90</v>
      </c>
      <c r="D21" s="51">
        <v>12120000</v>
      </c>
      <c r="E21" s="19">
        <f t="shared" si="0"/>
        <v>969600</v>
      </c>
      <c r="F21" s="19">
        <f t="shared" si="1"/>
        <v>13089600</v>
      </c>
      <c r="G21" s="5"/>
    </row>
    <row r="22" spans="1:7" ht="15.75" customHeight="1">
      <c r="A22" s="76" t="s">
        <v>84</v>
      </c>
      <c r="B22" s="49" t="s">
        <v>77</v>
      </c>
      <c r="C22" s="50" t="s">
        <v>91</v>
      </c>
      <c r="D22" s="51">
        <v>-3827000</v>
      </c>
      <c r="E22" s="19">
        <f t="shared" si="0"/>
        <v>-306160</v>
      </c>
      <c r="F22" s="19">
        <f t="shared" si="1"/>
        <v>-4133160</v>
      </c>
      <c r="G22" s="5"/>
    </row>
    <row r="23" spans="1:7" ht="15.75" customHeight="1">
      <c r="A23" s="76" t="s">
        <v>85</v>
      </c>
      <c r="B23" s="49" t="s">
        <v>77</v>
      </c>
      <c r="C23" s="50" t="s">
        <v>91</v>
      </c>
      <c r="D23" s="51">
        <v>-36000</v>
      </c>
      <c r="E23" s="19">
        <f t="shared" si="0"/>
        <v>-2880</v>
      </c>
      <c r="F23" s="19">
        <f t="shared" si="1"/>
        <v>-38880</v>
      </c>
      <c r="G23" s="5"/>
    </row>
    <row r="24" spans="1:7" ht="15.75" customHeight="1">
      <c r="A24" s="4"/>
      <c r="B24" s="17"/>
      <c r="C24" s="17"/>
      <c r="D24" s="19"/>
      <c r="E24" s="19"/>
      <c r="F24" s="19"/>
      <c r="G24" s="5"/>
    </row>
    <row r="25" spans="1:7" ht="16.8" customHeight="1">
      <c r="A25" s="4"/>
      <c r="B25" s="4"/>
      <c r="C25" s="6"/>
      <c r="D25" s="21"/>
      <c r="E25" s="21"/>
      <c r="F25" s="21"/>
      <c r="G25" s="4"/>
    </row>
    <row r="26" spans="1:7" ht="16.8" customHeight="1">
      <c r="A26" s="55" t="s">
        <v>78</v>
      </c>
      <c r="B26" s="56"/>
      <c r="C26" s="57"/>
      <c r="D26" s="22">
        <f>SUM(D17:D25)</f>
        <v>17772000</v>
      </c>
      <c r="E26" s="22">
        <f t="shared" ref="E26:F26" si="2">SUM(E17:E25)</f>
        <v>1421760</v>
      </c>
      <c r="F26" s="22">
        <f t="shared" si="2"/>
        <v>19193760</v>
      </c>
      <c r="G26" s="3"/>
    </row>
    <row r="27" spans="1:7" ht="16.8" customHeight="1">
      <c r="A27" s="55" t="s">
        <v>17</v>
      </c>
      <c r="B27" s="56"/>
      <c r="C27" s="57"/>
      <c r="D27" s="22">
        <f>D26*0.1</f>
        <v>1777200</v>
      </c>
      <c r="E27" s="22">
        <f t="shared" ref="E27:F27" si="3">E26*0.1</f>
        <v>142176</v>
      </c>
      <c r="F27" s="22">
        <f t="shared" si="3"/>
        <v>1919376</v>
      </c>
      <c r="G27" s="3"/>
    </row>
    <row r="28" spans="1:7" ht="12" customHeight="1">
      <c r="A28" s="14"/>
      <c r="B28" s="14"/>
      <c r="C28" s="14"/>
      <c r="D28" s="15"/>
      <c r="E28" s="15"/>
      <c r="F28" s="15"/>
      <c r="G28" s="15"/>
    </row>
    <row r="29" spans="1:7" ht="58.8" customHeight="1">
      <c r="A29" s="61"/>
      <c r="B29" s="61"/>
      <c r="C29" s="61"/>
      <c r="D29" s="12"/>
      <c r="E29" s="61" t="s">
        <v>23</v>
      </c>
      <c r="F29" s="61"/>
      <c r="G29" s="61"/>
    </row>
    <row r="30" spans="1:7">
      <c r="A30" s="13"/>
      <c r="B30" s="13"/>
      <c r="C30" s="13"/>
      <c r="D30" s="13"/>
      <c r="E30" s="13"/>
      <c r="F30" s="13"/>
      <c r="G30" s="13"/>
    </row>
    <row r="31" spans="1:7">
      <c r="A31" s="13"/>
      <c r="B31" s="13"/>
      <c r="C31" s="13"/>
      <c r="D31" s="13"/>
      <c r="E31" s="13"/>
      <c r="F31" s="13"/>
      <c r="G31" s="13"/>
    </row>
    <row r="32" spans="1:7">
      <c r="A32" s="13"/>
      <c r="B32" s="13"/>
      <c r="C32" s="13"/>
      <c r="D32" s="13"/>
      <c r="E32" s="13"/>
      <c r="F32" s="13"/>
      <c r="G32" s="13"/>
    </row>
    <row r="33" spans="1:7">
      <c r="A33" s="13"/>
      <c r="B33" s="13"/>
      <c r="C33" s="13"/>
      <c r="D33" s="13"/>
      <c r="E33" s="13"/>
      <c r="F33" s="13"/>
      <c r="G33" s="13"/>
    </row>
    <row r="34" spans="1:7">
      <c r="A34" s="13"/>
      <c r="B34" s="13"/>
      <c r="C34" s="13"/>
      <c r="D34" s="13"/>
      <c r="E34" s="13"/>
      <c r="F34" s="13"/>
      <c r="G34" s="13"/>
    </row>
    <row r="35" spans="1:7">
      <c r="A35" s="13"/>
      <c r="B35" s="13"/>
      <c r="C35" s="13"/>
      <c r="D35" s="13"/>
      <c r="E35" s="13"/>
      <c r="F35" s="13"/>
      <c r="G35" s="13"/>
    </row>
    <row r="36" spans="1:7">
      <c r="A36" s="13"/>
      <c r="B36" s="13"/>
      <c r="C36" s="13"/>
      <c r="D36" s="13"/>
      <c r="E36" s="13"/>
      <c r="F36" s="13"/>
      <c r="G36" s="13"/>
    </row>
    <row r="37" spans="1:7">
      <c r="A37" s="13"/>
      <c r="B37" s="13"/>
      <c r="C37" s="13"/>
      <c r="D37" s="13"/>
      <c r="E37" s="13"/>
      <c r="F37" s="13"/>
      <c r="G37" s="13"/>
    </row>
  </sheetData>
  <mergeCells count="18">
    <mergeCell ref="A12:G12"/>
    <mergeCell ref="A1:C2"/>
    <mergeCell ref="E1:G1"/>
    <mergeCell ref="E2:G2"/>
    <mergeCell ref="A4:G4"/>
    <mergeCell ref="A5:G5"/>
    <mergeCell ref="A6:G6"/>
    <mergeCell ref="A7:G7"/>
    <mergeCell ref="A9:G9"/>
    <mergeCell ref="B10:C10"/>
    <mergeCell ref="E10:F10"/>
    <mergeCell ref="A11:G11"/>
    <mergeCell ref="A13:G13"/>
    <mergeCell ref="A15:G15"/>
    <mergeCell ref="A26:C26"/>
    <mergeCell ref="A27:C27"/>
    <mergeCell ref="A29:C29"/>
    <mergeCell ref="E29:G29"/>
  </mergeCells>
  <pageMargins left="0.5" right="0.5" top="0.25" bottom="0.5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11.2025</vt:lpstr>
      <vt:lpstr>12.2025</vt:lpstr>
      <vt:lpstr>1.2026</vt:lpstr>
      <vt:lpstr>2.2026</vt:lpstr>
      <vt:lpstr>04.2026</vt:lpstr>
      <vt:lpstr>05.2026</vt:lpstr>
      <vt:lpstr>06.2026</vt:lpstr>
      <vt:lpstr>07.2026</vt:lpstr>
      <vt:lpstr>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ketoantruongtin@gmail.com</dc:creator>
  <cp:lastModifiedBy>admin</cp:lastModifiedBy>
  <cp:revision>7</cp:revision>
  <cp:lastPrinted>2026-01-12T01:26:34Z</cp:lastPrinted>
  <dcterms:created xsi:type="dcterms:W3CDTF">2025-07-10T07:35:00Z</dcterms:created>
  <dcterms:modified xsi:type="dcterms:W3CDTF">2026-08-17T02:24:06Z</dcterms:modified>
</cp:coreProperties>
</file>